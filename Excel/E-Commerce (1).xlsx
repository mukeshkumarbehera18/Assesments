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UKESH\Documents\Data Analytics TOPS Curriculum\EXCEL\Assesment\"/>
    </mc:Choice>
  </mc:AlternateContent>
  <xr:revisionPtr revIDLastSave="0" documentId="13_ncr:1_{7FE512DD-88DE-48EC-B2F1-42A5016D47BA}" xr6:coauthVersionLast="47" xr6:coauthVersionMax="47" xr10:uidLastSave="{00000000-0000-0000-0000-000000000000}"/>
  <bookViews>
    <workbookView xWindow="-108" yWindow="-108" windowWidth="23256" windowHeight="12456" firstSheet="6" activeTab="14" xr2:uid="{93D97F6B-3621-4FCE-8FCF-D6A2234AD962}"/>
  </bookViews>
  <sheets>
    <sheet name="Q1" sheetId="2" r:id="rId1"/>
    <sheet name="Q2" sheetId="3" r:id="rId2"/>
    <sheet name="Q3" sheetId="4" r:id="rId3"/>
    <sheet name="Q4" sheetId="5" r:id="rId4"/>
    <sheet name="Q5" sheetId="6" r:id="rId5"/>
    <sheet name="Q6" sheetId="7" r:id="rId6"/>
    <sheet name="Q7" sheetId="8" r:id="rId7"/>
    <sheet name="Q8" sheetId="9" r:id="rId8"/>
    <sheet name="Q9" sheetId="10" r:id="rId9"/>
    <sheet name="Q10" sheetId="11" r:id="rId10"/>
    <sheet name="Q11" sheetId="12" r:id="rId11"/>
    <sheet name="Q12" sheetId="13" r:id="rId12"/>
    <sheet name="Q13" sheetId="14" r:id="rId13"/>
    <sheet name="Q14" sheetId="15" r:id="rId14"/>
    <sheet name="Sheet1" sheetId="16" r:id="rId15"/>
    <sheet name="E-Commerce" sheetId="1" r:id="rId16"/>
  </sheets>
  <definedNames>
    <definedName name="_xlnm._FilterDatabase" localSheetId="15" hidden="1">'E-Commerce'!$A$1:$Q$1501</definedName>
    <definedName name="Slicer_Category">#N/A</definedName>
  </definedNames>
  <calcPr calcId="191029"/>
  <pivotCaches>
    <pivotCache cacheId="2"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6" l="1"/>
  <c r="D2" i="15"/>
  <c r="C2" i="15"/>
  <c r="M157" i="1"/>
  <c r="M205" i="1"/>
  <c r="M349" i="1"/>
  <c r="M706" i="1"/>
  <c r="M1093" i="1"/>
  <c r="M1094" i="1"/>
  <c r="M1213" i="1"/>
  <c r="M1214" i="1"/>
  <c r="M1381" i="1"/>
  <c r="M1463" i="1"/>
  <c r="M1464" i="1"/>
  <c r="L55" i="1"/>
  <c r="L60" i="1"/>
  <c r="L103" i="1"/>
  <c r="L116" i="1"/>
  <c r="L156" i="1"/>
  <c r="L248" i="1"/>
  <c r="L254" i="1"/>
  <c r="L284" i="1"/>
  <c r="L296" i="1"/>
  <c r="L297" i="1"/>
  <c r="L429" i="1"/>
  <c r="L478" i="1"/>
  <c r="L598" i="1"/>
  <c r="L605" i="1"/>
  <c r="L704" i="1"/>
  <c r="M704" i="1" s="1"/>
  <c r="L705" i="1"/>
  <c r="L749" i="1"/>
  <c r="L793" i="1"/>
  <c r="L794" i="1"/>
  <c r="L836" i="1"/>
  <c r="L846" i="1"/>
  <c r="L878" i="1"/>
  <c r="L881" i="1"/>
  <c r="L924" i="1"/>
  <c r="L1009" i="1"/>
  <c r="L1028" i="1"/>
  <c r="L1088" i="1"/>
  <c r="L1089" i="1"/>
  <c r="L1149" i="1"/>
  <c r="L1150" i="1"/>
  <c r="L1200" i="1"/>
  <c r="L1221" i="1"/>
  <c r="L1274" i="1"/>
  <c r="L1275" i="1"/>
  <c r="L1330" i="1"/>
  <c r="L1340" i="1"/>
  <c r="L1393" i="1"/>
  <c r="L1394" i="1"/>
  <c r="L1443" i="1"/>
  <c r="L146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L38" i="1" s="1"/>
  <c r="K39" i="1"/>
  <c r="K40" i="1"/>
  <c r="K41" i="1"/>
  <c r="K42" i="1"/>
  <c r="K43" i="1"/>
  <c r="K44" i="1"/>
  <c r="K45" i="1"/>
  <c r="K46" i="1"/>
  <c r="K47" i="1"/>
  <c r="K48" i="1"/>
  <c r="K49" i="1"/>
  <c r="K50" i="1"/>
  <c r="K51" i="1"/>
  <c r="L51" i="1" s="1"/>
  <c r="K52" i="1"/>
  <c r="K53" i="1"/>
  <c r="K54" i="1"/>
  <c r="K55" i="1"/>
  <c r="K56" i="1"/>
  <c r="K57" i="1"/>
  <c r="K58" i="1"/>
  <c r="L58" i="1" s="1"/>
  <c r="K59" i="1"/>
  <c r="K60" i="1"/>
  <c r="K61" i="1"/>
  <c r="L61" i="1" s="1"/>
  <c r="K62" i="1"/>
  <c r="K63" i="1"/>
  <c r="K64" i="1"/>
  <c r="K65" i="1"/>
  <c r="K66" i="1"/>
  <c r="K67" i="1"/>
  <c r="K68" i="1"/>
  <c r="K69" i="1"/>
  <c r="K70" i="1"/>
  <c r="K71" i="1"/>
  <c r="K72" i="1"/>
  <c r="K73" i="1"/>
  <c r="K74" i="1"/>
  <c r="K75" i="1"/>
  <c r="K76" i="1"/>
  <c r="K77" i="1"/>
  <c r="K78" i="1"/>
  <c r="K79" i="1"/>
  <c r="K80" i="1"/>
  <c r="K81" i="1"/>
  <c r="K82" i="1"/>
  <c r="K83" i="1"/>
  <c r="K84" i="1"/>
  <c r="L84" i="1" s="1"/>
  <c r="K85" i="1"/>
  <c r="K86" i="1"/>
  <c r="K87" i="1"/>
  <c r="K88" i="1"/>
  <c r="K89" i="1"/>
  <c r="K90" i="1"/>
  <c r="K91" i="1"/>
  <c r="K92" i="1"/>
  <c r="K93" i="1"/>
  <c r="K94" i="1"/>
  <c r="K95" i="1"/>
  <c r="K96" i="1"/>
  <c r="K97" i="1"/>
  <c r="K98" i="1"/>
  <c r="L98" i="1" s="1"/>
  <c r="K99" i="1"/>
  <c r="L99" i="1" s="1"/>
  <c r="K100" i="1"/>
  <c r="K101" i="1"/>
  <c r="K102" i="1"/>
  <c r="K103" i="1"/>
  <c r="K104" i="1"/>
  <c r="K105" i="1"/>
  <c r="K106" i="1"/>
  <c r="K107" i="1"/>
  <c r="K108" i="1"/>
  <c r="K109" i="1"/>
  <c r="L109" i="1" s="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L144" i="1" s="1"/>
  <c r="K145" i="1"/>
  <c r="K146" i="1"/>
  <c r="K147" i="1"/>
  <c r="L147" i="1" s="1"/>
  <c r="K148" i="1"/>
  <c r="K149" i="1"/>
  <c r="K150" i="1"/>
  <c r="K151" i="1"/>
  <c r="K152" i="1"/>
  <c r="K153" i="1"/>
  <c r="K154" i="1"/>
  <c r="K155" i="1"/>
  <c r="K156" i="1"/>
  <c r="K157" i="1"/>
  <c r="L157" i="1" s="1"/>
  <c r="K158" i="1"/>
  <c r="K159" i="1"/>
  <c r="K160" i="1"/>
  <c r="K161" i="1"/>
  <c r="K162" i="1"/>
  <c r="K163" i="1"/>
  <c r="K164" i="1"/>
  <c r="K165" i="1"/>
  <c r="K166" i="1"/>
  <c r="K167" i="1"/>
  <c r="K168" i="1"/>
  <c r="K169" i="1"/>
  <c r="K170" i="1"/>
  <c r="K171" i="1"/>
  <c r="K172" i="1"/>
  <c r="K173" i="1"/>
  <c r="K174" i="1"/>
  <c r="K175" i="1"/>
  <c r="K176" i="1"/>
  <c r="K177" i="1"/>
  <c r="K178" i="1"/>
  <c r="K179" i="1"/>
  <c r="K180" i="1"/>
  <c r="L180" i="1" s="1"/>
  <c r="K181" i="1"/>
  <c r="K182" i="1"/>
  <c r="L182" i="1" s="1"/>
  <c r="K183" i="1"/>
  <c r="K184" i="1"/>
  <c r="K185" i="1"/>
  <c r="K186" i="1"/>
  <c r="K187" i="1"/>
  <c r="K188" i="1"/>
  <c r="K189" i="1"/>
  <c r="K190" i="1"/>
  <c r="K191" i="1"/>
  <c r="K192" i="1"/>
  <c r="K193" i="1"/>
  <c r="K194" i="1"/>
  <c r="K195" i="1"/>
  <c r="L195" i="1" s="1"/>
  <c r="K196" i="1"/>
  <c r="K197" i="1"/>
  <c r="K198" i="1"/>
  <c r="K199" i="1"/>
  <c r="K200" i="1"/>
  <c r="K201" i="1"/>
  <c r="K202" i="1"/>
  <c r="L202" i="1" s="1"/>
  <c r="K203" i="1"/>
  <c r="K204" i="1"/>
  <c r="K205" i="1"/>
  <c r="L205" i="1" s="1"/>
  <c r="K206" i="1"/>
  <c r="K207" i="1"/>
  <c r="K208" i="1"/>
  <c r="K209" i="1"/>
  <c r="K210" i="1"/>
  <c r="K211" i="1"/>
  <c r="K212" i="1"/>
  <c r="K213" i="1"/>
  <c r="K214" i="1"/>
  <c r="K215" i="1"/>
  <c r="K216" i="1"/>
  <c r="L216" i="1" s="1"/>
  <c r="K217" i="1"/>
  <c r="L217" i="1" s="1"/>
  <c r="K218" i="1"/>
  <c r="K219" i="1"/>
  <c r="K220" i="1"/>
  <c r="K221" i="1"/>
  <c r="K222" i="1"/>
  <c r="K223" i="1"/>
  <c r="K224" i="1"/>
  <c r="K225" i="1"/>
  <c r="K226" i="1"/>
  <c r="K227" i="1"/>
  <c r="K228" i="1"/>
  <c r="K229" i="1"/>
  <c r="L229" i="1" s="1"/>
  <c r="K230" i="1"/>
  <c r="L230" i="1" s="1"/>
  <c r="K231" i="1"/>
  <c r="K232" i="1"/>
  <c r="K233" i="1"/>
  <c r="K234" i="1"/>
  <c r="K235" i="1"/>
  <c r="K236" i="1"/>
  <c r="K237" i="1"/>
  <c r="K238" i="1"/>
  <c r="K239" i="1"/>
  <c r="K240" i="1"/>
  <c r="K241" i="1"/>
  <c r="K242" i="1"/>
  <c r="K243" i="1"/>
  <c r="L243" i="1" s="1"/>
  <c r="K244" i="1"/>
  <c r="K245" i="1"/>
  <c r="K246" i="1"/>
  <c r="K247" i="1"/>
  <c r="K248" i="1"/>
  <c r="K249" i="1"/>
  <c r="K250" i="1"/>
  <c r="K251" i="1"/>
  <c r="K252" i="1"/>
  <c r="L252" i="1" s="1"/>
  <c r="K253" i="1"/>
  <c r="L253" i="1" s="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L291" i="1" s="1"/>
  <c r="K292" i="1"/>
  <c r="K293" i="1"/>
  <c r="K294" i="1"/>
  <c r="K295" i="1"/>
  <c r="K296" i="1"/>
  <c r="K297" i="1"/>
  <c r="K298" i="1"/>
  <c r="K299" i="1"/>
  <c r="K300" i="1"/>
  <c r="K301" i="1"/>
  <c r="L301" i="1" s="1"/>
  <c r="K302" i="1"/>
  <c r="K303" i="1"/>
  <c r="K304" i="1"/>
  <c r="K305" i="1"/>
  <c r="K306" i="1"/>
  <c r="K307" i="1"/>
  <c r="K308" i="1"/>
  <c r="K309" i="1"/>
  <c r="K310" i="1"/>
  <c r="K311" i="1"/>
  <c r="K312" i="1"/>
  <c r="L312" i="1" s="1"/>
  <c r="K313" i="1"/>
  <c r="K314" i="1"/>
  <c r="L314" i="1" s="1"/>
  <c r="K315" i="1"/>
  <c r="K316" i="1"/>
  <c r="K317" i="1"/>
  <c r="K318" i="1"/>
  <c r="K319" i="1"/>
  <c r="K320" i="1"/>
  <c r="K321" i="1"/>
  <c r="K322" i="1"/>
  <c r="K323" i="1"/>
  <c r="K324" i="1"/>
  <c r="K325" i="1"/>
  <c r="L325" i="1" s="1"/>
  <c r="K326" i="1"/>
  <c r="K327" i="1"/>
  <c r="K328" i="1"/>
  <c r="K329" i="1"/>
  <c r="K330" i="1"/>
  <c r="K331" i="1"/>
  <c r="L331" i="1" s="1"/>
  <c r="K332" i="1"/>
  <c r="L332" i="1" s="1"/>
  <c r="K333" i="1"/>
  <c r="K334" i="1"/>
  <c r="K335" i="1"/>
  <c r="K336" i="1"/>
  <c r="K337" i="1"/>
  <c r="K338" i="1"/>
  <c r="K339" i="1"/>
  <c r="K340" i="1"/>
  <c r="K341" i="1"/>
  <c r="K342" i="1"/>
  <c r="K343" i="1"/>
  <c r="K344" i="1"/>
  <c r="K345" i="1"/>
  <c r="K346" i="1"/>
  <c r="K347" i="1"/>
  <c r="K348" i="1"/>
  <c r="K349" i="1"/>
  <c r="L349" i="1" s="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L392" i="1" s="1"/>
  <c r="K393" i="1"/>
  <c r="K394" i="1"/>
  <c r="K395" i="1"/>
  <c r="K396" i="1"/>
  <c r="K397" i="1"/>
  <c r="L397" i="1" s="1"/>
  <c r="K398" i="1"/>
  <c r="K399" i="1"/>
  <c r="K400" i="1"/>
  <c r="K401" i="1"/>
  <c r="K402" i="1"/>
  <c r="K403" i="1"/>
  <c r="K404" i="1"/>
  <c r="K405" i="1"/>
  <c r="K406" i="1"/>
  <c r="K407" i="1"/>
  <c r="K408" i="1"/>
  <c r="K409" i="1"/>
  <c r="K410" i="1"/>
  <c r="K411" i="1"/>
  <c r="K412" i="1"/>
  <c r="K413" i="1"/>
  <c r="K414" i="1"/>
  <c r="K415" i="1"/>
  <c r="K416" i="1"/>
  <c r="L416" i="1" s="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L464" i="1" s="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L526" i="1" s="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L560" i="1" s="1"/>
  <c r="K561" i="1"/>
  <c r="L561" i="1" s="1"/>
  <c r="K562" i="1"/>
  <c r="L562" i="1" s="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L646" i="1" s="1"/>
  <c r="K647" i="1"/>
  <c r="K648" i="1"/>
  <c r="K649" i="1"/>
  <c r="K650" i="1"/>
  <c r="K651" i="1"/>
  <c r="K652" i="1"/>
  <c r="K653" i="1"/>
  <c r="K654" i="1"/>
  <c r="K655" i="1"/>
  <c r="K656" i="1"/>
  <c r="K657" i="1"/>
  <c r="K658" i="1"/>
  <c r="K659" i="1"/>
  <c r="K660" i="1"/>
  <c r="K661" i="1"/>
  <c r="K662" i="1"/>
  <c r="K663" i="1"/>
  <c r="K664" i="1"/>
  <c r="K665" i="1"/>
  <c r="K666" i="1"/>
  <c r="K667" i="1"/>
  <c r="K668" i="1"/>
  <c r="K669" i="1"/>
  <c r="K670" i="1"/>
  <c r="L670" i="1" s="1"/>
  <c r="K671" i="1"/>
  <c r="K672" i="1"/>
  <c r="K673" i="1"/>
  <c r="K674" i="1"/>
  <c r="K675" i="1"/>
  <c r="K676" i="1"/>
  <c r="K677" i="1"/>
  <c r="K678" i="1"/>
  <c r="K679" i="1"/>
  <c r="K680" i="1"/>
  <c r="L680" i="1" s="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L706" i="1" s="1"/>
  <c r="K707" i="1"/>
  <c r="K708" i="1"/>
  <c r="K709" i="1"/>
  <c r="K710" i="1"/>
  <c r="K711" i="1"/>
  <c r="K712" i="1"/>
  <c r="K713" i="1"/>
  <c r="K714" i="1"/>
  <c r="K715" i="1"/>
  <c r="K716" i="1"/>
  <c r="L716" i="1" s="1"/>
  <c r="K717" i="1"/>
  <c r="L717" i="1" s="1"/>
  <c r="K718" i="1"/>
  <c r="K719" i="1"/>
  <c r="K720" i="1"/>
  <c r="K721" i="1"/>
  <c r="K722" i="1"/>
  <c r="L722" i="1" s="1"/>
  <c r="K723" i="1"/>
  <c r="K724" i="1"/>
  <c r="K725" i="1"/>
  <c r="K726" i="1"/>
  <c r="K727" i="1"/>
  <c r="K728" i="1"/>
  <c r="L728" i="1" s="1"/>
  <c r="K729" i="1"/>
  <c r="K730" i="1"/>
  <c r="K731" i="1"/>
  <c r="K732" i="1"/>
  <c r="K733" i="1"/>
  <c r="K734" i="1"/>
  <c r="K735" i="1"/>
  <c r="K736" i="1"/>
  <c r="K737" i="1"/>
  <c r="K738" i="1"/>
  <c r="K739" i="1"/>
  <c r="K740" i="1"/>
  <c r="K741" i="1"/>
  <c r="K742" i="1"/>
  <c r="L742" i="1" s="1"/>
  <c r="K743" i="1"/>
  <c r="K744" i="1"/>
  <c r="L744" i="1" s="1"/>
  <c r="K745" i="1"/>
  <c r="L745" i="1" s="1"/>
  <c r="K746" i="1"/>
  <c r="K747" i="1"/>
  <c r="K748" i="1"/>
  <c r="K749" i="1"/>
  <c r="K750" i="1"/>
  <c r="K751" i="1"/>
  <c r="K752" i="1"/>
  <c r="L752" i="1" s="1"/>
  <c r="K753" i="1"/>
  <c r="K754" i="1"/>
  <c r="K755" i="1"/>
  <c r="K756" i="1"/>
  <c r="K757" i="1"/>
  <c r="K758" i="1"/>
  <c r="K759" i="1"/>
  <c r="K760" i="1"/>
  <c r="K761" i="1"/>
  <c r="K762" i="1"/>
  <c r="K763" i="1"/>
  <c r="K764" i="1"/>
  <c r="K765" i="1"/>
  <c r="L765" i="1" s="1"/>
  <c r="K766" i="1"/>
  <c r="L766" i="1" s="1"/>
  <c r="K767" i="1"/>
  <c r="K768" i="1"/>
  <c r="K769" i="1"/>
  <c r="K770" i="1"/>
  <c r="K771" i="1"/>
  <c r="K772" i="1"/>
  <c r="K773" i="1"/>
  <c r="K774" i="1"/>
  <c r="K775" i="1"/>
  <c r="K776" i="1"/>
  <c r="L776" i="1" s="1"/>
  <c r="K777" i="1"/>
  <c r="L777" i="1" s="1"/>
  <c r="K778" i="1"/>
  <c r="L778" i="1" s="1"/>
  <c r="K779" i="1"/>
  <c r="K780" i="1"/>
  <c r="K781" i="1"/>
  <c r="K782" i="1"/>
  <c r="K783" i="1"/>
  <c r="K784" i="1"/>
  <c r="K785" i="1"/>
  <c r="K786" i="1"/>
  <c r="K787" i="1"/>
  <c r="K788" i="1"/>
  <c r="K789" i="1"/>
  <c r="K790" i="1"/>
  <c r="K791" i="1"/>
  <c r="K792" i="1"/>
  <c r="L792" i="1" s="1"/>
  <c r="K793" i="1"/>
  <c r="K794" i="1"/>
  <c r="K795" i="1"/>
  <c r="K796" i="1"/>
  <c r="K797" i="1"/>
  <c r="K798" i="1"/>
  <c r="K799" i="1"/>
  <c r="K800" i="1"/>
  <c r="K801" i="1"/>
  <c r="K802" i="1"/>
  <c r="L802" i="1" s="1"/>
  <c r="K803" i="1"/>
  <c r="K804" i="1"/>
  <c r="K805" i="1"/>
  <c r="K806" i="1"/>
  <c r="K807" i="1"/>
  <c r="K808" i="1"/>
  <c r="K809" i="1"/>
  <c r="K810" i="1"/>
  <c r="K811" i="1"/>
  <c r="K812" i="1"/>
  <c r="K813" i="1"/>
  <c r="K814" i="1"/>
  <c r="L814" i="1" s="1"/>
  <c r="K815" i="1"/>
  <c r="K816" i="1"/>
  <c r="K817" i="1"/>
  <c r="K818" i="1"/>
  <c r="L818" i="1" s="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L872" i="1" s="1"/>
  <c r="K873" i="1"/>
  <c r="L873" i="1" s="1"/>
  <c r="K874" i="1"/>
  <c r="L874" i="1" s="1"/>
  <c r="K875" i="1"/>
  <c r="K876" i="1"/>
  <c r="K877" i="1"/>
  <c r="L877" i="1" s="1"/>
  <c r="K878" i="1"/>
  <c r="K879" i="1"/>
  <c r="K880" i="1"/>
  <c r="K881" i="1"/>
  <c r="K882" i="1"/>
  <c r="K883" i="1"/>
  <c r="K884" i="1"/>
  <c r="K885" i="1"/>
  <c r="K886" i="1"/>
  <c r="K887" i="1"/>
  <c r="K888" i="1"/>
  <c r="K889" i="1"/>
  <c r="K890" i="1"/>
  <c r="K891" i="1"/>
  <c r="K892" i="1"/>
  <c r="K893" i="1"/>
  <c r="K894" i="1"/>
  <c r="K895" i="1"/>
  <c r="K896" i="1"/>
  <c r="L896" i="1" s="1"/>
  <c r="K897" i="1"/>
  <c r="K898" i="1"/>
  <c r="K899" i="1"/>
  <c r="K900" i="1"/>
  <c r="K901" i="1"/>
  <c r="K902" i="1"/>
  <c r="K903" i="1"/>
  <c r="K904" i="1"/>
  <c r="K905" i="1"/>
  <c r="K906" i="1"/>
  <c r="K907" i="1"/>
  <c r="K908" i="1"/>
  <c r="L908" i="1" s="1"/>
  <c r="K909" i="1"/>
  <c r="K910" i="1"/>
  <c r="K911" i="1"/>
  <c r="K912" i="1"/>
  <c r="K913" i="1"/>
  <c r="K914" i="1"/>
  <c r="K915" i="1"/>
  <c r="K916" i="1"/>
  <c r="K917" i="1"/>
  <c r="K918" i="1"/>
  <c r="K919" i="1"/>
  <c r="K920" i="1"/>
  <c r="K921" i="1"/>
  <c r="K922" i="1"/>
  <c r="K923" i="1"/>
  <c r="K924" i="1"/>
  <c r="K925" i="1"/>
  <c r="K926" i="1"/>
  <c r="K927" i="1"/>
  <c r="K928" i="1"/>
  <c r="K929" i="1"/>
  <c r="K930" i="1"/>
  <c r="K931" i="1"/>
  <c r="K932" i="1"/>
  <c r="L932" i="1" s="1"/>
  <c r="K933" i="1"/>
  <c r="L933" i="1" s="1"/>
  <c r="K934" i="1"/>
  <c r="K935" i="1"/>
  <c r="K936" i="1"/>
  <c r="K937" i="1"/>
  <c r="K938" i="1"/>
  <c r="K939" i="1"/>
  <c r="K940" i="1"/>
  <c r="K941" i="1"/>
  <c r="K942" i="1"/>
  <c r="K943" i="1"/>
  <c r="K944" i="1"/>
  <c r="K945" i="1"/>
  <c r="K946" i="1"/>
  <c r="K947" i="1"/>
  <c r="K948" i="1"/>
  <c r="K949" i="1"/>
  <c r="K950" i="1"/>
  <c r="K951" i="1"/>
  <c r="L951" i="1" s="1"/>
  <c r="K952" i="1"/>
  <c r="K953" i="1"/>
  <c r="K954" i="1"/>
  <c r="K955" i="1"/>
  <c r="K956" i="1"/>
  <c r="K957" i="1"/>
  <c r="K958" i="1"/>
  <c r="K959" i="1"/>
  <c r="K960" i="1"/>
  <c r="K961" i="1"/>
  <c r="K962" i="1"/>
  <c r="L962" i="1" s="1"/>
  <c r="K963" i="1"/>
  <c r="K964" i="1"/>
  <c r="K965" i="1"/>
  <c r="K966" i="1"/>
  <c r="K967" i="1"/>
  <c r="K968" i="1"/>
  <c r="K969" i="1"/>
  <c r="K970" i="1"/>
  <c r="K971" i="1"/>
  <c r="K972" i="1"/>
  <c r="K973" i="1"/>
  <c r="L973" i="1" s="1"/>
  <c r="K974" i="1"/>
  <c r="K975" i="1"/>
  <c r="L975" i="1" s="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L1004" i="1" s="1"/>
  <c r="K1005" i="1"/>
  <c r="K1006" i="1"/>
  <c r="L1006" i="1" s="1"/>
  <c r="K1007" i="1"/>
  <c r="K1008" i="1"/>
  <c r="L1008" i="1" s="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L1034" i="1" s="1"/>
  <c r="K1035" i="1"/>
  <c r="K1036" i="1"/>
  <c r="K1037" i="1"/>
  <c r="K1038" i="1"/>
  <c r="K1039" i="1"/>
  <c r="K1040" i="1"/>
  <c r="K1041" i="1"/>
  <c r="K1042" i="1"/>
  <c r="L1042" i="1" s="1"/>
  <c r="K1043" i="1"/>
  <c r="K1044" i="1"/>
  <c r="K1045" i="1"/>
  <c r="L1045" i="1" s="1"/>
  <c r="K1046" i="1"/>
  <c r="L1046" i="1" s="1"/>
  <c r="K1047" i="1"/>
  <c r="K1048" i="1"/>
  <c r="K1049" i="1"/>
  <c r="K1050" i="1"/>
  <c r="K1051" i="1"/>
  <c r="K1052" i="1"/>
  <c r="L1052" i="1" s="1"/>
  <c r="K1053" i="1"/>
  <c r="L1053" i="1" s="1"/>
  <c r="K1054" i="1"/>
  <c r="L1054" i="1" s="1"/>
  <c r="K1055" i="1"/>
  <c r="K1056" i="1"/>
  <c r="L1056" i="1" s="1"/>
  <c r="K1057" i="1"/>
  <c r="K1058" i="1"/>
  <c r="K1059" i="1"/>
  <c r="K1060" i="1"/>
  <c r="K1061" i="1"/>
  <c r="K1062" i="1"/>
  <c r="K1063" i="1"/>
  <c r="K1064" i="1"/>
  <c r="K1065" i="1"/>
  <c r="K1066" i="1"/>
  <c r="K1067" i="1"/>
  <c r="K1068" i="1"/>
  <c r="K1069" i="1"/>
  <c r="K1070" i="1"/>
  <c r="K1071" i="1"/>
  <c r="K1072" i="1"/>
  <c r="K1073" i="1"/>
  <c r="K1074" i="1"/>
  <c r="K1075" i="1"/>
  <c r="K1076" i="1"/>
  <c r="K1077" i="1"/>
  <c r="L1077" i="1" s="1"/>
  <c r="K1078" i="1"/>
  <c r="K1079" i="1"/>
  <c r="K1080" i="1"/>
  <c r="K1081" i="1"/>
  <c r="K1082" i="1"/>
  <c r="L1082" i="1" s="1"/>
  <c r="K1083" i="1"/>
  <c r="L1083" i="1" s="1"/>
  <c r="K1084" i="1"/>
  <c r="K1085" i="1"/>
  <c r="K1086" i="1"/>
  <c r="K1087" i="1"/>
  <c r="K1088" i="1"/>
  <c r="K1089" i="1"/>
  <c r="K1090" i="1"/>
  <c r="K1091" i="1"/>
  <c r="K1092" i="1"/>
  <c r="K1093" i="1"/>
  <c r="L1093" i="1" s="1"/>
  <c r="K1094" i="1"/>
  <c r="L1094" i="1" s="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L1125" i="1" s="1"/>
  <c r="K1126" i="1"/>
  <c r="K1127" i="1"/>
  <c r="K1128" i="1"/>
  <c r="K1129" i="1"/>
  <c r="K1130" i="1"/>
  <c r="K1131" i="1"/>
  <c r="L1131" i="1" s="1"/>
  <c r="K1132" i="1"/>
  <c r="L1132" i="1" s="1"/>
  <c r="K1133" i="1"/>
  <c r="K1134" i="1"/>
  <c r="K1135" i="1"/>
  <c r="K1136" i="1"/>
  <c r="K1137" i="1"/>
  <c r="K1138" i="1"/>
  <c r="K1139" i="1"/>
  <c r="K1140" i="1"/>
  <c r="K1141" i="1"/>
  <c r="L1141" i="1" s="1"/>
  <c r="K1142" i="1"/>
  <c r="L1142" i="1" s="1"/>
  <c r="K1143" i="1"/>
  <c r="K1144" i="1"/>
  <c r="K1145" i="1"/>
  <c r="K1146" i="1"/>
  <c r="K1147" i="1"/>
  <c r="K1148" i="1"/>
  <c r="L1148" i="1" s="1"/>
  <c r="K1149" i="1"/>
  <c r="K1150" i="1"/>
  <c r="K1151" i="1"/>
  <c r="K1152" i="1"/>
  <c r="K1153" i="1"/>
  <c r="K1154" i="1"/>
  <c r="K1155" i="1"/>
  <c r="K1156" i="1"/>
  <c r="K1157" i="1"/>
  <c r="K1158" i="1"/>
  <c r="K1159" i="1"/>
  <c r="K1160" i="1"/>
  <c r="K1161" i="1"/>
  <c r="K1162" i="1"/>
  <c r="K1163" i="1"/>
  <c r="L1163" i="1" s="1"/>
  <c r="K1164" i="1"/>
  <c r="K1165" i="1"/>
  <c r="L1165" i="1" s="1"/>
  <c r="K1166" i="1"/>
  <c r="L1166" i="1" s="1"/>
  <c r="K1167" i="1"/>
  <c r="K1168" i="1"/>
  <c r="K1169" i="1"/>
  <c r="K1170" i="1"/>
  <c r="K1171" i="1"/>
  <c r="K1172" i="1"/>
  <c r="L1172" i="1" s="1"/>
  <c r="K1173" i="1"/>
  <c r="K1174" i="1"/>
  <c r="K1175" i="1"/>
  <c r="K1176" i="1"/>
  <c r="K1177" i="1"/>
  <c r="K1178" i="1"/>
  <c r="K1179" i="1"/>
  <c r="K1180" i="1"/>
  <c r="K1181" i="1"/>
  <c r="K1182" i="1"/>
  <c r="K1183" i="1"/>
  <c r="K1184" i="1"/>
  <c r="L1184" i="1" s="1"/>
  <c r="K1185" i="1"/>
  <c r="L1185" i="1" s="1"/>
  <c r="K1186" i="1"/>
  <c r="L1186" i="1" s="1"/>
  <c r="K1187" i="1"/>
  <c r="L1187" i="1" s="1"/>
  <c r="K1188" i="1"/>
  <c r="K1189" i="1"/>
  <c r="L1189" i="1" s="1"/>
  <c r="K1190" i="1"/>
  <c r="L1190" i="1" s="1"/>
  <c r="K1191" i="1"/>
  <c r="K1192" i="1"/>
  <c r="K1193" i="1"/>
  <c r="K1194" i="1"/>
  <c r="K1195" i="1"/>
  <c r="K1196" i="1"/>
  <c r="L1196" i="1" s="1"/>
  <c r="K1197" i="1"/>
  <c r="L1197" i="1" s="1"/>
  <c r="K1198" i="1"/>
  <c r="L1198" i="1" s="1"/>
  <c r="K1199" i="1"/>
  <c r="K1200" i="1"/>
  <c r="K1201" i="1"/>
  <c r="K1202" i="1"/>
  <c r="K1203" i="1"/>
  <c r="K1204" i="1"/>
  <c r="K1205" i="1"/>
  <c r="K1206" i="1"/>
  <c r="K1207" i="1"/>
  <c r="K1208" i="1"/>
  <c r="K1209" i="1"/>
  <c r="K1210" i="1"/>
  <c r="K1211" i="1"/>
  <c r="L1211" i="1" s="1"/>
  <c r="K1212" i="1"/>
  <c r="K1213" i="1"/>
  <c r="L1213" i="1" s="1"/>
  <c r="K1214" i="1"/>
  <c r="L1214" i="1" s="1"/>
  <c r="K1215" i="1"/>
  <c r="K1216" i="1"/>
  <c r="K1217" i="1"/>
  <c r="K1218" i="1"/>
  <c r="K1219" i="1"/>
  <c r="K1220" i="1"/>
  <c r="K1221" i="1"/>
  <c r="K1222" i="1"/>
  <c r="K1223" i="1"/>
  <c r="K1224" i="1"/>
  <c r="K1225" i="1"/>
  <c r="K1226" i="1"/>
  <c r="K1227" i="1"/>
  <c r="K1228" i="1"/>
  <c r="K1229" i="1"/>
  <c r="K1230" i="1"/>
  <c r="K1231" i="1"/>
  <c r="K1232" i="1"/>
  <c r="L1232" i="1" s="1"/>
  <c r="K1233" i="1"/>
  <c r="K1234" i="1"/>
  <c r="L1234" i="1" s="1"/>
  <c r="K1235" i="1"/>
  <c r="K1236" i="1"/>
  <c r="K1237" i="1"/>
  <c r="L1237" i="1" s="1"/>
  <c r="K1238" i="1"/>
  <c r="K1239" i="1"/>
  <c r="K1240" i="1"/>
  <c r="K1241" i="1"/>
  <c r="K1242" i="1"/>
  <c r="K1243" i="1"/>
  <c r="K1244" i="1"/>
  <c r="K1245" i="1"/>
  <c r="K1246" i="1"/>
  <c r="K1247" i="1"/>
  <c r="K1248" i="1"/>
  <c r="K1249" i="1"/>
  <c r="L1249" i="1" s="1"/>
  <c r="K1250" i="1"/>
  <c r="L1250" i="1" s="1"/>
  <c r="K1251" i="1"/>
  <c r="L1251" i="1" s="1"/>
  <c r="K1252" i="1"/>
  <c r="K1253" i="1"/>
  <c r="K1254" i="1"/>
  <c r="K1255" i="1"/>
  <c r="K1256" i="1"/>
  <c r="K1257" i="1"/>
  <c r="L1257" i="1" s="1"/>
  <c r="K1258" i="1"/>
  <c r="K1259" i="1"/>
  <c r="L1259" i="1" s="1"/>
  <c r="K1260" i="1"/>
  <c r="K1261" i="1"/>
  <c r="K1262" i="1"/>
  <c r="K1263" i="1"/>
  <c r="K1264" i="1"/>
  <c r="K1265" i="1"/>
  <c r="K1266" i="1"/>
  <c r="K1267" i="1"/>
  <c r="K1268" i="1"/>
  <c r="K1269" i="1"/>
  <c r="L1269" i="1" s="1"/>
  <c r="K1270" i="1"/>
  <c r="K1271" i="1"/>
  <c r="K1272" i="1"/>
  <c r="K1273" i="1"/>
  <c r="L1273" i="1" s="1"/>
  <c r="K1274" i="1"/>
  <c r="K1275" i="1"/>
  <c r="K1276" i="1"/>
  <c r="K1277" i="1"/>
  <c r="K1278" i="1"/>
  <c r="K1279" i="1"/>
  <c r="K1280" i="1"/>
  <c r="L1280" i="1" s="1"/>
  <c r="K1281" i="1"/>
  <c r="K1282" i="1"/>
  <c r="K1283" i="1"/>
  <c r="K1284" i="1"/>
  <c r="K1285" i="1"/>
  <c r="K1286" i="1"/>
  <c r="K1287" i="1"/>
  <c r="K1288" i="1"/>
  <c r="K1289" i="1"/>
  <c r="K1290" i="1"/>
  <c r="K1291" i="1"/>
  <c r="K1292" i="1"/>
  <c r="L1292" i="1" s="1"/>
  <c r="K1293" i="1"/>
  <c r="L1293" i="1" s="1"/>
  <c r="K1294" i="1"/>
  <c r="L1294" i="1" s="1"/>
  <c r="K1295" i="1"/>
  <c r="L1295" i="1" s="1"/>
  <c r="K1296" i="1"/>
  <c r="K1297" i="1"/>
  <c r="L1297" i="1" s="1"/>
  <c r="M1297" i="1" s="1"/>
  <c r="K1298" i="1"/>
  <c r="L1298" i="1" s="1"/>
  <c r="M1298" i="1" s="1"/>
  <c r="K1299" i="1"/>
  <c r="L1299" i="1" s="1"/>
  <c r="K1300" i="1"/>
  <c r="K1301" i="1"/>
  <c r="K1302" i="1"/>
  <c r="K1303" i="1"/>
  <c r="K1304" i="1"/>
  <c r="K1305" i="1"/>
  <c r="K1306" i="1"/>
  <c r="K1307" i="1"/>
  <c r="K1308" i="1"/>
  <c r="K1309" i="1"/>
  <c r="K1310" i="1"/>
  <c r="K1311" i="1"/>
  <c r="K1312" i="1"/>
  <c r="K1313" i="1"/>
  <c r="K1314" i="1"/>
  <c r="K1315" i="1"/>
  <c r="K1316" i="1"/>
  <c r="K1317" i="1"/>
  <c r="K1318" i="1"/>
  <c r="K1319" i="1"/>
  <c r="L1319" i="1" s="1"/>
  <c r="K1320" i="1"/>
  <c r="L1320" i="1" s="1"/>
  <c r="K1321" i="1"/>
  <c r="K1322" i="1"/>
  <c r="K1323" i="1"/>
  <c r="K1324" i="1"/>
  <c r="K1325" i="1"/>
  <c r="K1326" i="1"/>
  <c r="K1327" i="1"/>
  <c r="K1328" i="1"/>
  <c r="L1328" i="1" s="1"/>
  <c r="K1329" i="1"/>
  <c r="L1329" i="1" s="1"/>
  <c r="K1330" i="1"/>
  <c r="K1331" i="1"/>
  <c r="K1332" i="1"/>
  <c r="K1333" i="1"/>
  <c r="K1334" i="1"/>
  <c r="L1334" i="1" s="1"/>
  <c r="K1335" i="1"/>
  <c r="K1336" i="1"/>
  <c r="K1337" i="1"/>
  <c r="K1338" i="1"/>
  <c r="K1339" i="1"/>
  <c r="K1340" i="1"/>
  <c r="M1340" i="1" s="1"/>
  <c r="K1341" i="1"/>
  <c r="L1341" i="1" s="1"/>
  <c r="K1342" i="1"/>
  <c r="K1343" i="1"/>
  <c r="K1344" i="1"/>
  <c r="K1345" i="1"/>
  <c r="K1346" i="1"/>
  <c r="K1347" i="1"/>
  <c r="K1348" i="1"/>
  <c r="K1349" i="1"/>
  <c r="K1350" i="1"/>
  <c r="K1351" i="1"/>
  <c r="K1352" i="1"/>
  <c r="K1353" i="1"/>
  <c r="K1354" i="1"/>
  <c r="K1355" i="1"/>
  <c r="K1356" i="1"/>
  <c r="L1356" i="1" s="1"/>
  <c r="K1357" i="1"/>
  <c r="K1358" i="1"/>
  <c r="L1358" i="1" s="1"/>
  <c r="K1359" i="1"/>
  <c r="K1360" i="1"/>
  <c r="K1361" i="1"/>
  <c r="K1362" i="1"/>
  <c r="K1363" i="1"/>
  <c r="K1364" i="1"/>
  <c r="K1365" i="1"/>
  <c r="L1365" i="1" s="1"/>
  <c r="K1366" i="1"/>
  <c r="K1367" i="1"/>
  <c r="K1368" i="1"/>
  <c r="K1369" i="1"/>
  <c r="K1370" i="1"/>
  <c r="L1370" i="1" s="1"/>
  <c r="K1371" i="1"/>
  <c r="K1372" i="1"/>
  <c r="K1373" i="1"/>
  <c r="K1374" i="1"/>
  <c r="K1375" i="1"/>
  <c r="K1376" i="1"/>
  <c r="L1376" i="1" s="1"/>
  <c r="K1377" i="1"/>
  <c r="L1377" i="1" s="1"/>
  <c r="K1378" i="1"/>
  <c r="L1378" i="1" s="1"/>
  <c r="K1379" i="1"/>
  <c r="K1380" i="1"/>
  <c r="L1380" i="1" s="1"/>
  <c r="M1380" i="1" s="1"/>
  <c r="K1381" i="1"/>
  <c r="L1381" i="1" s="1"/>
  <c r="K1382" i="1"/>
  <c r="K1383" i="1"/>
  <c r="K1384" i="1"/>
  <c r="K1385" i="1"/>
  <c r="K1386" i="1"/>
  <c r="K1387" i="1"/>
  <c r="K1388" i="1"/>
  <c r="K1389" i="1"/>
  <c r="K1390" i="1"/>
  <c r="K1391" i="1"/>
  <c r="K1392" i="1"/>
  <c r="K1393" i="1"/>
  <c r="K1394" i="1"/>
  <c r="K1395" i="1"/>
  <c r="K1396" i="1"/>
  <c r="K1397" i="1"/>
  <c r="K1398" i="1"/>
  <c r="K1399" i="1"/>
  <c r="K1400" i="1"/>
  <c r="K1401" i="1"/>
  <c r="L1401" i="1" s="1"/>
  <c r="K1402" i="1"/>
  <c r="K1403" i="1"/>
  <c r="L1403" i="1" s="1"/>
  <c r="K1404" i="1"/>
  <c r="K1405" i="1"/>
  <c r="K1406" i="1"/>
  <c r="K1407" i="1"/>
  <c r="K1408" i="1"/>
  <c r="K1409" i="1"/>
  <c r="K1410" i="1"/>
  <c r="K1411" i="1"/>
  <c r="K1412" i="1"/>
  <c r="K1413" i="1"/>
  <c r="K1414" i="1"/>
  <c r="K1415" i="1"/>
  <c r="K1416" i="1"/>
  <c r="K1417" i="1"/>
  <c r="L1417" i="1" s="1"/>
  <c r="K1418" i="1"/>
  <c r="K1419" i="1"/>
  <c r="K1420" i="1"/>
  <c r="K1421" i="1"/>
  <c r="K1422" i="1"/>
  <c r="K1423" i="1"/>
  <c r="K1424" i="1"/>
  <c r="L1424" i="1" s="1"/>
  <c r="K1425" i="1"/>
  <c r="K1426" i="1"/>
  <c r="K1427" i="1"/>
  <c r="K1428" i="1"/>
  <c r="K1429" i="1"/>
  <c r="K1430" i="1"/>
  <c r="K1431" i="1"/>
  <c r="K1432" i="1"/>
  <c r="K1433" i="1"/>
  <c r="K1434" i="1"/>
  <c r="K1435" i="1"/>
  <c r="K1436" i="1"/>
  <c r="L1436" i="1" s="1"/>
  <c r="K1437" i="1"/>
  <c r="L1437" i="1" s="1"/>
  <c r="K1438" i="1"/>
  <c r="L1438" i="1" s="1"/>
  <c r="K1439" i="1"/>
  <c r="L1439" i="1" s="1"/>
  <c r="K1440" i="1"/>
  <c r="K1441" i="1"/>
  <c r="K1442" i="1"/>
  <c r="K1443" i="1"/>
  <c r="K1444" i="1"/>
  <c r="K1445" i="1"/>
  <c r="K1446" i="1"/>
  <c r="K1447" i="1"/>
  <c r="K1448" i="1"/>
  <c r="K1449" i="1"/>
  <c r="K1450" i="1"/>
  <c r="K1451" i="1"/>
  <c r="K1452" i="1"/>
  <c r="K1453" i="1"/>
  <c r="K1454" i="1"/>
  <c r="K1455" i="1"/>
  <c r="K1456" i="1"/>
  <c r="K1457" i="1"/>
  <c r="K1458" i="1"/>
  <c r="K1459" i="1"/>
  <c r="K1460" i="1"/>
  <c r="M1460" i="1" s="1"/>
  <c r="K1461" i="1"/>
  <c r="K1462" i="1"/>
  <c r="K1463" i="1"/>
  <c r="L1463" i="1" s="1"/>
  <c r="K1464" i="1"/>
  <c r="L1464" i="1" s="1"/>
  <c r="K1465" i="1"/>
  <c r="K1466" i="1"/>
  <c r="K1467" i="1"/>
  <c r="K1468" i="1"/>
  <c r="K1469" i="1"/>
  <c r="K1470" i="1"/>
  <c r="K1471" i="1"/>
  <c r="K1472" i="1"/>
  <c r="K1473" i="1"/>
  <c r="K1474" i="1"/>
  <c r="L1474" i="1" s="1"/>
  <c r="K1475" i="1"/>
  <c r="K1476" i="1"/>
  <c r="K1477" i="1"/>
  <c r="K1478" i="1"/>
  <c r="L1478" i="1" s="1"/>
  <c r="K1479" i="1"/>
  <c r="K1480" i="1"/>
  <c r="K1481" i="1"/>
  <c r="K1482" i="1"/>
  <c r="K1483" i="1"/>
  <c r="K1484" i="1"/>
  <c r="K1485" i="1"/>
  <c r="K1486" i="1"/>
  <c r="L1486" i="1" s="1"/>
  <c r="K1487" i="1"/>
  <c r="K1488" i="1"/>
  <c r="L1488" i="1" s="1"/>
  <c r="K1489" i="1"/>
  <c r="K1490" i="1"/>
  <c r="K1491" i="1"/>
  <c r="K1492" i="1"/>
  <c r="K1493" i="1"/>
  <c r="K1494" i="1"/>
  <c r="K1495" i="1"/>
  <c r="K1496" i="1"/>
  <c r="K1497" i="1"/>
  <c r="K1498" i="1"/>
  <c r="K1499" i="1"/>
  <c r="K1500" i="1"/>
  <c r="L1500" i="1" s="1"/>
  <c r="K1501" i="1"/>
  <c r="K2" i="1"/>
  <c r="L2" i="1" s="1"/>
  <c r="L1459" i="1" l="1"/>
  <c r="M1459" i="1"/>
  <c r="L1327" i="1"/>
  <c r="M1327" i="1"/>
  <c r="L1243" i="1"/>
  <c r="M1243" i="1" s="1"/>
  <c r="L1099" i="1"/>
  <c r="M1099" i="1" s="1"/>
  <c r="L931" i="1"/>
  <c r="M931" i="1" s="1"/>
  <c r="L763" i="1"/>
  <c r="M763" i="1" s="1"/>
  <c r="L655" i="1"/>
  <c r="M655" i="1"/>
  <c r="L571" i="1"/>
  <c r="M571" i="1" s="1"/>
  <c r="L499" i="1"/>
  <c r="M499" i="1" s="1"/>
  <c r="L427" i="1"/>
  <c r="M427" i="1" s="1"/>
  <c r="L391" i="1"/>
  <c r="M391" i="1" s="1"/>
  <c r="L1422" i="1"/>
  <c r="M1422" i="1"/>
  <c r="L1338" i="1"/>
  <c r="M1338" i="1"/>
  <c r="L1254" i="1"/>
  <c r="M1254" i="1"/>
  <c r="L1194" i="1"/>
  <c r="M1194" i="1"/>
  <c r="L1170" i="1"/>
  <c r="M1170" i="1" s="1"/>
  <c r="L1134" i="1"/>
  <c r="M1134" i="1"/>
  <c r="L1086" i="1"/>
  <c r="M1086" i="1"/>
  <c r="L1074" i="1"/>
  <c r="M1074" i="1"/>
  <c r="L1062" i="1"/>
  <c r="M1062" i="1"/>
  <c r="L1050" i="1"/>
  <c r="M1050" i="1"/>
  <c r="L1038" i="1"/>
  <c r="M1038" i="1" s="1"/>
  <c r="L1026" i="1"/>
  <c r="M1026" i="1"/>
  <c r="L1014" i="1"/>
  <c r="M1014" i="1"/>
  <c r="L1002" i="1"/>
  <c r="M1002" i="1" s="1"/>
  <c r="L990" i="1"/>
  <c r="M990" i="1" s="1"/>
  <c r="L978" i="1"/>
  <c r="M978" i="1" s="1"/>
  <c r="L966" i="1"/>
  <c r="M966" i="1" s="1"/>
  <c r="L954" i="1"/>
  <c r="M954" i="1" s="1"/>
  <c r="L942" i="1"/>
  <c r="M942" i="1"/>
  <c r="M918" i="1"/>
  <c r="L918" i="1"/>
  <c r="M906" i="1"/>
  <c r="L906" i="1"/>
  <c r="L894" i="1"/>
  <c r="M894" i="1" s="1"/>
  <c r="L882" i="1"/>
  <c r="M882" i="1" s="1"/>
  <c r="L870" i="1"/>
  <c r="M870" i="1" s="1"/>
  <c r="M858" i="1"/>
  <c r="L858" i="1"/>
  <c r="M846" i="1"/>
  <c r="M834" i="1"/>
  <c r="L834" i="1"/>
  <c r="L822" i="1"/>
  <c r="M822" i="1" s="1"/>
  <c r="L810" i="1"/>
  <c r="M810" i="1" s="1"/>
  <c r="L798" i="1"/>
  <c r="M798" i="1"/>
  <c r="L786" i="1"/>
  <c r="M786" i="1" s="1"/>
  <c r="L774" i="1"/>
  <c r="M774" i="1" s="1"/>
  <c r="M762" i="1"/>
  <c r="L762" i="1"/>
  <c r="L738" i="1"/>
  <c r="M738" i="1" s="1"/>
  <c r="L726" i="1"/>
  <c r="M726" i="1"/>
  <c r="M714" i="1"/>
  <c r="L714" i="1"/>
  <c r="M702" i="1"/>
  <c r="L702" i="1"/>
  <c r="L690" i="1"/>
  <c r="M690" i="1" s="1"/>
  <c r="M678" i="1"/>
  <c r="L678" i="1"/>
  <c r="L666" i="1"/>
  <c r="M666" i="1" s="1"/>
  <c r="L654" i="1"/>
  <c r="M654" i="1"/>
  <c r="M642" i="1"/>
  <c r="L642" i="1"/>
  <c r="M630" i="1"/>
  <c r="L630" i="1"/>
  <c r="L618" i="1"/>
  <c r="M618" i="1" s="1"/>
  <c r="M606" i="1"/>
  <c r="L606" i="1"/>
  <c r="L594" i="1"/>
  <c r="M594" i="1" s="1"/>
  <c r="L582" i="1"/>
  <c r="M582" i="1"/>
  <c r="M570" i="1"/>
  <c r="L570" i="1"/>
  <c r="M558" i="1"/>
  <c r="L558" i="1"/>
  <c r="L546" i="1"/>
  <c r="M546" i="1" s="1"/>
  <c r="M534" i="1"/>
  <c r="L534" i="1"/>
  <c r="L522" i="1"/>
  <c r="M522" i="1" s="1"/>
  <c r="L510" i="1"/>
  <c r="M510" i="1"/>
  <c r="M498" i="1"/>
  <c r="L498" i="1"/>
  <c r="M486" i="1"/>
  <c r="L486" i="1"/>
  <c r="L474" i="1"/>
  <c r="M474" i="1" s="1"/>
  <c r="M462" i="1"/>
  <c r="L462" i="1"/>
  <c r="L450" i="1"/>
  <c r="M450" i="1" s="1"/>
  <c r="L438" i="1"/>
  <c r="M438" i="1"/>
  <c r="M426" i="1"/>
  <c r="L426" i="1"/>
  <c r="M414" i="1"/>
  <c r="L414" i="1"/>
  <c r="L402" i="1"/>
  <c r="M402" i="1" s="1"/>
  <c r="M390" i="1"/>
  <c r="L390" i="1"/>
  <c r="L378" i="1"/>
  <c r="M378" i="1" s="1"/>
  <c r="L366" i="1"/>
  <c r="M366" i="1"/>
  <c r="M354" i="1"/>
  <c r="L354" i="1"/>
  <c r="M342" i="1"/>
  <c r="L342" i="1"/>
  <c r="L330" i="1"/>
  <c r="M330" i="1" s="1"/>
  <c r="M318" i="1"/>
  <c r="L318" i="1"/>
  <c r="L306" i="1"/>
  <c r="M306" i="1" s="1"/>
  <c r="L294" i="1"/>
  <c r="M294" i="1"/>
  <c r="M282" i="1"/>
  <c r="L282" i="1"/>
  <c r="M270" i="1"/>
  <c r="L270" i="1"/>
  <c r="L258" i="1"/>
  <c r="M258" i="1" s="1"/>
  <c r="M246" i="1"/>
  <c r="L246" i="1"/>
  <c r="L234" i="1"/>
  <c r="M234" i="1" s="1"/>
  <c r="L222" i="1"/>
  <c r="M222" i="1"/>
  <c r="M210" i="1"/>
  <c r="L210" i="1"/>
  <c r="M198" i="1"/>
  <c r="L198" i="1"/>
  <c r="L186" i="1"/>
  <c r="M186" i="1" s="1"/>
  <c r="M174" i="1"/>
  <c r="L174" i="1"/>
  <c r="L162" i="1"/>
  <c r="M162" i="1" s="1"/>
  <c r="L150" i="1"/>
  <c r="M150" i="1" s="1"/>
  <c r="M138" i="1"/>
  <c r="L138" i="1"/>
  <c r="M126" i="1"/>
  <c r="L126" i="1"/>
  <c r="L114" i="1"/>
  <c r="M114" i="1" s="1"/>
  <c r="M102" i="1"/>
  <c r="L102" i="1"/>
  <c r="L90" i="1"/>
  <c r="M90" i="1" s="1"/>
  <c r="L78" i="1"/>
  <c r="M78" i="1" s="1"/>
  <c r="L1387" i="1"/>
  <c r="M1387" i="1" s="1"/>
  <c r="L1219" i="1"/>
  <c r="M1219" i="1" s="1"/>
  <c r="L1039" i="1"/>
  <c r="M1039" i="1"/>
  <c r="M895" i="1"/>
  <c r="L895" i="1"/>
  <c r="L715" i="1"/>
  <c r="M715" i="1" s="1"/>
  <c r="L475" i="1"/>
  <c r="M475" i="1" s="1"/>
  <c r="L1384" i="1"/>
  <c r="M1384" i="1" s="1"/>
  <c r="L1288" i="1"/>
  <c r="M1288" i="1" s="1"/>
  <c r="L1276" i="1"/>
  <c r="M1276" i="1"/>
  <c r="L1264" i="1"/>
  <c r="M1264" i="1" s="1"/>
  <c r="L1252" i="1"/>
  <c r="M1252" i="1"/>
  <c r="L1240" i="1"/>
  <c r="M1240" i="1" s="1"/>
  <c r="M1228" i="1"/>
  <c r="L1228" i="1"/>
  <c r="L1216" i="1"/>
  <c r="M1216" i="1" s="1"/>
  <c r="L1204" i="1"/>
  <c r="M1204" i="1"/>
  <c r="L1192" i="1"/>
  <c r="M1192" i="1" s="1"/>
  <c r="L1156" i="1"/>
  <c r="M1156" i="1"/>
  <c r="L1144" i="1"/>
  <c r="M1144" i="1" s="1"/>
  <c r="L1363" i="1"/>
  <c r="M1363" i="1" s="1"/>
  <c r="L1195" i="1"/>
  <c r="M1195" i="1" s="1"/>
  <c r="M847" i="1"/>
  <c r="L847" i="1"/>
  <c r="L667" i="1"/>
  <c r="M667" i="1"/>
  <c r="L463" i="1"/>
  <c r="M463" i="1" s="1"/>
  <c r="L1396" i="1"/>
  <c r="M1396" i="1"/>
  <c r="L1300" i="1"/>
  <c r="M1300" i="1"/>
  <c r="L1375" i="1"/>
  <c r="M1375" i="1"/>
  <c r="L1207" i="1"/>
  <c r="M1207" i="1" s="1"/>
  <c r="L1027" i="1"/>
  <c r="M1027" i="1"/>
  <c r="L883" i="1"/>
  <c r="M883" i="1" s="1"/>
  <c r="L727" i="1"/>
  <c r="M727" i="1"/>
  <c r="L487" i="1"/>
  <c r="M487" i="1" s="1"/>
  <c r="L1408" i="1"/>
  <c r="M1408" i="1"/>
  <c r="L1312" i="1"/>
  <c r="M1312" i="1" s="1"/>
  <c r="L1483" i="1"/>
  <c r="M1483" i="1" s="1"/>
  <c r="L1423" i="1"/>
  <c r="M1423" i="1"/>
  <c r="L1303" i="1"/>
  <c r="M1303" i="1"/>
  <c r="L1267" i="1"/>
  <c r="M1267" i="1"/>
  <c r="L1159" i="1"/>
  <c r="M1159" i="1" s="1"/>
  <c r="L1087" i="1"/>
  <c r="M1087" i="1"/>
  <c r="L991" i="1"/>
  <c r="M991" i="1" s="1"/>
  <c r="L907" i="1"/>
  <c r="M907" i="1" s="1"/>
  <c r="L823" i="1"/>
  <c r="M823" i="1" s="1"/>
  <c r="L739" i="1"/>
  <c r="M739" i="1"/>
  <c r="M643" i="1"/>
  <c r="L643" i="1"/>
  <c r="L559" i="1"/>
  <c r="M559" i="1" s="1"/>
  <c r="L511" i="1"/>
  <c r="M511" i="1" s="1"/>
  <c r="L439" i="1"/>
  <c r="M439" i="1"/>
  <c r="L403" i="1"/>
  <c r="M403" i="1" s="1"/>
  <c r="L379" i="1"/>
  <c r="M379" i="1"/>
  <c r="L1494" i="1"/>
  <c r="M1494" i="1" s="1"/>
  <c r="L1410" i="1"/>
  <c r="M1410" i="1"/>
  <c r="L1326" i="1"/>
  <c r="M1326" i="1"/>
  <c r="L1266" i="1"/>
  <c r="M1266" i="1"/>
  <c r="L1182" i="1"/>
  <c r="M1182" i="1"/>
  <c r="L1122" i="1"/>
  <c r="M1122" i="1"/>
  <c r="L1480" i="1"/>
  <c r="M1480" i="1" s="1"/>
  <c r="L1372" i="1"/>
  <c r="M1372" i="1" s="1"/>
  <c r="L750" i="1"/>
  <c r="M750" i="1" s="1"/>
  <c r="L1471" i="1"/>
  <c r="M1471" i="1"/>
  <c r="L1411" i="1"/>
  <c r="M1411" i="1"/>
  <c r="L1315" i="1"/>
  <c r="M1315" i="1"/>
  <c r="L1231" i="1"/>
  <c r="M1231" i="1" s="1"/>
  <c r="L1171" i="1"/>
  <c r="M1171" i="1"/>
  <c r="L1123" i="1"/>
  <c r="M1123" i="1" s="1"/>
  <c r="L1063" i="1"/>
  <c r="M1063" i="1"/>
  <c r="L955" i="1"/>
  <c r="M955" i="1"/>
  <c r="L871" i="1"/>
  <c r="M871" i="1"/>
  <c r="M787" i="1"/>
  <c r="L787" i="1"/>
  <c r="L703" i="1"/>
  <c r="M703" i="1" s="1"/>
  <c r="L619" i="1"/>
  <c r="M619" i="1" s="1"/>
  <c r="L547" i="1"/>
  <c r="M547" i="1" s="1"/>
  <c r="L367" i="1"/>
  <c r="M367" i="1"/>
  <c r="L1458" i="1"/>
  <c r="M1458" i="1"/>
  <c r="L1386" i="1"/>
  <c r="M1386" i="1" s="1"/>
  <c r="L1314" i="1"/>
  <c r="M1314" i="1"/>
  <c r="L1242" i="1"/>
  <c r="M1242" i="1" s="1"/>
  <c r="L1158" i="1"/>
  <c r="M1158" i="1"/>
  <c r="L1444" i="1"/>
  <c r="M1444" i="1"/>
  <c r="L1348" i="1"/>
  <c r="M1348" i="1"/>
  <c r="L1447" i="1"/>
  <c r="M1447" i="1" s="1"/>
  <c r="L1339" i="1"/>
  <c r="M1339" i="1"/>
  <c r="L1291" i="1"/>
  <c r="M1291" i="1" s="1"/>
  <c r="L1183" i="1"/>
  <c r="M1183" i="1" s="1"/>
  <c r="L1111" i="1"/>
  <c r="M1111" i="1" s="1"/>
  <c r="L1075" i="1"/>
  <c r="M1075" i="1"/>
  <c r="L1015" i="1"/>
  <c r="M1015" i="1" s="1"/>
  <c r="L943" i="1"/>
  <c r="M943" i="1"/>
  <c r="M859" i="1"/>
  <c r="L859" i="1"/>
  <c r="M775" i="1"/>
  <c r="L775" i="1"/>
  <c r="M691" i="1"/>
  <c r="L691" i="1"/>
  <c r="L631" i="1"/>
  <c r="M631" i="1" s="1"/>
  <c r="L583" i="1"/>
  <c r="M583" i="1" s="1"/>
  <c r="L523" i="1"/>
  <c r="M523" i="1"/>
  <c r="L451" i="1"/>
  <c r="M451" i="1" s="1"/>
  <c r="M355" i="1"/>
  <c r="L355" i="1"/>
  <c r="L1482" i="1"/>
  <c r="M1482" i="1" s="1"/>
  <c r="L1446" i="1"/>
  <c r="M1446" i="1"/>
  <c r="L1374" i="1"/>
  <c r="M1374" i="1" s="1"/>
  <c r="L1290" i="1"/>
  <c r="M1290" i="1"/>
  <c r="L1206" i="1"/>
  <c r="M1206" i="1" s="1"/>
  <c r="L1110" i="1"/>
  <c r="M1110" i="1" s="1"/>
  <c r="M1468" i="1"/>
  <c r="L1468" i="1"/>
  <c r="L1336" i="1"/>
  <c r="M1336" i="1"/>
  <c r="L1351" i="1"/>
  <c r="M1351" i="1" s="1"/>
  <c r="L1147" i="1"/>
  <c r="M1147" i="1"/>
  <c r="M967" i="1"/>
  <c r="L967" i="1"/>
  <c r="L799" i="1"/>
  <c r="M799" i="1" s="1"/>
  <c r="L595" i="1"/>
  <c r="M595" i="1" s="1"/>
  <c r="L1492" i="1"/>
  <c r="M1492" i="1"/>
  <c r="M1420" i="1"/>
  <c r="L1420" i="1"/>
  <c r="L979" i="1"/>
  <c r="M979" i="1" s="1"/>
  <c r="L1435" i="1"/>
  <c r="M1435" i="1" s="1"/>
  <c r="L1255" i="1"/>
  <c r="M1255" i="1" s="1"/>
  <c r="L1051" i="1"/>
  <c r="M1051" i="1" s="1"/>
  <c r="L811" i="1"/>
  <c r="M811" i="1"/>
  <c r="M679" i="1"/>
  <c r="L679" i="1"/>
  <c r="L535" i="1"/>
  <c r="M535" i="1" s="1"/>
  <c r="L343" i="1"/>
  <c r="M343" i="1" s="1"/>
  <c r="L1470" i="1"/>
  <c r="M1470" i="1" s="1"/>
  <c r="L1398" i="1"/>
  <c r="M1398" i="1" s="1"/>
  <c r="L1350" i="1"/>
  <c r="M1350" i="1"/>
  <c r="L1278" i="1"/>
  <c r="M1278" i="1" s="1"/>
  <c r="L1218" i="1"/>
  <c r="M1218" i="1"/>
  <c r="L1146" i="1"/>
  <c r="M1146" i="1"/>
  <c r="L1456" i="1"/>
  <c r="M1456" i="1" s="1"/>
  <c r="M1324" i="1"/>
  <c r="L1324" i="1"/>
  <c r="L930" i="1"/>
  <c r="M930" i="1" s="1"/>
  <c r="L1495" i="1"/>
  <c r="M1495" i="1"/>
  <c r="L1399" i="1"/>
  <c r="M1399" i="1" s="1"/>
  <c r="L1279" i="1"/>
  <c r="M1279" i="1"/>
  <c r="L1135" i="1"/>
  <c r="M1135" i="1"/>
  <c r="L1003" i="1"/>
  <c r="M1003" i="1" s="1"/>
  <c r="M919" i="1"/>
  <c r="L919" i="1"/>
  <c r="L835" i="1"/>
  <c r="M835" i="1" s="1"/>
  <c r="L751" i="1"/>
  <c r="M751" i="1" s="1"/>
  <c r="L607" i="1"/>
  <c r="M607" i="1" s="1"/>
  <c r="L415" i="1"/>
  <c r="M415" i="1" s="1"/>
  <c r="L1434" i="1"/>
  <c r="M1434" i="1"/>
  <c r="L1362" i="1"/>
  <c r="M1362" i="1" s="1"/>
  <c r="L1302" i="1"/>
  <c r="M1302" i="1"/>
  <c r="L1230" i="1"/>
  <c r="M1230" i="1"/>
  <c r="L1098" i="1"/>
  <c r="M1098" i="1"/>
  <c r="L1432" i="1"/>
  <c r="M1432" i="1"/>
  <c r="L1360" i="1"/>
  <c r="M1360" i="1"/>
  <c r="L66" i="1"/>
  <c r="M66" i="1" s="1"/>
  <c r="L54" i="1"/>
  <c r="M54" i="1" s="1"/>
  <c r="L42" i="1"/>
  <c r="M42" i="1" s="1"/>
  <c r="L30" i="1"/>
  <c r="M30" i="1" s="1"/>
  <c r="L6" i="1"/>
  <c r="M6" i="1" s="1"/>
  <c r="L1493" i="1"/>
  <c r="M1493" i="1"/>
  <c r="L1481" i="1"/>
  <c r="M1481" i="1" s="1"/>
  <c r="L1469" i="1"/>
  <c r="M1469" i="1" s="1"/>
  <c r="L1457" i="1"/>
  <c r="M1457" i="1" s="1"/>
  <c r="L1445" i="1"/>
  <c r="M1445" i="1"/>
  <c r="L1433" i="1"/>
  <c r="M1433" i="1" s="1"/>
  <c r="L1421" i="1"/>
  <c r="M1421" i="1"/>
  <c r="L1409" i="1"/>
  <c r="M1409" i="1" s="1"/>
  <c r="L1397" i="1"/>
  <c r="M1397" i="1" s="1"/>
  <c r="L1385" i="1"/>
  <c r="M1385" i="1" s="1"/>
  <c r="L1373" i="1"/>
  <c r="M1373" i="1"/>
  <c r="L1361" i="1"/>
  <c r="M1361" i="1" s="1"/>
  <c r="L1349" i="1"/>
  <c r="M1349" i="1"/>
  <c r="L1337" i="1"/>
  <c r="M1337" i="1" s="1"/>
  <c r="L1325" i="1"/>
  <c r="M1325" i="1" s="1"/>
  <c r="L1313" i="1"/>
  <c r="M1313" i="1" s="1"/>
  <c r="L1301" i="1"/>
  <c r="M1301" i="1"/>
  <c r="L1289" i="1"/>
  <c r="M1289" i="1" s="1"/>
  <c r="L1277" i="1"/>
  <c r="M1277" i="1"/>
  <c r="L1265" i="1"/>
  <c r="M1265" i="1" s="1"/>
  <c r="L1253" i="1"/>
  <c r="M1253" i="1" s="1"/>
  <c r="L1241" i="1"/>
  <c r="M1241" i="1" s="1"/>
  <c r="L1229" i="1"/>
  <c r="M1229" i="1"/>
  <c r="L1217" i="1"/>
  <c r="M1217" i="1" s="1"/>
  <c r="L1205" i="1"/>
  <c r="M1205" i="1"/>
  <c r="L1193" i="1"/>
  <c r="M1193" i="1" s="1"/>
  <c r="L1181" i="1"/>
  <c r="M1181" i="1" s="1"/>
  <c r="L1169" i="1"/>
  <c r="M1169" i="1" s="1"/>
  <c r="L1157" i="1"/>
  <c r="M1157" i="1"/>
  <c r="L1145" i="1"/>
  <c r="M1145" i="1" s="1"/>
  <c r="L1133" i="1"/>
  <c r="M1133" i="1"/>
  <c r="L1121" i="1"/>
  <c r="M1121" i="1" s="1"/>
  <c r="L1109" i="1"/>
  <c r="M1109" i="1" s="1"/>
  <c r="L1097" i="1"/>
  <c r="M1097" i="1" s="1"/>
  <c r="L1085" i="1"/>
  <c r="M1085" i="1"/>
  <c r="L1073" i="1"/>
  <c r="M1073" i="1" s="1"/>
  <c r="L1061" i="1"/>
  <c r="M1061" i="1"/>
  <c r="L1049" i="1"/>
  <c r="M1049" i="1" s="1"/>
  <c r="L1037" i="1"/>
  <c r="M1037" i="1" s="1"/>
  <c r="L1025" i="1"/>
  <c r="M1025" i="1" s="1"/>
  <c r="L1013" i="1"/>
  <c r="M1013" i="1"/>
  <c r="M1001" i="1"/>
  <c r="L1001" i="1"/>
  <c r="L977" i="1"/>
  <c r="M977" i="1" s="1"/>
  <c r="M965" i="1"/>
  <c r="M953" i="1"/>
  <c r="L953" i="1"/>
  <c r="L941" i="1"/>
  <c r="M941" i="1" s="1"/>
  <c r="L929" i="1"/>
  <c r="M929" i="1" s="1"/>
  <c r="M917" i="1"/>
  <c r="L917" i="1"/>
  <c r="L893" i="1"/>
  <c r="M893" i="1" s="1"/>
  <c r="M881" i="1"/>
  <c r="L869" i="1"/>
  <c r="M869" i="1" s="1"/>
  <c r="L845" i="1"/>
  <c r="M845" i="1" s="1"/>
  <c r="L797" i="1"/>
  <c r="M797" i="1"/>
  <c r="L785" i="1"/>
  <c r="M785" i="1" s="1"/>
  <c r="M773" i="1"/>
  <c r="L761" i="1"/>
  <c r="M761" i="1" s="1"/>
  <c r="M749" i="1"/>
  <c r="L737" i="1"/>
  <c r="M737" i="1" s="1"/>
  <c r="L725" i="1"/>
  <c r="M725" i="1" s="1"/>
  <c r="L713" i="1"/>
  <c r="M713" i="1" s="1"/>
  <c r="L701" i="1"/>
  <c r="M701" i="1" s="1"/>
  <c r="M689" i="1"/>
  <c r="L689" i="1"/>
  <c r="M677" i="1"/>
  <c r="L665" i="1"/>
  <c r="M665" i="1" s="1"/>
  <c r="L653" i="1"/>
  <c r="M653" i="1" s="1"/>
  <c r="L641" i="1"/>
  <c r="M641" i="1" s="1"/>
  <c r="L629" i="1"/>
  <c r="M629" i="1" s="1"/>
  <c r="L617" i="1"/>
  <c r="M617" i="1" s="1"/>
  <c r="M605" i="1"/>
  <c r="L581" i="1"/>
  <c r="M581" i="1"/>
  <c r="M569" i="1"/>
  <c r="L569" i="1"/>
  <c r="L557" i="1"/>
  <c r="M557" i="1" s="1"/>
  <c r="L545" i="1"/>
  <c r="M545" i="1" s="1"/>
  <c r="L533" i="1"/>
  <c r="M533" i="1" s="1"/>
  <c r="L509" i="1"/>
  <c r="M509" i="1" s="1"/>
  <c r="L497" i="1"/>
  <c r="M497" i="1" s="1"/>
  <c r="M485" i="1"/>
  <c r="L485" i="1"/>
  <c r="L473" i="1"/>
  <c r="M473" i="1" s="1"/>
  <c r="L461" i="1"/>
  <c r="M461" i="1" s="1"/>
  <c r="M449" i="1"/>
  <c r="L449" i="1"/>
  <c r="L437" i="1"/>
  <c r="M437" i="1" s="1"/>
  <c r="L425" i="1"/>
  <c r="M425" i="1" s="1"/>
  <c r="M413" i="1"/>
  <c r="L413" i="1"/>
  <c r="L401" i="1"/>
  <c r="M401" i="1" s="1"/>
  <c r="L389" i="1"/>
  <c r="M389" i="1" s="1"/>
  <c r="L365" i="1"/>
  <c r="M365" i="1"/>
  <c r="L353" i="1"/>
  <c r="M353" i="1" s="1"/>
  <c r="M341" i="1"/>
  <c r="L341" i="1"/>
  <c r="L329" i="1"/>
  <c r="M329" i="1" s="1"/>
  <c r="L317" i="1"/>
  <c r="M317" i="1" s="1"/>
  <c r="L305" i="1"/>
  <c r="M305" i="1" s="1"/>
  <c r="L293" i="1"/>
  <c r="M293" i="1"/>
  <c r="L281" i="1"/>
  <c r="M281" i="1" s="1"/>
  <c r="M269" i="1"/>
  <c r="L269" i="1"/>
  <c r="L245" i="1"/>
  <c r="M245" i="1" s="1"/>
  <c r="L233" i="1"/>
  <c r="M233" i="1" s="1"/>
  <c r="L221" i="1"/>
  <c r="M221" i="1" s="1"/>
  <c r="L197" i="1"/>
  <c r="M197" i="1" s="1"/>
  <c r="M185" i="1"/>
  <c r="L185" i="1"/>
  <c r="L173" i="1"/>
  <c r="M173" i="1" s="1"/>
  <c r="L161" i="1"/>
  <c r="M161" i="1" s="1"/>
  <c r="L149" i="1"/>
  <c r="M149" i="1"/>
  <c r="L137" i="1"/>
  <c r="M137" i="1" s="1"/>
  <c r="L125" i="1"/>
  <c r="M125" i="1" s="1"/>
  <c r="M113" i="1"/>
  <c r="L113" i="1"/>
  <c r="L101" i="1"/>
  <c r="M101" i="1" s="1"/>
  <c r="L89" i="1"/>
  <c r="M89" i="1" s="1"/>
  <c r="L77" i="1"/>
  <c r="M77" i="1"/>
  <c r="L65" i="1"/>
  <c r="M65" i="1" s="1"/>
  <c r="L53" i="1"/>
  <c r="M53" i="1" s="1"/>
  <c r="M41" i="1"/>
  <c r="L41" i="1"/>
  <c r="L29" i="1"/>
  <c r="M29" i="1" s="1"/>
  <c r="L17" i="1"/>
  <c r="M17" i="1" s="1"/>
  <c r="L5" i="1"/>
  <c r="M5" i="1"/>
  <c r="L1442" i="1"/>
  <c r="M1442" i="1" s="1"/>
  <c r="L593" i="1"/>
  <c r="M593" i="1" s="1"/>
  <c r="M1377" i="1"/>
  <c r="M1295" i="1"/>
  <c r="M1211" i="1"/>
  <c r="M1082" i="1"/>
  <c r="M670" i="1"/>
  <c r="L1060" i="1"/>
  <c r="M1060" i="1"/>
  <c r="L1012" i="1"/>
  <c r="M1012" i="1" s="1"/>
  <c r="L1000" i="1"/>
  <c r="M1000" i="1" s="1"/>
  <c r="L964" i="1"/>
  <c r="M964" i="1" s="1"/>
  <c r="L952" i="1"/>
  <c r="M952" i="1"/>
  <c r="L904" i="1"/>
  <c r="M904" i="1" s="1"/>
  <c r="L892" i="1"/>
  <c r="M892" i="1"/>
  <c r="L880" i="1"/>
  <c r="M880" i="1" s="1"/>
  <c r="L868" i="1"/>
  <c r="M868" i="1" s="1"/>
  <c r="L856" i="1"/>
  <c r="M856" i="1" s="1"/>
  <c r="L844" i="1"/>
  <c r="M844" i="1"/>
  <c r="L832" i="1"/>
  <c r="M832" i="1" s="1"/>
  <c r="L820" i="1"/>
  <c r="M820" i="1"/>
  <c r="L808" i="1"/>
  <c r="M808" i="1" s="1"/>
  <c r="L796" i="1"/>
  <c r="M796" i="1" s="1"/>
  <c r="L784" i="1"/>
  <c r="M784" i="1" s="1"/>
  <c r="L772" i="1"/>
  <c r="M772" i="1"/>
  <c r="L760" i="1"/>
  <c r="M760" i="1" s="1"/>
  <c r="L748" i="1"/>
  <c r="M748" i="1"/>
  <c r="L736" i="1"/>
  <c r="M736" i="1" s="1"/>
  <c r="L724" i="1"/>
  <c r="M724" i="1" s="1"/>
  <c r="L712" i="1"/>
  <c r="M712" i="1" s="1"/>
  <c r="L700" i="1"/>
  <c r="M700" i="1"/>
  <c r="L688" i="1"/>
  <c r="M688" i="1" s="1"/>
  <c r="L676" i="1"/>
  <c r="M676" i="1"/>
  <c r="L664" i="1"/>
  <c r="M664" i="1" s="1"/>
  <c r="L652" i="1"/>
  <c r="M652" i="1" s="1"/>
  <c r="L640" i="1"/>
  <c r="M640" i="1" s="1"/>
  <c r="L628" i="1"/>
  <c r="M628" i="1"/>
  <c r="L616" i="1"/>
  <c r="M616" i="1" s="1"/>
  <c r="L604" i="1"/>
  <c r="M604" i="1"/>
  <c r="L592" i="1"/>
  <c r="M592" i="1" s="1"/>
  <c r="L580" i="1"/>
  <c r="M580" i="1" s="1"/>
  <c r="L568" i="1"/>
  <c r="M568" i="1" s="1"/>
  <c r="L556" i="1"/>
  <c r="M556" i="1"/>
  <c r="L544" i="1"/>
  <c r="M544" i="1" s="1"/>
  <c r="L532" i="1"/>
  <c r="M532" i="1"/>
  <c r="L520" i="1"/>
  <c r="M520" i="1" s="1"/>
  <c r="L508" i="1"/>
  <c r="M508" i="1" s="1"/>
  <c r="L496" i="1"/>
  <c r="M496" i="1" s="1"/>
  <c r="L484" i="1"/>
  <c r="M484" i="1"/>
  <c r="L472" i="1"/>
  <c r="M472" i="1" s="1"/>
  <c r="L460" i="1"/>
  <c r="M460" i="1"/>
  <c r="L448" i="1"/>
  <c r="M448" i="1" s="1"/>
  <c r="L436" i="1"/>
  <c r="M436" i="1" s="1"/>
  <c r="L424" i="1"/>
  <c r="M424" i="1" s="1"/>
  <c r="L412" i="1"/>
  <c r="M412" i="1"/>
  <c r="L400" i="1"/>
  <c r="M400" i="1" s="1"/>
  <c r="L388" i="1"/>
  <c r="M388" i="1"/>
  <c r="L376" i="1"/>
  <c r="M376" i="1" s="1"/>
  <c r="L364" i="1"/>
  <c r="M364" i="1" s="1"/>
  <c r="L352" i="1"/>
  <c r="M352" i="1" s="1"/>
  <c r="L340" i="1"/>
  <c r="M340" i="1"/>
  <c r="L328" i="1"/>
  <c r="M328" i="1" s="1"/>
  <c r="L316" i="1"/>
  <c r="M316" i="1"/>
  <c r="L304" i="1"/>
  <c r="M304" i="1" s="1"/>
  <c r="L292" i="1"/>
  <c r="M292" i="1" s="1"/>
  <c r="L280" i="1"/>
  <c r="M280" i="1" s="1"/>
  <c r="L268" i="1"/>
  <c r="M268" i="1"/>
  <c r="L256" i="1"/>
  <c r="M256" i="1" s="1"/>
  <c r="L244" i="1"/>
  <c r="M244" i="1"/>
  <c r="L232" i="1"/>
  <c r="M232" i="1" s="1"/>
  <c r="L220" i="1"/>
  <c r="M220" i="1" s="1"/>
  <c r="L208" i="1"/>
  <c r="M208" i="1" s="1"/>
  <c r="L196" i="1"/>
  <c r="M196" i="1"/>
  <c r="L184" i="1"/>
  <c r="M184" i="1" s="1"/>
  <c r="L172" i="1"/>
  <c r="M172" i="1"/>
  <c r="L160" i="1"/>
  <c r="M160" i="1" s="1"/>
  <c r="L148" i="1"/>
  <c r="M148" i="1" s="1"/>
  <c r="L136" i="1"/>
  <c r="M136" i="1" s="1"/>
  <c r="L124" i="1"/>
  <c r="M124" i="1"/>
  <c r="L112" i="1"/>
  <c r="M112" i="1" s="1"/>
  <c r="L100" i="1"/>
  <c r="M100" i="1"/>
  <c r="L88" i="1"/>
  <c r="M88" i="1" s="1"/>
  <c r="L76" i="1"/>
  <c r="M76" i="1" s="1"/>
  <c r="L64" i="1"/>
  <c r="M64" i="1" s="1"/>
  <c r="L52" i="1"/>
  <c r="M52" i="1"/>
  <c r="L40" i="1"/>
  <c r="M40" i="1" s="1"/>
  <c r="L28" i="1"/>
  <c r="M28" i="1"/>
  <c r="L16" i="1"/>
  <c r="M16" i="1" s="1"/>
  <c r="L4" i="1"/>
  <c r="M4" i="1" s="1"/>
  <c r="L1441" i="1"/>
  <c r="M1441" i="1" s="1"/>
  <c r="L965" i="1"/>
  <c r="L257" i="1"/>
  <c r="M257" i="1" s="1"/>
  <c r="M1280" i="1"/>
  <c r="M1190" i="1"/>
  <c r="M1046" i="1"/>
  <c r="M562" i="1"/>
  <c r="L988" i="1"/>
  <c r="M988" i="1" s="1"/>
  <c r="L1143" i="1"/>
  <c r="M1143" i="1"/>
  <c r="L1035" i="1"/>
  <c r="M1035" i="1" s="1"/>
  <c r="L867" i="1"/>
  <c r="M867" i="1" s="1"/>
  <c r="L831" i="1"/>
  <c r="M831" i="1"/>
  <c r="L795" i="1"/>
  <c r="M795" i="1" s="1"/>
  <c r="L771" i="1"/>
  <c r="M771" i="1"/>
  <c r="L759" i="1"/>
  <c r="M759" i="1"/>
  <c r="L747" i="1"/>
  <c r="M747" i="1"/>
  <c r="L735" i="1"/>
  <c r="M735" i="1" s="1"/>
  <c r="L723" i="1"/>
  <c r="M723" i="1"/>
  <c r="L711" i="1"/>
  <c r="M711" i="1" s="1"/>
  <c r="L699" i="1"/>
  <c r="M699" i="1"/>
  <c r="L687" i="1"/>
  <c r="M687" i="1"/>
  <c r="L675" i="1"/>
  <c r="M675" i="1"/>
  <c r="L663" i="1"/>
  <c r="M663" i="1" s="1"/>
  <c r="L651" i="1"/>
  <c r="M651" i="1"/>
  <c r="L639" i="1"/>
  <c r="M639" i="1" s="1"/>
  <c r="L627" i="1"/>
  <c r="M627" i="1"/>
  <c r="L615" i="1"/>
  <c r="M615" i="1"/>
  <c r="L603" i="1"/>
  <c r="M603" i="1"/>
  <c r="L591" i="1"/>
  <c r="M591" i="1" s="1"/>
  <c r="L579" i="1"/>
  <c r="M579" i="1"/>
  <c r="L567" i="1"/>
  <c r="M567" i="1" s="1"/>
  <c r="L555" i="1"/>
  <c r="M555" i="1"/>
  <c r="L543" i="1"/>
  <c r="M543" i="1"/>
  <c r="L531" i="1"/>
  <c r="M531" i="1"/>
  <c r="L519" i="1"/>
  <c r="M519" i="1" s="1"/>
  <c r="L507" i="1"/>
  <c r="M507" i="1"/>
  <c r="L495" i="1"/>
  <c r="M495" i="1" s="1"/>
  <c r="L483" i="1"/>
  <c r="M483" i="1"/>
  <c r="L471" i="1"/>
  <c r="M471" i="1"/>
  <c r="L459" i="1"/>
  <c r="M459" i="1"/>
  <c r="L447" i="1"/>
  <c r="M447" i="1" s="1"/>
  <c r="L435" i="1"/>
  <c r="M435" i="1"/>
  <c r="L423" i="1"/>
  <c r="M423" i="1" s="1"/>
  <c r="L411" i="1"/>
  <c r="M411" i="1"/>
  <c r="L399" i="1"/>
  <c r="M399" i="1"/>
  <c r="L387" i="1"/>
  <c r="M387" i="1"/>
  <c r="L375" i="1"/>
  <c r="M375" i="1" s="1"/>
  <c r="L363" i="1"/>
  <c r="M363" i="1"/>
  <c r="L351" i="1"/>
  <c r="M351" i="1" s="1"/>
  <c r="L339" i="1"/>
  <c r="M339" i="1"/>
  <c r="L1316" i="1"/>
  <c r="M1316" i="1" s="1"/>
  <c r="L833" i="1"/>
  <c r="M833" i="1" s="1"/>
  <c r="M1358" i="1"/>
  <c r="M1189" i="1"/>
  <c r="M1045" i="1"/>
  <c r="M560" i="1"/>
  <c r="L976" i="1"/>
  <c r="M976" i="1"/>
  <c r="L1178" i="1"/>
  <c r="M1178" i="1" s="1"/>
  <c r="L782" i="1"/>
  <c r="M782" i="1"/>
  <c r="L638" i="1"/>
  <c r="M638" i="1"/>
  <c r="L602" i="1"/>
  <c r="M602" i="1"/>
  <c r="L578" i="1"/>
  <c r="M578" i="1" s="1"/>
  <c r="L530" i="1"/>
  <c r="M530" i="1" s="1"/>
  <c r="L518" i="1"/>
  <c r="M518" i="1"/>
  <c r="L506" i="1"/>
  <c r="M506" i="1" s="1"/>
  <c r="L494" i="1"/>
  <c r="M494" i="1" s="1"/>
  <c r="L482" i="1"/>
  <c r="M482" i="1" s="1"/>
  <c r="L470" i="1"/>
  <c r="M470" i="1" s="1"/>
  <c r="L458" i="1"/>
  <c r="M458" i="1" s="1"/>
  <c r="L446" i="1"/>
  <c r="M446" i="1" s="1"/>
  <c r="M434" i="1"/>
  <c r="L434" i="1"/>
  <c r="L422" i="1"/>
  <c r="M422" i="1" s="1"/>
  <c r="L410" i="1"/>
  <c r="M410" i="1" s="1"/>
  <c r="L398" i="1"/>
  <c r="M398" i="1" s="1"/>
  <c r="L386" i="1"/>
  <c r="M386" i="1" s="1"/>
  <c r="L374" i="1"/>
  <c r="M374" i="1" s="1"/>
  <c r="M362" i="1"/>
  <c r="L362" i="1"/>
  <c r="L350" i="1"/>
  <c r="M350" i="1" s="1"/>
  <c r="L338" i="1"/>
  <c r="M338" i="1"/>
  <c r="L1130" i="1"/>
  <c r="M1130" i="1" s="1"/>
  <c r="L677" i="1"/>
  <c r="M1439" i="1"/>
  <c r="M1356" i="1"/>
  <c r="M1273" i="1"/>
  <c r="M1187" i="1"/>
  <c r="M1034" i="1"/>
  <c r="M526" i="1"/>
  <c r="L1168" i="1"/>
  <c r="M1168" i="1" s="1"/>
  <c r="L1120" i="1"/>
  <c r="M1120" i="1"/>
  <c r="L1072" i="1"/>
  <c r="M1072" i="1" s="1"/>
  <c r="L1024" i="1"/>
  <c r="M1024" i="1"/>
  <c r="L928" i="1"/>
  <c r="M928" i="1"/>
  <c r="M1467" i="1"/>
  <c r="L1467" i="1"/>
  <c r="M1419" i="1"/>
  <c r="L1359" i="1"/>
  <c r="M1359" i="1"/>
  <c r="M1323" i="1"/>
  <c r="L1323" i="1"/>
  <c r="L1287" i="1"/>
  <c r="M1287" i="1"/>
  <c r="M1251" i="1"/>
  <c r="L1179" i="1"/>
  <c r="M1179" i="1" s="1"/>
  <c r="M1107" i="1"/>
  <c r="L1071" i="1"/>
  <c r="M1071" i="1"/>
  <c r="L1023" i="1"/>
  <c r="M1023" i="1"/>
  <c r="L927" i="1"/>
  <c r="M927" i="1" s="1"/>
  <c r="L891" i="1"/>
  <c r="M891" i="1"/>
  <c r="L855" i="1"/>
  <c r="M855" i="1" s="1"/>
  <c r="L807" i="1"/>
  <c r="M807" i="1"/>
  <c r="L1454" i="1"/>
  <c r="M1454" i="1"/>
  <c r="L1430" i="1"/>
  <c r="M1430" i="1"/>
  <c r="M1274" i="1"/>
  <c r="L1010" i="1"/>
  <c r="M1010" i="1" s="1"/>
  <c r="L998" i="1"/>
  <c r="M998" i="1"/>
  <c r="M950" i="1"/>
  <c r="L914" i="1"/>
  <c r="M914" i="1" s="1"/>
  <c r="M878" i="1"/>
  <c r="M842" i="1"/>
  <c r="L842" i="1"/>
  <c r="M794" i="1"/>
  <c r="L734" i="1"/>
  <c r="M734" i="1" s="1"/>
  <c r="L698" i="1"/>
  <c r="M698" i="1"/>
  <c r="L674" i="1"/>
  <c r="M674" i="1" s="1"/>
  <c r="L626" i="1"/>
  <c r="M626" i="1" s="1"/>
  <c r="L566" i="1"/>
  <c r="M566" i="1" s="1"/>
  <c r="L1489" i="1"/>
  <c r="M1489" i="1"/>
  <c r="L1453" i="1"/>
  <c r="M1453" i="1" s="1"/>
  <c r="L1429" i="1"/>
  <c r="M1429" i="1"/>
  <c r="L1405" i="1"/>
  <c r="M1405" i="1" s="1"/>
  <c r="M1393" i="1"/>
  <c r="L1369" i="1"/>
  <c r="M1369" i="1"/>
  <c r="L1357" i="1"/>
  <c r="M1357" i="1"/>
  <c r="L1345" i="1"/>
  <c r="M1345" i="1" s="1"/>
  <c r="L1333" i="1"/>
  <c r="M1333" i="1"/>
  <c r="L1321" i="1"/>
  <c r="M1321" i="1" s="1"/>
  <c r="L1309" i="1"/>
  <c r="M1309" i="1"/>
  <c r="L1285" i="1"/>
  <c r="M1285" i="1"/>
  <c r="L1261" i="1"/>
  <c r="M1261" i="1"/>
  <c r="M1249" i="1"/>
  <c r="L1225" i="1"/>
  <c r="M1225" i="1" s="1"/>
  <c r="L1201" i="1"/>
  <c r="M1201" i="1"/>
  <c r="L1177" i="1"/>
  <c r="M1177" i="1"/>
  <c r="L1129" i="1"/>
  <c r="M1129" i="1"/>
  <c r="L1117" i="1"/>
  <c r="M1117" i="1"/>
  <c r="M1105" i="1"/>
  <c r="L1081" i="1"/>
  <c r="M1081" i="1" s="1"/>
  <c r="L1069" i="1"/>
  <c r="M1069" i="1"/>
  <c r="L1057" i="1"/>
  <c r="M1057" i="1" s="1"/>
  <c r="L1033" i="1"/>
  <c r="M1033" i="1" s="1"/>
  <c r="L1021" i="1"/>
  <c r="M1021" i="1" s="1"/>
  <c r="M1009" i="1"/>
  <c r="L997" i="1"/>
  <c r="M997" i="1" s="1"/>
  <c r="L985" i="1"/>
  <c r="M985" i="1"/>
  <c r="L961" i="1"/>
  <c r="M961" i="1" s="1"/>
  <c r="L937" i="1"/>
  <c r="M937" i="1" s="1"/>
  <c r="L925" i="1"/>
  <c r="M925" i="1" s="1"/>
  <c r="L913" i="1"/>
  <c r="M913" i="1"/>
  <c r="L901" i="1"/>
  <c r="M901" i="1" s="1"/>
  <c r="L889" i="1"/>
  <c r="M889" i="1" s="1"/>
  <c r="M877" i="1"/>
  <c r="L865" i="1"/>
  <c r="M865" i="1" s="1"/>
  <c r="L853" i="1"/>
  <c r="M853" i="1"/>
  <c r="L841" i="1"/>
  <c r="M841" i="1"/>
  <c r="L829" i="1"/>
  <c r="M829" i="1" s="1"/>
  <c r="L817" i="1"/>
  <c r="M817" i="1" s="1"/>
  <c r="L805" i="1"/>
  <c r="M805" i="1"/>
  <c r="M793" i="1"/>
  <c r="L781" i="1"/>
  <c r="M781" i="1" s="1"/>
  <c r="L769" i="1"/>
  <c r="M769" i="1" s="1"/>
  <c r="L757" i="1"/>
  <c r="M757" i="1"/>
  <c r="M745" i="1"/>
  <c r="L733" i="1"/>
  <c r="M733" i="1"/>
  <c r="M721" i="1"/>
  <c r="L709" i="1"/>
  <c r="M709" i="1"/>
  <c r="L697" i="1"/>
  <c r="M697" i="1" s="1"/>
  <c r="M685" i="1"/>
  <c r="L685" i="1"/>
  <c r="L673" i="1"/>
  <c r="M673" i="1" s="1"/>
  <c r="M661" i="1"/>
  <c r="L661" i="1"/>
  <c r="L637" i="1"/>
  <c r="M637" i="1"/>
  <c r="L625" i="1"/>
  <c r="M625" i="1" s="1"/>
  <c r="L613" i="1"/>
  <c r="M613" i="1" s="1"/>
  <c r="L601" i="1"/>
  <c r="M601" i="1"/>
  <c r="M589" i="1"/>
  <c r="L589" i="1"/>
  <c r="L577" i="1"/>
  <c r="M577" i="1" s="1"/>
  <c r="L565" i="1"/>
  <c r="M565" i="1"/>
  <c r="L553" i="1"/>
  <c r="M553" i="1"/>
  <c r="L541" i="1"/>
  <c r="M541" i="1" s="1"/>
  <c r="L529" i="1"/>
  <c r="M529" i="1"/>
  <c r="M517" i="1"/>
  <c r="L505" i="1"/>
  <c r="M505" i="1" s="1"/>
  <c r="L493" i="1"/>
  <c r="M493" i="1"/>
  <c r="L481" i="1"/>
  <c r="M481" i="1" s="1"/>
  <c r="L469" i="1"/>
  <c r="M469" i="1" s="1"/>
  <c r="M457" i="1"/>
  <c r="L457" i="1"/>
  <c r="L445" i="1"/>
  <c r="M445" i="1"/>
  <c r="L433" i="1"/>
  <c r="M433" i="1" s="1"/>
  <c r="L421" i="1"/>
  <c r="M421" i="1"/>
  <c r="L409" i="1"/>
  <c r="M409" i="1"/>
  <c r="M385" i="1"/>
  <c r="L373" i="1"/>
  <c r="M373" i="1"/>
  <c r="L361" i="1"/>
  <c r="M361" i="1"/>
  <c r="L1371" i="1"/>
  <c r="M1371" i="1" s="1"/>
  <c r="L1236" i="1"/>
  <c r="M1236" i="1" s="1"/>
  <c r="L950" i="1"/>
  <c r="L821" i="1"/>
  <c r="M821" i="1" s="1"/>
  <c r="L650" i="1"/>
  <c r="M650" i="1" s="1"/>
  <c r="L385" i="1"/>
  <c r="L209" i="1"/>
  <c r="M209" i="1" s="1"/>
  <c r="L18" i="1"/>
  <c r="M18" i="1" s="1"/>
  <c r="M1424" i="1"/>
  <c r="M1341" i="1"/>
  <c r="M1259" i="1"/>
  <c r="M1166" i="1"/>
  <c r="M975" i="1"/>
  <c r="M397" i="1"/>
  <c r="M1132" i="1"/>
  <c r="L1096" i="1"/>
  <c r="M1096" i="1"/>
  <c r="L1084" i="1"/>
  <c r="M1084" i="1" s="1"/>
  <c r="M1036" i="1"/>
  <c r="L1036" i="1"/>
  <c r="L940" i="1"/>
  <c r="M940" i="1" s="1"/>
  <c r="L1491" i="1"/>
  <c r="M1491" i="1" s="1"/>
  <c r="M1443" i="1"/>
  <c r="L1431" i="1"/>
  <c r="M1431" i="1"/>
  <c r="L1407" i="1"/>
  <c r="M1407" i="1"/>
  <c r="L1383" i="1"/>
  <c r="M1383" i="1" s="1"/>
  <c r="L1347" i="1"/>
  <c r="M1347" i="1" s="1"/>
  <c r="M1299" i="1"/>
  <c r="L1263" i="1"/>
  <c r="M1263" i="1"/>
  <c r="M1203" i="1"/>
  <c r="L1203" i="1"/>
  <c r="L1119" i="1"/>
  <c r="M1119" i="1" s="1"/>
  <c r="M1083" i="1"/>
  <c r="L1047" i="1"/>
  <c r="M1047" i="1" s="1"/>
  <c r="L999" i="1"/>
  <c r="M999" i="1" s="1"/>
  <c r="L963" i="1"/>
  <c r="M963" i="1"/>
  <c r="L903" i="1"/>
  <c r="M903" i="1" s="1"/>
  <c r="L819" i="1"/>
  <c r="M819" i="1"/>
  <c r="L1466" i="1"/>
  <c r="M1466" i="1" s="1"/>
  <c r="L1382" i="1"/>
  <c r="M1382" i="1"/>
  <c r="L1346" i="1"/>
  <c r="M1346" i="1"/>
  <c r="L1310" i="1"/>
  <c r="M1310" i="1" s="1"/>
  <c r="M1250" i="1"/>
  <c r="L1202" i="1"/>
  <c r="M1202" i="1" s="1"/>
  <c r="M1154" i="1"/>
  <c r="M1106" i="1"/>
  <c r="L1070" i="1"/>
  <c r="M1070" i="1"/>
  <c r="L1058" i="1"/>
  <c r="M1058" i="1"/>
  <c r="L1022" i="1"/>
  <c r="M1022" i="1" s="1"/>
  <c r="L974" i="1"/>
  <c r="M974" i="1"/>
  <c r="L938" i="1"/>
  <c r="M938" i="1"/>
  <c r="L902" i="1"/>
  <c r="M902" i="1" s="1"/>
  <c r="M866" i="1"/>
  <c r="L866" i="1"/>
  <c r="L830" i="1"/>
  <c r="M830" i="1"/>
  <c r="L806" i="1"/>
  <c r="M806" i="1" s="1"/>
  <c r="L758" i="1"/>
  <c r="M758" i="1"/>
  <c r="L746" i="1"/>
  <c r="M746" i="1" s="1"/>
  <c r="L710" i="1"/>
  <c r="M710" i="1" s="1"/>
  <c r="M662" i="1"/>
  <c r="L662" i="1"/>
  <c r="L614" i="1"/>
  <c r="M614" i="1" s="1"/>
  <c r="M554" i="1"/>
  <c r="L554" i="1"/>
  <c r="L1477" i="1"/>
  <c r="M1477" i="1"/>
  <c r="M1488" i="1"/>
  <c r="L1476" i="1"/>
  <c r="M1476" i="1" s="1"/>
  <c r="L1452" i="1"/>
  <c r="M1452" i="1"/>
  <c r="L1440" i="1"/>
  <c r="M1440" i="1"/>
  <c r="M1428" i="1"/>
  <c r="L1428" i="1"/>
  <c r="L1416" i="1"/>
  <c r="M1416" i="1"/>
  <c r="L1404" i="1"/>
  <c r="M1404" i="1" s="1"/>
  <c r="L1392" i="1"/>
  <c r="M1392" i="1"/>
  <c r="L1368" i="1"/>
  <c r="M1368" i="1"/>
  <c r="L1332" i="1"/>
  <c r="M1332" i="1" s="1"/>
  <c r="L1308" i="1"/>
  <c r="M1308" i="1" s="1"/>
  <c r="L1296" i="1"/>
  <c r="M1296" i="1"/>
  <c r="L1284" i="1"/>
  <c r="M1284" i="1" s="1"/>
  <c r="L1272" i="1"/>
  <c r="M1272" i="1" s="1"/>
  <c r="L1260" i="1"/>
  <c r="M1260" i="1" s="1"/>
  <c r="L1248" i="1"/>
  <c r="M1248" i="1"/>
  <c r="L1224" i="1"/>
  <c r="M1224" i="1" s="1"/>
  <c r="L1212" i="1"/>
  <c r="M1212" i="1"/>
  <c r="M1200" i="1"/>
  <c r="L1188" i="1"/>
  <c r="M1188" i="1" s="1"/>
  <c r="L1176" i="1"/>
  <c r="M1176" i="1"/>
  <c r="L1164" i="1"/>
  <c r="M1164" i="1"/>
  <c r="M1152" i="1"/>
  <c r="L1152" i="1"/>
  <c r="L1140" i="1"/>
  <c r="M1140" i="1"/>
  <c r="L1128" i="1"/>
  <c r="M1128" i="1" s="1"/>
  <c r="L1116" i="1"/>
  <c r="M1116" i="1" s="1"/>
  <c r="L1104" i="1"/>
  <c r="M1104" i="1" s="1"/>
  <c r="L1080" i="1"/>
  <c r="M1080" i="1"/>
  <c r="L1068" i="1"/>
  <c r="M1068" i="1" s="1"/>
  <c r="M1056" i="1"/>
  <c r="L1044" i="1"/>
  <c r="M1044" i="1"/>
  <c r="L1032" i="1"/>
  <c r="M1032" i="1"/>
  <c r="L1020" i="1"/>
  <c r="M1020" i="1"/>
  <c r="M1008" i="1"/>
  <c r="L996" i="1"/>
  <c r="M996" i="1"/>
  <c r="L984" i="1"/>
  <c r="M984" i="1" s="1"/>
  <c r="L972" i="1"/>
  <c r="M972" i="1" s="1"/>
  <c r="L960" i="1"/>
  <c r="M960" i="1"/>
  <c r="L936" i="1"/>
  <c r="M936" i="1"/>
  <c r="M924" i="1"/>
  <c r="L912" i="1"/>
  <c r="M912" i="1"/>
  <c r="M900" i="1"/>
  <c r="L900" i="1"/>
  <c r="L888" i="1"/>
  <c r="M888" i="1" s="1"/>
  <c r="L876" i="1"/>
  <c r="M876" i="1" s="1"/>
  <c r="L864" i="1"/>
  <c r="M864" i="1" s="1"/>
  <c r="M852" i="1"/>
  <c r="L840" i="1"/>
  <c r="M840" i="1"/>
  <c r="L828" i="1"/>
  <c r="M828" i="1" s="1"/>
  <c r="L816" i="1"/>
  <c r="M816" i="1" s="1"/>
  <c r="M804" i="1"/>
  <c r="M792" i="1"/>
  <c r="M780" i="1"/>
  <c r="L780" i="1"/>
  <c r="L768" i="1"/>
  <c r="M768" i="1"/>
  <c r="L756" i="1"/>
  <c r="M756" i="1"/>
  <c r="M744" i="1"/>
  <c r="L732" i="1"/>
  <c r="M732" i="1" s="1"/>
  <c r="L708" i="1"/>
  <c r="M708" i="1" s="1"/>
  <c r="L696" i="1"/>
  <c r="M696" i="1"/>
  <c r="L684" i="1"/>
  <c r="M684" i="1" s="1"/>
  <c r="L672" i="1"/>
  <c r="M672" i="1" s="1"/>
  <c r="L660" i="1"/>
  <c r="M660" i="1" s="1"/>
  <c r="L648" i="1"/>
  <c r="M648" i="1" s="1"/>
  <c r="L636" i="1"/>
  <c r="M636" i="1"/>
  <c r="L624" i="1"/>
  <c r="M624" i="1"/>
  <c r="L612" i="1"/>
  <c r="M612" i="1" s="1"/>
  <c r="L600" i="1"/>
  <c r="M600" i="1"/>
  <c r="M588" i="1"/>
  <c r="L588" i="1"/>
  <c r="L576" i="1"/>
  <c r="M576" i="1" s="1"/>
  <c r="L564" i="1"/>
  <c r="M564" i="1"/>
  <c r="L552" i="1"/>
  <c r="M552" i="1" s="1"/>
  <c r="L540" i="1"/>
  <c r="M540" i="1" s="1"/>
  <c r="L528" i="1"/>
  <c r="M528" i="1"/>
  <c r="M516" i="1"/>
  <c r="L516" i="1"/>
  <c r="L504" i="1"/>
  <c r="M504" i="1"/>
  <c r="M492" i="1"/>
  <c r="L492" i="1"/>
  <c r="L480" i="1"/>
  <c r="M480" i="1"/>
  <c r="L468" i="1"/>
  <c r="M468" i="1" s="1"/>
  <c r="L456" i="1"/>
  <c r="M456" i="1" s="1"/>
  <c r="M444" i="1"/>
  <c r="L444" i="1"/>
  <c r="L432" i="1"/>
  <c r="M432" i="1"/>
  <c r="L420" i="1"/>
  <c r="M420" i="1"/>
  <c r="L408" i="1"/>
  <c r="M408" i="1" s="1"/>
  <c r="L396" i="1"/>
  <c r="M396" i="1"/>
  <c r="L372" i="1"/>
  <c r="M372" i="1" s="1"/>
  <c r="M360" i="1"/>
  <c r="L360" i="1"/>
  <c r="L348" i="1"/>
  <c r="M348" i="1"/>
  <c r="L1485" i="1"/>
  <c r="M1485" i="1" s="1"/>
  <c r="L1107" i="1"/>
  <c r="L949" i="1"/>
  <c r="M949" i="1" s="1"/>
  <c r="L905" i="1"/>
  <c r="M905" i="1" s="1"/>
  <c r="L857" i="1"/>
  <c r="M857" i="1" s="1"/>
  <c r="L773" i="1"/>
  <c r="L721" i="1"/>
  <c r="L649" i="1"/>
  <c r="M649" i="1" s="1"/>
  <c r="L384" i="1"/>
  <c r="M384" i="1" s="1"/>
  <c r="M2" i="1"/>
  <c r="M1257" i="1"/>
  <c r="M1165" i="1"/>
  <c r="M973" i="1"/>
  <c r="M392" i="1"/>
  <c r="M1180" i="1"/>
  <c r="L1180" i="1"/>
  <c r="L1108" i="1"/>
  <c r="M1108" i="1" s="1"/>
  <c r="L1048" i="1"/>
  <c r="M1048" i="1"/>
  <c r="L916" i="1"/>
  <c r="M916" i="1" s="1"/>
  <c r="L1479" i="1"/>
  <c r="M1479" i="1"/>
  <c r="L1455" i="1"/>
  <c r="M1455" i="1"/>
  <c r="L1335" i="1"/>
  <c r="M1335" i="1"/>
  <c r="L1311" i="1"/>
  <c r="M1311" i="1"/>
  <c r="M1275" i="1"/>
  <c r="L1239" i="1"/>
  <c r="M1239" i="1" s="1"/>
  <c r="L1215" i="1"/>
  <c r="M1215" i="1"/>
  <c r="L1191" i="1"/>
  <c r="M1191" i="1" s="1"/>
  <c r="L1167" i="1"/>
  <c r="M1167" i="1" s="1"/>
  <c r="M1131" i="1"/>
  <c r="L1095" i="1"/>
  <c r="M1095" i="1"/>
  <c r="M1059" i="1"/>
  <c r="L1059" i="1"/>
  <c r="L1011" i="1"/>
  <c r="M1011" i="1"/>
  <c r="L987" i="1"/>
  <c r="M987" i="1" s="1"/>
  <c r="L939" i="1"/>
  <c r="M939" i="1" s="1"/>
  <c r="L915" i="1"/>
  <c r="M915" i="1"/>
  <c r="L879" i="1"/>
  <c r="M879" i="1"/>
  <c r="L843" i="1"/>
  <c r="M843" i="1" s="1"/>
  <c r="L783" i="1"/>
  <c r="M783" i="1"/>
  <c r="L1490" i="1"/>
  <c r="M1490" i="1"/>
  <c r="L1406" i="1"/>
  <c r="M1406" i="1"/>
  <c r="M1394" i="1"/>
  <c r="M1370" i="1"/>
  <c r="L1322" i="1"/>
  <c r="M1322" i="1" s="1"/>
  <c r="L1286" i="1"/>
  <c r="M1286" i="1" s="1"/>
  <c r="L1262" i="1"/>
  <c r="M1262" i="1"/>
  <c r="L1238" i="1"/>
  <c r="M1238" i="1"/>
  <c r="L1118" i="1"/>
  <c r="M1118" i="1"/>
  <c r="M962" i="1"/>
  <c r="L926" i="1"/>
  <c r="M926" i="1" s="1"/>
  <c r="L890" i="1"/>
  <c r="M890" i="1" s="1"/>
  <c r="L854" i="1"/>
  <c r="M854" i="1" s="1"/>
  <c r="M818" i="1"/>
  <c r="L770" i="1"/>
  <c r="M770" i="1"/>
  <c r="M722" i="1"/>
  <c r="M686" i="1"/>
  <c r="L686" i="1"/>
  <c r="M590" i="1"/>
  <c r="L590" i="1"/>
  <c r="L1501" i="1"/>
  <c r="M1501" i="1"/>
  <c r="L1465" i="1"/>
  <c r="M1465" i="1" s="1"/>
  <c r="L1499" i="1"/>
  <c r="M1499" i="1"/>
  <c r="L1487" i="1"/>
  <c r="M1487" i="1"/>
  <c r="L1475" i="1"/>
  <c r="M1475" i="1" s="1"/>
  <c r="L1451" i="1"/>
  <c r="M1451" i="1" s="1"/>
  <c r="L1427" i="1"/>
  <c r="M1427" i="1"/>
  <c r="L1415" i="1"/>
  <c r="M1415" i="1" s="1"/>
  <c r="L1391" i="1"/>
  <c r="M1391" i="1"/>
  <c r="L1379" i="1"/>
  <c r="M1379" i="1"/>
  <c r="L1367" i="1"/>
  <c r="M1367" i="1" s="1"/>
  <c r="L1355" i="1"/>
  <c r="M1355" i="1" s="1"/>
  <c r="L1343" i="1"/>
  <c r="M1343" i="1"/>
  <c r="L1331" i="1"/>
  <c r="M1331" i="1" s="1"/>
  <c r="L1307" i="1"/>
  <c r="M1307" i="1"/>
  <c r="L1283" i="1"/>
  <c r="M1283" i="1" s="1"/>
  <c r="L1271" i="1"/>
  <c r="M1271" i="1" s="1"/>
  <c r="L1247" i="1"/>
  <c r="M1247" i="1" s="1"/>
  <c r="L1235" i="1"/>
  <c r="M1235" i="1"/>
  <c r="L1223" i="1"/>
  <c r="M1223" i="1" s="1"/>
  <c r="L1199" i="1"/>
  <c r="M1199" i="1"/>
  <c r="L1175" i="1"/>
  <c r="M1175" i="1"/>
  <c r="L1151" i="1"/>
  <c r="M1151" i="1" s="1"/>
  <c r="L1139" i="1"/>
  <c r="M1139" i="1" s="1"/>
  <c r="L1127" i="1"/>
  <c r="M1127" i="1"/>
  <c r="L1115" i="1"/>
  <c r="M1115" i="1" s="1"/>
  <c r="L1103" i="1"/>
  <c r="M1103" i="1"/>
  <c r="L1091" i="1"/>
  <c r="M1091" i="1"/>
  <c r="L1079" i="1"/>
  <c r="M1079" i="1" s="1"/>
  <c r="L1067" i="1"/>
  <c r="M1067" i="1" s="1"/>
  <c r="L1055" i="1"/>
  <c r="M1055" i="1"/>
  <c r="L1043" i="1"/>
  <c r="M1043" i="1" s="1"/>
  <c r="L1031" i="1"/>
  <c r="M1031" i="1"/>
  <c r="L1019" i="1"/>
  <c r="M1019" i="1"/>
  <c r="L1007" i="1"/>
  <c r="M1007" i="1" s="1"/>
  <c r="L995" i="1"/>
  <c r="M995" i="1" s="1"/>
  <c r="L983" i="1"/>
  <c r="M983" i="1"/>
  <c r="L971" i="1"/>
  <c r="M971" i="1" s="1"/>
  <c r="L959" i="1"/>
  <c r="M959" i="1"/>
  <c r="L947" i="1"/>
  <c r="M947" i="1" s="1"/>
  <c r="L935" i="1"/>
  <c r="M935" i="1" s="1"/>
  <c r="L923" i="1"/>
  <c r="M923" i="1" s="1"/>
  <c r="L911" i="1"/>
  <c r="M911" i="1"/>
  <c r="L899" i="1"/>
  <c r="M899" i="1" s="1"/>
  <c r="L887" i="1"/>
  <c r="M887" i="1"/>
  <c r="L875" i="1"/>
  <c r="M875" i="1"/>
  <c r="L863" i="1"/>
  <c r="M863" i="1" s="1"/>
  <c r="L851" i="1"/>
  <c r="M851" i="1" s="1"/>
  <c r="L839" i="1"/>
  <c r="M839" i="1"/>
  <c r="L827" i="1"/>
  <c r="M827" i="1" s="1"/>
  <c r="L815" i="1"/>
  <c r="M815" i="1"/>
  <c r="L803" i="1"/>
  <c r="M803" i="1"/>
  <c r="L791" i="1"/>
  <c r="M791" i="1" s="1"/>
  <c r="L779" i="1"/>
  <c r="M779" i="1" s="1"/>
  <c r="L767" i="1"/>
  <c r="M767" i="1"/>
  <c r="L755" i="1"/>
  <c r="M755" i="1" s="1"/>
  <c r="L743" i="1"/>
  <c r="M743" i="1"/>
  <c r="L731" i="1"/>
  <c r="M731" i="1"/>
  <c r="L719" i="1"/>
  <c r="M719" i="1" s="1"/>
  <c r="L707" i="1"/>
  <c r="M707" i="1" s="1"/>
  <c r="L695" i="1"/>
  <c r="M695" i="1"/>
  <c r="L683" i="1"/>
  <c r="M683" i="1" s="1"/>
  <c r="L671" i="1"/>
  <c r="M671" i="1"/>
  <c r="L659" i="1"/>
  <c r="M659" i="1" s="1"/>
  <c r="L647" i="1"/>
  <c r="M647" i="1" s="1"/>
  <c r="L635" i="1"/>
  <c r="M635" i="1" s="1"/>
  <c r="L623" i="1"/>
  <c r="M623" i="1"/>
  <c r="L611" i="1"/>
  <c r="M611" i="1" s="1"/>
  <c r="L599" i="1"/>
  <c r="M599" i="1"/>
  <c r="L587" i="1"/>
  <c r="M587" i="1"/>
  <c r="L575" i="1"/>
  <c r="M575" i="1" s="1"/>
  <c r="L563" i="1"/>
  <c r="M563" i="1" s="1"/>
  <c r="L551" i="1"/>
  <c r="M551" i="1"/>
  <c r="L539" i="1"/>
  <c r="M539" i="1" s="1"/>
  <c r="L527" i="1"/>
  <c r="M527" i="1"/>
  <c r="L515" i="1"/>
  <c r="M515" i="1"/>
  <c r="L503" i="1"/>
  <c r="M503" i="1" s="1"/>
  <c r="L491" i="1"/>
  <c r="M491" i="1" s="1"/>
  <c r="L479" i="1"/>
  <c r="M479" i="1"/>
  <c r="L467" i="1"/>
  <c r="M467" i="1" s="1"/>
  <c r="L455" i="1"/>
  <c r="M455" i="1"/>
  <c r="L443" i="1"/>
  <c r="M443" i="1"/>
  <c r="L431" i="1"/>
  <c r="M431" i="1" s="1"/>
  <c r="L419" i="1"/>
  <c r="M419" i="1" s="1"/>
  <c r="L407" i="1"/>
  <c r="M407" i="1"/>
  <c r="L395" i="1"/>
  <c r="M395" i="1" s="1"/>
  <c r="L383" i="1"/>
  <c r="M383" i="1"/>
  <c r="L371" i="1"/>
  <c r="M371" i="1" s="1"/>
  <c r="L359" i="1"/>
  <c r="M359" i="1" s="1"/>
  <c r="L347" i="1"/>
  <c r="M347" i="1" s="1"/>
  <c r="L335" i="1"/>
  <c r="M335" i="1"/>
  <c r="L323" i="1"/>
  <c r="M323" i="1" s="1"/>
  <c r="L311" i="1"/>
  <c r="M311" i="1"/>
  <c r="L299" i="1"/>
  <c r="M299" i="1"/>
  <c r="L287" i="1"/>
  <c r="M287" i="1" s="1"/>
  <c r="L275" i="1"/>
  <c r="M275" i="1" s="1"/>
  <c r="L263" i="1"/>
  <c r="M263" i="1"/>
  <c r="L251" i="1"/>
  <c r="M251" i="1" s="1"/>
  <c r="L239" i="1"/>
  <c r="M239" i="1"/>
  <c r="L227" i="1"/>
  <c r="M227" i="1"/>
  <c r="L215" i="1"/>
  <c r="M215" i="1" s="1"/>
  <c r="L203" i="1"/>
  <c r="M203" i="1" s="1"/>
  <c r="L191" i="1"/>
  <c r="M191" i="1"/>
  <c r="L179" i="1"/>
  <c r="M179" i="1" s="1"/>
  <c r="L167" i="1"/>
  <c r="M167" i="1"/>
  <c r="L155" i="1"/>
  <c r="M155" i="1"/>
  <c r="L143" i="1"/>
  <c r="M143" i="1" s="1"/>
  <c r="L131" i="1"/>
  <c r="M131" i="1" s="1"/>
  <c r="L119" i="1"/>
  <c r="M119" i="1"/>
  <c r="L107" i="1"/>
  <c r="M107" i="1" s="1"/>
  <c r="L95" i="1"/>
  <c r="M95" i="1"/>
  <c r="L83" i="1"/>
  <c r="M83" i="1" s="1"/>
  <c r="L71" i="1"/>
  <c r="M71" i="1" s="1"/>
  <c r="L59" i="1"/>
  <c r="M59" i="1" s="1"/>
  <c r="L47" i="1"/>
  <c r="M47" i="1"/>
  <c r="L35" i="1"/>
  <c r="M35" i="1" s="1"/>
  <c r="L23" i="1"/>
  <c r="M23" i="1"/>
  <c r="L11" i="1"/>
  <c r="M11" i="1"/>
  <c r="L1484" i="1"/>
  <c r="M1484" i="1" s="1"/>
  <c r="L1419" i="1"/>
  <c r="L1233" i="1"/>
  <c r="M1233" i="1" s="1"/>
  <c r="L1106" i="1"/>
  <c r="L989" i="1"/>
  <c r="M989" i="1" s="1"/>
  <c r="L948" i="1"/>
  <c r="M948" i="1" s="1"/>
  <c r="L852" i="1"/>
  <c r="L809" i="1"/>
  <c r="M809" i="1" s="1"/>
  <c r="L720" i="1"/>
  <c r="M720" i="1" s="1"/>
  <c r="L542" i="1"/>
  <c r="M542" i="1" s="1"/>
  <c r="L377" i="1"/>
  <c r="M377" i="1" s="1"/>
  <c r="L200" i="1"/>
  <c r="M200" i="1" s="1"/>
  <c r="M1500" i="1"/>
  <c r="M1417" i="1"/>
  <c r="M1334" i="1"/>
  <c r="M1163" i="1"/>
  <c r="M951" i="1"/>
  <c r="L1450" i="1"/>
  <c r="M1450" i="1" s="1"/>
  <c r="M1378" i="1"/>
  <c r="L1306" i="1"/>
  <c r="M1306" i="1"/>
  <c r="L1258" i="1"/>
  <c r="M1258" i="1" s="1"/>
  <c r="M1198" i="1"/>
  <c r="L1114" i="1"/>
  <c r="M1114" i="1"/>
  <c r="L1018" i="1"/>
  <c r="M1018" i="1"/>
  <c r="M874" i="1"/>
  <c r="M778" i="1"/>
  <c r="L694" i="1"/>
  <c r="M694" i="1"/>
  <c r="M598" i="1"/>
  <c r="L538" i="1"/>
  <c r="M538" i="1" s="1"/>
  <c r="L490" i="1"/>
  <c r="M490" i="1" s="1"/>
  <c r="M478" i="1"/>
  <c r="L466" i="1"/>
  <c r="M466" i="1"/>
  <c r="L430" i="1"/>
  <c r="M430" i="1" s="1"/>
  <c r="L418" i="1"/>
  <c r="M418" i="1" s="1"/>
  <c r="M406" i="1"/>
  <c r="L406" i="1"/>
  <c r="L394" i="1"/>
  <c r="M394" i="1"/>
  <c r="M382" i="1"/>
  <c r="L382" i="1"/>
  <c r="L370" i="1"/>
  <c r="M370" i="1" s="1"/>
  <c r="L358" i="1"/>
  <c r="M358" i="1" s="1"/>
  <c r="L346" i="1"/>
  <c r="M346" i="1" s="1"/>
  <c r="M334" i="1"/>
  <c r="L322" i="1"/>
  <c r="M322" i="1" s="1"/>
  <c r="M310" i="1"/>
  <c r="L310" i="1"/>
  <c r="M298" i="1"/>
  <c r="L298" i="1"/>
  <c r="L286" i="1"/>
  <c r="M286" i="1" s="1"/>
  <c r="M274" i="1"/>
  <c r="L274" i="1"/>
  <c r="L262" i="1"/>
  <c r="M262" i="1"/>
  <c r="L250" i="1"/>
  <c r="M250" i="1"/>
  <c r="L238" i="1"/>
  <c r="M238" i="1" s="1"/>
  <c r="L226" i="1"/>
  <c r="M226" i="1" s="1"/>
  <c r="L214" i="1"/>
  <c r="M214" i="1" s="1"/>
  <c r="M202" i="1"/>
  <c r="L190" i="1"/>
  <c r="M190" i="1"/>
  <c r="L178" i="1"/>
  <c r="M178" i="1"/>
  <c r="L166" i="1"/>
  <c r="M166" i="1" s="1"/>
  <c r="L154" i="1"/>
  <c r="M154" i="1" s="1"/>
  <c r="L130" i="1"/>
  <c r="M130" i="1"/>
  <c r="M118" i="1"/>
  <c r="L118" i="1"/>
  <c r="L106" i="1"/>
  <c r="M106" i="1"/>
  <c r="L94" i="1"/>
  <c r="M94" i="1"/>
  <c r="L82" i="1"/>
  <c r="M82" i="1" s="1"/>
  <c r="L70" i="1"/>
  <c r="M70" i="1" s="1"/>
  <c r="M58" i="1"/>
  <c r="M46" i="1"/>
  <c r="L46" i="1"/>
  <c r="L34" i="1"/>
  <c r="M34" i="1"/>
  <c r="L22" i="1"/>
  <c r="M22" i="1" s="1"/>
  <c r="L10" i="1"/>
  <c r="M10" i="1"/>
  <c r="L1418" i="1"/>
  <c r="M1418" i="1" s="1"/>
  <c r="L1344" i="1"/>
  <c r="M1344" i="1" s="1"/>
  <c r="L1155" i="1"/>
  <c r="M1155" i="1" s="1"/>
  <c r="L1105" i="1"/>
  <c r="L986" i="1"/>
  <c r="M986" i="1" s="1"/>
  <c r="L850" i="1"/>
  <c r="M850" i="1" s="1"/>
  <c r="L804" i="1"/>
  <c r="L521" i="1"/>
  <c r="M521" i="1" s="1"/>
  <c r="L334" i="1"/>
  <c r="M1403" i="1"/>
  <c r="M1320" i="1"/>
  <c r="M1237" i="1"/>
  <c r="M1142" i="1"/>
  <c r="L1498" i="1"/>
  <c r="M1498" i="1" s="1"/>
  <c r="M1474" i="1"/>
  <c r="L1462" i="1"/>
  <c r="M1462" i="1" s="1"/>
  <c r="L1426" i="1"/>
  <c r="M1426" i="1" s="1"/>
  <c r="L1402" i="1"/>
  <c r="M1402" i="1"/>
  <c r="L1366" i="1"/>
  <c r="M1366" i="1" s="1"/>
  <c r="M1342" i="1"/>
  <c r="L1318" i="1"/>
  <c r="M1318" i="1" s="1"/>
  <c r="L1270" i="1"/>
  <c r="M1270" i="1"/>
  <c r="M1234" i="1"/>
  <c r="M1186" i="1"/>
  <c r="L1162" i="1"/>
  <c r="M1162" i="1"/>
  <c r="L1138" i="1"/>
  <c r="M1138" i="1" s="1"/>
  <c r="M1102" i="1"/>
  <c r="L1102" i="1"/>
  <c r="M1054" i="1"/>
  <c r="M1006" i="1"/>
  <c r="L970" i="1"/>
  <c r="M970" i="1" s="1"/>
  <c r="L946" i="1"/>
  <c r="M946" i="1"/>
  <c r="L922" i="1"/>
  <c r="M922" i="1" s="1"/>
  <c r="L886" i="1"/>
  <c r="M886" i="1" s="1"/>
  <c r="L790" i="1"/>
  <c r="M790" i="1"/>
  <c r="L754" i="1"/>
  <c r="M754" i="1"/>
  <c r="M730" i="1"/>
  <c r="L730" i="1"/>
  <c r="L718" i="1"/>
  <c r="M718" i="1" s="1"/>
  <c r="L634" i="1"/>
  <c r="M634" i="1"/>
  <c r="L610" i="1"/>
  <c r="M610" i="1"/>
  <c r="L586" i="1"/>
  <c r="M586" i="1"/>
  <c r="L574" i="1"/>
  <c r="M574" i="1" s="1"/>
  <c r="M550" i="1"/>
  <c r="L550" i="1"/>
  <c r="L514" i="1"/>
  <c r="M514" i="1" s="1"/>
  <c r="L442" i="1"/>
  <c r="M442" i="1" s="1"/>
  <c r="L1497" i="1"/>
  <c r="M1497" i="1"/>
  <c r="M1473" i="1"/>
  <c r="L1461" i="1"/>
  <c r="M1461" i="1" s="1"/>
  <c r="L1449" i="1"/>
  <c r="M1449" i="1"/>
  <c r="M1437" i="1"/>
  <c r="L1425" i="1"/>
  <c r="M1425" i="1" s="1"/>
  <c r="M1413" i="1"/>
  <c r="L1389" i="1"/>
  <c r="M1389" i="1"/>
  <c r="M1365" i="1"/>
  <c r="L1353" i="1"/>
  <c r="M1353" i="1"/>
  <c r="M1329" i="1"/>
  <c r="L1317" i="1"/>
  <c r="M1317" i="1"/>
  <c r="L1305" i="1"/>
  <c r="M1305" i="1" s="1"/>
  <c r="M1293" i="1"/>
  <c r="M1281" i="1"/>
  <c r="L1281" i="1"/>
  <c r="M1269" i="1"/>
  <c r="L1245" i="1"/>
  <c r="M1245" i="1"/>
  <c r="M1221" i="1"/>
  <c r="L1209" i="1"/>
  <c r="M1209" i="1"/>
  <c r="M1197" i="1"/>
  <c r="M1185" i="1"/>
  <c r="L1173" i="1"/>
  <c r="M1173" i="1"/>
  <c r="L1161" i="1"/>
  <c r="M1161" i="1" s="1"/>
  <c r="M1149" i="1"/>
  <c r="L1137" i="1"/>
  <c r="M1137" i="1" s="1"/>
  <c r="M1125" i="1"/>
  <c r="L1113" i="1"/>
  <c r="M1113" i="1"/>
  <c r="M1101" i="1"/>
  <c r="L1101" i="1"/>
  <c r="M1089" i="1"/>
  <c r="M1077" i="1"/>
  <c r="L1065" i="1"/>
  <c r="M1065" i="1" s="1"/>
  <c r="M1053" i="1"/>
  <c r="M1041" i="1"/>
  <c r="L1029" i="1"/>
  <c r="M1029" i="1" s="1"/>
  <c r="L1017" i="1"/>
  <c r="M1017" i="1"/>
  <c r="M1005" i="1"/>
  <c r="L1005" i="1"/>
  <c r="L993" i="1"/>
  <c r="M993" i="1" s="1"/>
  <c r="M981" i="1"/>
  <c r="L981" i="1"/>
  <c r="L969" i="1"/>
  <c r="M969" i="1"/>
  <c r="L957" i="1"/>
  <c r="M957" i="1"/>
  <c r="L945" i="1"/>
  <c r="M945" i="1" s="1"/>
  <c r="M933" i="1"/>
  <c r="L921" i="1"/>
  <c r="M921" i="1" s="1"/>
  <c r="L909" i="1"/>
  <c r="M909" i="1" s="1"/>
  <c r="L897" i="1"/>
  <c r="M897" i="1"/>
  <c r="L885" i="1"/>
  <c r="M885" i="1" s="1"/>
  <c r="M873" i="1"/>
  <c r="L861" i="1"/>
  <c r="M861" i="1" s="1"/>
  <c r="M849" i="1"/>
  <c r="L849" i="1"/>
  <c r="L837" i="1"/>
  <c r="M837" i="1" s="1"/>
  <c r="L825" i="1"/>
  <c r="M825" i="1" s="1"/>
  <c r="L813" i="1"/>
  <c r="M813" i="1" s="1"/>
  <c r="M801" i="1"/>
  <c r="L789" i="1"/>
  <c r="M789" i="1" s="1"/>
  <c r="M777" i="1"/>
  <c r="M765" i="1"/>
  <c r="L753" i="1"/>
  <c r="M753" i="1" s="1"/>
  <c r="L741" i="1"/>
  <c r="M741" i="1"/>
  <c r="L729" i="1"/>
  <c r="M729" i="1" s="1"/>
  <c r="M717" i="1"/>
  <c r="M705" i="1"/>
  <c r="L693" i="1"/>
  <c r="M693" i="1" s="1"/>
  <c r="L681" i="1"/>
  <c r="M681" i="1"/>
  <c r="L669" i="1"/>
  <c r="M669" i="1" s="1"/>
  <c r="L657" i="1"/>
  <c r="M657" i="1"/>
  <c r="M645" i="1"/>
  <c r="L645" i="1"/>
  <c r="L633" i="1"/>
  <c r="M633" i="1" s="1"/>
  <c r="L621" i="1"/>
  <c r="M621" i="1" s="1"/>
  <c r="L609" i="1"/>
  <c r="M609" i="1"/>
  <c r="L597" i="1"/>
  <c r="M597" i="1" s="1"/>
  <c r="L585" i="1"/>
  <c r="M585" i="1"/>
  <c r="L573" i="1"/>
  <c r="M573" i="1" s="1"/>
  <c r="M561" i="1"/>
  <c r="L549" i="1"/>
  <c r="M549" i="1" s="1"/>
  <c r="L537" i="1"/>
  <c r="M537" i="1"/>
  <c r="L525" i="1"/>
  <c r="M525" i="1" s="1"/>
  <c r="L501" i="1"/>
  <c r="M501" i="1" s="1"/>
  <c r="L489" i="1"/>
  <c r="M489" i="1"/>
  <c r="M477" i="1"/>
  <c r="L477" i="1"/>
  <c r="L465" i="1"/>
  <c r="M465" i="1" s="1"/>
  <c r="L453" i="1"/>
  <c r="M453" i="1"/>
  <c r="M441" i="1"/>
  <c r="L441" i="1"/>
  <c r="M429" i="1"/>
  <c r="M417" i="1"/>
  <c r="L417" i="1"/>
  <c r="L405" i="1"/>
  <c r="M405" i="1" s="1"/>
  <c r="L393" i="1"/>
  <c r="M393" i="1" s="1"/>
  <c r="L381" i="1"/>
  <c r="M381" i="1"/>
  <c r="M369" i="1"/>
  <c r="L369" i="1"/>
  <c r="L357" i="1"/>
  <c r="M357" i="1"/>
  <c r="M345" i="1"/>
  <c r="L345" i="1"/>
  <c r="L333" i="1"/>
  <c r="M333" i="1" s="1"/>
  <c r="L321" i="1"/>
  <c r="M321" i="1" s="1"/>
  <c r="L309" i="1"/>
  <c r="M309" i="1"/>
  <c r="M297" i="1"/>
  <c r="M285" i="1"/>
  <c r="L285" i="1"/>
  <c r="L273" i="1"/>
  <c r="M273" i="1" s="1"/>
  <c r="L261" i="1"/>
  <c r="M261" i="1" s="1"/>
  <c r="L249" i="1"/>
  <c r="M249" i="1"/>
  <c r="L237" i="1"/>
  <c r="M237" i="1" s="1"/>
  <c r="L225" i="1"/>
  <c r="M225" i="1"/>
  <c r="M213" i="1"/>
  <c r="L213" i="1"/>
  <c r="L201" i="1"/>
  <c r="M201" i="1" s="1"/>
  <c r="L189" i="1"/>
  <c r="M189" i="1" s="1"/>
  <c r="L177" i="1"/>
  <c r="M177" i="1" s="1"/>
  <c r="L165" i="1"/>
  <c r="M165" i="1" s="1"/>
  <c r="L153" i="1"/>
  <c r="M153" i="1"/>
  <c r="M141" i="1"/>
  <c r="L141" i="1"/>
  <c r="L129" i="1"/>
  <c r="M129" i="1" s="1"/>
  <c r="L117" i="1"/>
  <c r="M117" i="1" s="1"/>
  <c r="L105" i="1"/>
  <c r="M105" i="1" s="1"/>
  <c r="L93" i="1"/>
  <c r="M93" i="1" s="1"/>
  <c r="L81" i="1"/>
  <c r="M81" i="1" s="1"/>
  <c r="L69" i="1"/>
  <c r="M69" i="1" s="1"/>
  <c r="L57" i="1"/>
  <c r="M57" i="1" s="1"/>
  <c r="M45" i="1"/>
  <c r="L45" i="1"/>
  <c r="L33" i="1"/>
  <c r="M33" i="1"/>
  <c r="L21" i="1"/>
  <c r="M21" i="1" s="1"/>
  <c r="L9" i="1"/>
  <c r="M9" i="1"/>
  <c r="L1473" i="1"/>
  <c r="L1413" i="1"/>
  <c r="L1342" i="1"/>
  <c r="L1227" i="1"/>
  <c r="M1227" i="1" s="1"/>
  <c r="L1154" i="1"/>
  <c r="L1092" i="1"/>
  <c r="M1092" i="1" s="1"/>
  <c r="L1041" i="1"/>
  <c r="L982" i="1"/>
  <c r="M982" i="1" s="1"/>
  <c r="L848" i="1"/>
  <c r="M848" i="1" s="1"/>
  <c r="L517" i="1"/>
  <c r="M1401" i="1"/>
  <c r="M1319" i="1"/>
  <c r="M1141" i="1"/>
  <c r="M1486" i="1"/>
  <c r="M1438" i="1"/>
  <c r="L1414" i="1"/>
  <c r="M1414" i="1"/>
  <c r="M1390" i="1"/>
  <c r="L1390" i="1"/>
  <c r="L1354" i="1"/>
  <c r="M1354" i="1"/>
  <c r="M1330" i="1"/>
  <c r="M1294" i="1"/>
  <c r="M1282" i="1"/>
  <c r="L1282" i="1"/>
  <c r="L1246" i="1"/>
  <c r="M1246" i="1" s="1"/>
  <c r="L1222" i="1"/>
  <c r="M1222" i="1"/>
  <c r="L1210" i="1"/>
  <c r="M1210" i="1" s="1"/>
  <c r="L1174" i="1"/>
  <c r="M1174" i="1"/>
  <c r="M1150" i="1"/>
  <c r="L1126" i="1"/>
  <c r="M1126" i="1"/>
  <c r="M1090" i="1"/>
  <c r="L1078" i="1"/>
  <c r="M1078" i="1"/>
  <c r="L1066" i="1"/>
  <c r="M1066" i="1"/>
  <c r="M1042" i="1"/>
  <c r="L1030" i="1"/>
  <c r="M1030" i="1" s="1"/>
  <c r="L994" i="1"/>
  <c r="M994" i="1" s="1"/>
  <c r="L958" i="1"/>
  <c r="M958" i="1"/>
  <c r="M934" i="1"/>
  <c r="L934" i="1"/>
  <c r="L910" i="1"/>
  <c r="M910" i="1" s="1"/>
  <c r="L898" i="1"/>
  <c r="M898" i="1" s="1"/>
  <c r="L862" i="1"/>
  <c r="M862" i="1"/>
  <c r="M838" i="1"/>
  <c r="L838" i="1"/>
  <c r="L826" i="1"/>
  <c r="M826" i="1"/>
  <c r="M802" i="1"/>
  <c r="M766" i="1"/>
  <c r="M742" i="1"/>
  <c r="L682" i="1"/>
  <c r="M682" i="1"/>
  <c r="L658" i="1"/>
  <c r="M658" i="1"/>
  <c r="M646" i="1"/>
  <c r="L622" i="1"/>
  <c r="M622" i="1" s="1"/>
  <c r="L502" i="1"/>
  <c r="M502" i="1" s="1"/>
  <c r="L454" i="1"/>
  <c r="M454" i="1" s="1"/>
  <c r="L1496" i="1"/>
  <c r="M1496" i="1"/>
  <c r="M1472" i="1"/>
  <c r="L1448" i="1"/>
  <c r="M1448" i="1" s="1"/>
  <c r="M1436" i="1"/>
  <c r="M1412" i="1"/>
  <c r="L1412" i="1"/>
  <c r="L1400" i="1"/>
  <c r="M1400" i="1"/>
  <c r="L1388" i="1"/>
  <c r="M1388" i="1" s="1"/>
  <c r="M1376" i="1"/>
  <c r="L1364" i="1"/>
  <c r="M1364" i="1" s="1"/>
  <c r="L1352" i="1"/>
  <c r="M1352" i="1"/>
  <c r="M1328" i="1"/>
  <c r="L1304" i="1"/>
  <c r="M1304" i="1" s="1"/>
  <c r="M1292" i="1"/>
  <c r="M1268" i="1"/>
  <c r="L1268" i="1"/>
  <c r="L1256" i="1"/>
  <c r="M1256" i="1"/>
  <c r="L1244" i="1"/>
  <c r="M1244" i="1"/>
  <c r="M1232" i="1"/>
  <c r="L1220" i="1"/>
  <c r="M1220" i="1" s="1"/>
  <c r="L1208" i="1"/>
  <c r="M1208" i="1" s="1"/>
  <c r="M1196" i="1"/>
  <c r="M1184" i="1"/>
  <c r="M1172" i="1"/>
  <c r="L1160" i="1"/>
  <c r="M1160" i="1"/>
  <c r="M1148" i="1"/>
  <c r="L1136" i="1"/>
  <c r="M1136" i="1" s="1"/>
  <c r="L1124" i="1"/>
  <c r="M1124" i="1" s="1"/>
  <c r="L1112" i="1"/>
  <c r="M1112" i="1" s="1"/>
  <c r="L1100" i="1"/>
  <c r="M1100" i="1" s="1"/>
  <c r="M1088" i="1"/>
  <c r="L1076" i="1"/>
  <c r="M1076" i="1" s="1"/>
  <c r="L1064" i="1"/>
  <c r="M1064" i="1"/>
  <c r="M1052" i="1"/>
  <c r="M1040" i="1"/>
  <c r="M1028" i="1"/>
  <c r="L1016" i="1"/>
  <c r="M1016" i="1" s="1"/>
  <c r="M1004" i="1"/>
  <c r="M992" i="1"/>
  <c r="L992" i="1"/>
  <c r="L968" i="1"/>
  <c r="M968" i="1" s="1"/>
  <c r="L956" i="1"/>
  <c r="M956" i="1" s="1"/>
  <c r="L944" i="1"/>
  <c r="M944" i="1" s="1"/>
  <c r="M932" i="1"/>
  <c r="L920" i="1"/>
  <c r="M920" i="1"/>
  <c r="M908" i="1"/>
  <c r="M896" i="1"/>
  <c r="L884" i="1"/>
  <c r="M884" i="1"/>
  <c r="M872" i="1"/>
  <c r="M860" i="1"/>
  <c r="L860" i="1"/>
  <c r="M836" i="1"/>
  <c r="L824" i="1"/>
  <c r="M824" i="1" s="1"/>
  <c r="L812" i="1"/>
  <c r="M812" i="1"/>
  <c r="M800" i="1"/>
  <c r="L800" i="1"/>
  <c r="L788" i="1"/>
  <c r="M788" i="1"/>
  <c r="M776" i="1"/>
  <c r="M764" i="1"/>
  <c r="L764" i="1"/>
  <c r="M752" i="1"/>
  <c r="L740" i="1"/>
  <c r="M740" i="1" s="1"/>
  <c r="M728" i="1"/>
  <c r="M716" i="1"/>
  <c r="M692" i="1"/>
  <c r="L692" i="1"/>
  <c r="M680" i="1"/>
  <c r="L668" i="1"/>
  <c r="M668" i="1"/>
  <c r="M656" i="1"/>
  <c r="L656" i="1"/>
  <c r="L644" i="1"/>
  <c r="M644" i="1" s="1"/>
  <c r="L632" i="1"/>
  <c r="M632" i="1" s="1"/>
  <c r="L620" i="1"/>
  <c r="M620" i="1"/>
  <c r="M608" i="1"/>
  <c r="L608" i="1"/>
  <c r="L596" i="1"/>
  <c r="M596" i="1"/>
  <c r="L584" i="1"/>
  <c r="M584" i="1"/>
  <c r="L572" i="1"/>
  <c r="M572" i="1" s="1"/>
  <c r="M548" i="1"/>
  <c r="L548" i="1"/>
  <c r="L536" i="1"/>
  <c r="M536" i="1" s="1"/>
  <c r="L524" i="1"/>
  <c r="M524" i="1" s="1"/>
  <c r="L512" i="1"/>
  <c r="M512" i="1" s="1"/>
  <c r="L500" i="1"/>
  <c r="M500" i="1" s="1"/>
  <c r="L488" i="1"/>
  <c r="M488" i="1" s="1"/>
  <c r="L476" i="1"/>
  <c r="M476" i="1" s="1"/>
  <c r="M464" i="1"/>
  <c r="L452" i="1"/>
  <c r="M452" i="1" s="1"/>
  <c r="L440" i="1"/>
  <c r="M440" i="1" s="1"/>
  <c r="M428" i="1"/>
  <c r="L428" i="1"/>
  <c r="M416" i="1"/>
  <c r="L404" i="1"/>
  <c r="M404" i="1" s="1"/>
  <c r="L380" i="1"/>
  <c r="M380" i="1" s="1"/>
  <c r="L368" i="1"/>
  <c r="M368" i="1"/>
  <c r="L356" i="1"/>
  <c r="M356" i="1" s="1"/>
  <c r="L344" i="1"/>
  <c r="M344" i="1"/>
  <c r="M332" i="1"/>
  <c r="M320" i="1"/>
  <c r="L320" i="1"/>
  <c r="L308" i="1"/>
  <c r="M308" i="1"/>
  <c r="M296" i="1"/>
  <c r="M284" i="1"/>
  <c r="M272" i="1"/>
  <c r="L272" i="1"/>
  <c r="L260" i="1"/>
  <c r="M260" i="1"/>
  <c r="M248" i="1"/>
  <c r="L236" i="1"/>
  <c r="M236" i="1" s="1"/>
  <c r="L224" i="1"/>
  <c r="M224" i="1" s="1"/>
  <c r="M212" i="1"/>
  <c r="L212" i="1"/>
  <c r="L188" i="1"/>
  <c r="M188" i="1"/>
  <c r="M176" i="1"/>
  <c r="L176" i="1"/>
  <c r="L164" i="1"/>
  <c r="M164" i="1"/>
  <c r="L152" i="1"/>
  <c r="M152" i="1" s="1"/>
  <c r="L140" i="1"/>
  <c r="M140" i="1" s="1"/>
  <c r="L128" i="1"/>
  <c r="M128" i="1" s="1"/>
  <c r="M116" i="1"/>
  <c r="L104" i="1"/>
  <c r="M104" i="1" s="1"/>
  <c r="L92" i="1"/>
  <c r="M92" i="1"/>
  <c r="L80" i="1"/>
  <c r="M80" i="1" s="1"/>
  <c r="L68" i="1"/>
  <c r="M68" i="1" s="1"/>
  <c r="L56" i="1"/>
  <c r="M56" i="1" s="1"/>
  <c r="L44" i="1"/>
  <c r="M44" i="1" s="1"/>
  <c r="M32" i="1"/>
  <c r="L32" i="1"/>
  <c r="L20" i="1"/>
  <c r="M20" i="1"/>
  <c r="L8" i="1"/>
  <c r="M8" i="1"/>
  <c r="L1472" i="1"/>
  <c r="L1395" i="1"/>
  <c r="M1395" i="1" s="1"/>
  <c r="L1226" i="1"/>
  <c r="M1226" i="1" s="1"/>
  <c r="L1153" i="1"/>
  <c r="M1153" i="1" s="1"/>
  <c r="L1090" i="1"/>
  <c r="L1040" i="1"/>
  <c r="L980" i="1"/>
  <c r="M980" i="1" s="1"/>
  <c r="L801" i="1"/>
  <c r="L513" i="1"/>
  <c r="M513" i="1" s="1"/>
  <c r="L142" i="1"/>
  <c r="M142" i="1" s="1"/>
  <c r="M1478" i="1"/>
  <c r="M814" i="1"/>
  <c r="M195" i="1"/>
  <c r="M331" i="1"/>
  <c r="M319" i="1"/>
  <c r="L319" i="1"/>
  <c r="L307" i="1"/>
  <c r="M307" i="1"/>
  <c r="L295" i="1"/>
  <c r="M295" i="1" s="1"/>
  <c r="L271" i="1"/>
  <c r="M271" i="1" s="1"/>
  <c r="M259" i="1"/>
  <c r="M247" i="1"/>
  <c r="L247" i="1"/>
  <c r="L235" i="1"/>
  <c r="M235" i="1" s="1"/>
  <c r="L223" i="1"/>
  <c r="M223" i="1"/>
  <c r="M199" i="1"/>
  <c r="L199" i="1"/>
  <c r="L187" i="1"/>
  <c r="M187" i="1" s="1"/>
  <c r="L163" i="1"/>
  <c r="M163" i="1"/>
  <c r="L151" i="1"/>
  <c r="M151" i="1"/>
  <c r="L139" i="1"/>
  <c r="M139" i="1" s="1"/>
  <c r="M127" i="1"/>
  <c r="L127" i="1"/>
  <c r="L115" i="1"/>
  <c r="M115" i="1" s="1"/>
  <c r="M103" i="1"/>
  <c r="L91" i="1"/>
  <c r="M91" i="1"/>
  <c r="L79" i="1"/>
  <c r="M79" i="1"/>
  <c r="M67" i="1"/>
  <c r="M55" i="1"/>
  <c r="L43" i="1"/>
  <c r="M43" i="1" s="1"/>
  <c r="M31" i="1"/>
  <c r="L31" i="1"/>
  <c r="L19" i="1"/>
  <c r="M19" i="1"/>
  <c r="L7" i="1"/>
  <c r="M7" i="1"/>
  <c r="L283" i="1"/>
  <c r="M283" i="1" s="1"/>
  <c r="M147" i="1"/>
  <c r="M301" i="1"/>
  <c r="M109" i="1"/>
  <c r="L327" i="1"/>
  <c r="M327" i="1"/>
  <c r="L315" i="1"/>
  <c r="M315" i="1" s="1"/>
  <c r="L303" i="1"/>
  <c r="M303" i="1"/>
  <c r="L279" i="1"/>
  <c r="M279" i="1" s="1"/>
  <c r="L267" i="1"/>
  <c r="M267" i="1"/>
  <c r="L255" i="1"/>
  <c r="M255" i="1" s="1"/>
  <c r="L231" i="1"/>
  <c r="M231" i="1"/>
  <c r="L219" i="1"/>
  <c r="M219" i="1" s="1"/>
  <c r="L207" i="1"/>
  <c r="M207" i="1"/>
  <c r="L183" i="1"/>
  <c r="M183" i="1"/>
  <c r="L171" i="1"/>
  <c r="M171" i="1" s="1"/>
  <c r="L159" i="1"/>
  <c r="M159" i="1" s="1"/>
  <c r="L135" i="1"/>
  <c r="M135" i="1"/>
  <c r="L123" i="1"/>
  <c r="M123" i="1" s="1"/>
  <c r="L111" i="1"/>
  <c r="M111" i="1"/>
  <c r="L87" i="1"/>
  <c r="M87" i="1" s="1"/>
  <c r="L75" i="1"/>
  <c r="M75" i="1"/>
  <c r="L63" i="1"/>
  <c r="M63" i="1" s="1"/>
  <c r="L39" i="1"/>
  <c r="M39" i="1"/>
  <c r="L27" i="1"/>
  <c r="M27" i="1" s="1"/>
  <c r="L15" i="1"/>
  <c r="M15" i="1"/>
  <c r="L3" i="1"/>
  <c r="M3" i="1" s="1"/>
  <c r="M291" i="1"/>
  <c r="M99" i="1"/>
  <c r="M326" i="1"/>
  <c r="L326" i="1"/>
  <c r="M314" i="1"/>
  <c r="L302" i="1"/>
  <c r="M302" i="1"/>
  <c r="L290" i="1"/>
  <c r="M290" i="1" s="1"/>
  <c r="L278" i="1"/>
  <c r="M278" i="1"/>
  <c r="L266" i="1"/>
  <c r="M266" i="1" s="1"/>
  <c r="M254" i="1"/>
  <c r="L242" i="1"/>
  <c r="M242" i="1" s="1"/>
  <c r="M230" i="1"/>
  <c r="M218" i="1"/>
  <c r="L218" i="1"/>
  <c r="L206" i="1"/>
  <c r="M206" i="1"/>
  <c r="L194" i="1"/>
  <c r="M194" i="1"/>
  <c r="M182" i="1"/>
  <c r="L170" i="1"/>
  <c r="M170" i="1" s="1"/>
  <c r="M158" i="1"/>
  <c r="L158" i="1"/>
  <c r="L146" i="1"/>
  <c r="M146" i="1"/>
  <c r="L134" i="1"/>
  <c r="M134" i="1" s="1"/>
  <c r="L110" i="1"/>
  <c r="M110" i="1" s="1"/>
  <c r="M98" i="1"/>
  <c r="L86" i="1"/>
  <c r="M86" i="1"/>
  <c r="M74" i="1"/>
  <c r="L74" i="1"/>
  <c r="L62" i="1"/>
  <c r="M62" i="1"/>
  <c r="L50" i="1"/>
  <c r="M50" i="1" s="1"/>
  <c r="M38" i="1"/>
  <c r="M26" i="1"/>
  <c r="L26" i="1"/>
  <c r="L14" i="1"/>
  <c r="M14" i="1"/>
  <c r="L175" i="1"/>
  <c r="M175" i="1" s="1"/>
  <c r="L122" i="1"/>
  <c r="M122" i="1" s="1"/>
  <c r="M253" i="1"/>
  <c r="M61" i="1"/>
  <c r="L337" i="1"/>
  <c r="M337" i="1" s="1"/>
  <c r="M325" i="1"/>
  <c r="L313" i="1"/>
  <c r="M313" i="1"/>
  <c r="L289" i="1"/>
  <c r="M289" i="1"/>
  <c r="L277" i="1"/>
  <c r="M277" i="1"/>
  <c r="L265" i="1"/>
  <c r="M265" i="1" s="1"/>
  <c r="L241" i="1"/>
  <c r="M241" i="1"/>
  <c r="M229" i="1"/>
  <c r="M217" i="1"/>
  <c r="L193" i="1"/>
  <c r="M193" i="1"/>
  <c r="L181" i="1"/>
  <c r="M181" i="1" s="1"/>
  <c r="L169" i="1"/>
  <c r="M169" i="1"/>
  <c r="L145" i="1"/>
  <c r="M145" i="1" s="1"/>
  <c r="L133" i="1"/>
  <c r="M133" i="1"/>
  <c r="L121" i="1"/>
  <c r="M121" i="1" s="1"/>
  <c r="L97" i="1"/>
  <c r="M97" i="1"/>
  <c r="L85" i="1"/>
  <c r="M85" i="1" s="1"/>
  <c r="L73" i="1"/>
  <c r="M73" i="1" s="1"/>
  <c r="L49" i="1"/>
  <c r="M49" i="1" s="1"/>
  <c r="L37" i="1"/>
  <c r="M37" i="1"/>
  <c r="M25" i="1"/>
  <c r="L25" i="1"/>
  <c r="L13" i="1"/>
  <c r="M13" i="1"/>
  <c r="L259" i="1"/>
  <c r="L67" i="1"/>
  <c r="L336" i="1"/>
  <c r="M336" i="1" s="1"/>
  <c r="L324" i="1"/>
  <c r="M324" i="1" s="1"/>
  <c r="M312" i="1"/>
  <c r="L300" i="1"/>
  <c r="M300" i="1"/>
  <c r="L288" i="1"/>
  <c r="M288" i="1" s="1"/>
  <c r="M276" i="1"/>
  <c r="L276" i="1"/>
  <c r="L264" i="1"/>
  <c r="M264" i="1" s="1"/>
  <c r="M252" i="1"/>
  <c r="L240" i="1"/>
  <c r="M240" i="1" s="1"/>
  <c r="L228" i="1"/>
  <c r="M228" i="1" s="1"/>
  <c r="M216" i="1"/>
  <c r="L204" i="1"/>
  <c r="M204" i="1"/>
  <c r="L192" i="1"/>
  <c r="M192" i="1"/>
  <c r="M180" i="1"/>
  <c r="L168" i="1"/>
  <c r="M168" i="1" s="1"/>
  <c r="M156" i="1"/>
  <c r="M144" i="1"/>
  <c r="L132" i="1"/>
  <c r="M132" i="1" s="1"/>
  <c r="L120" i="1"/>
  <c r="M120" i="1" s="1"/>
  <c r="L108" i="1"/>
  <c r="M108" i="1"/>
  <c r="L96" i="1"/>
  <c r="M96" i="1"/>
  <c r="M84" i="1"/>
  <c r="L72" i="1"/>
  <c r="M72" i="1" s="1"/>
  <c r="M60" i="1"/>
  <c r="L48" i="1"/>
  <c r="M48" i="1" s="1"/>
  <c r="L36" i="1"/>
  <c r="M36" i="1" s="1"/>
  <c r="L24" i="1"/>
  <c r="M24" i="1" s="1"/>
  <c r="L12" i="1"/>
  <c r="M12" i="1"/>
  <c r="L211" i="1"/>
  <c r="M211" i="1" s="1"/>
  <c r="M243" i="1"/>
  <c r="M51" i="1"/>
</calcChain>
</file>

<file path=xl/sharedStrings.xml><?xml version="1.0" encoding="utf-8"?>
<sst xmlns="http://schemas.openxmlformats.org/spreadsheetml/2006/main" count="17224" uniqueCount="1781">
  <si>
    <t>Order ID</t>
  </si>
  <si>
    <t>Order Date</t>
  </si>
  <si>
    <t>State</t>
  </si>
  <si>
    <t>Region</t>
  </si>
  <si>
    <t>Category</t>
  </si>
  <si>
    <t>Product</t>
  </si>
  <si>
    <t>Quantity</t>
  </si>
  <si>
    <t>Unit Price (?)</t>
  </si>
  <si>
    <t>Discount Rate</t>
  </si>
  <si>
    <t>Total Price (?)</t>
  </si>
  <si>
    <t>Payment Type</t>
  </si>
  <si>
    <t>Customer Segment</t>
  </si>
  <si>
    <t>Shipping Method</t>
  </si>
  <si>
    <t>Delivery Status</t>
  </si>
  <si>
    <t>ORD0001</t>
  </si>
  <si>
    <t>Karnataka</t>
  </si>
  <si>
    <t>North</t>
  </si>
  <si>
    <t>Electronics</t>
  </si>
  <si>
    <t>Smartphone</t>
  </si>
  <si>
    <t>Debit Card</t>
  </si>
  <si>
    <t>Regular</t>
  </si>
  <si>
    <t>Same-Day</t>
  </si>
  <si>
    <t>Delivered</t>
  </si>
  <si>
    <t>ORD0002</t>
  </si>
  <si>
    <t>Maharashtra</t>
  </si>
  <si>
    <t>West</t>
  </si>
  <si>
    <t>ORD0003</t>
  </si>
  <si>
    <t>Grocery</t>
  </si>
  <si>
    <t>Milk</t>
  </si>
  <si>
    <t>First-Time</t>
  </si>
  <si>
    <t>Express</t>
  </si>
  <si>
    <t>ORD0004</t>
  </si>
  <si>
    <t>Headphones</t>
  </si>
  <si>
    <t>COD</t>
  </si>
  <si>
    <t>Prime</t>
  </si>
  <si>
    <t>ORD0005</t>
  </si>
  <si>
    <t>Gujarat</t>
  </si>
  <si>
    <t>Returned</t>
  </si>
  <si>
    <t>ORD0006</t>
  </si>
  <si>
    <t>East</t>
  </si>
  <si>
    <t>Smartwatch</t>
  </si>
  <si>
    <t>Net Banking</t>
  </si>
  <si>
    <t>ORD0007</t>
  </si>
  <si>
    <t>South</t>
  </si>
  <si>
    <t>Laptop</t>
  </si>
  <si>
    <t>ORD0008</t>
  </si>
  <si>
    <t>UPI</t>
  </si>
  <si>
    <t>ORD0009</t>
  </si>
  <si>
    <t>Tamil Nadu</t>
  </si>
  <si>
    <t>Books</t>
  </si>
  <si>
    <t>Biography</t>
  </si>
  <si>
    <t>ORD0010</t>
  </si>
  <si>
    <t>Delhi</t>
  </si>
  <si>
    <t>Comics</t>
  </si>
  <si>
    <t>Standard</t>
  </si>
  <si>
    <t>ORD0011</t>
  </si>
  <si>
    <t>Novel</t>
  </si>
  <si>
    <t>ORD0012</t>
  </si>
  <si>
    <t>Credit Card</t>
  </si>
  <si>
    <t>In Transit</t>
  </si>
  <si>
    <t>ORD0013</t>
  </si>
  <si>
    <t>Clothing</t>
  </si>
  <si>
    <t>T-shirt</t>
  </si>
  <si>
    <t>ORD0014</t>
  </si>
  <si>
    <t>ORD0015</t>
  </si>
  <si>
    <t>ORD0016</t>
  </si>
  <si>
    <t>Dress</t>
  </si>
  <si>
    <t>ORD0017</t>
  </si>
  <si>
    <t>Oil</t>
  </si>
  <si>
    <t>ORD0018</t>
  </si>
  <si>
    <t>ORD0019</t>
  </si>
  <si>
    <t>ORD0020</t>
  </si>
  <si>
    <t>ORD0021</t>
  </si>
  <si>
    <t>Textbook</t>
  </si>
  <si>
    <t>ORD0022</t>
  </si>
  <si>
    <t>Jeans</t>
  </si>
  <si>
    <t>ORD0023</t>
  </si>
  <si>
    <t>ORD0024</t>
  </si>
  <si>
    <t>ORD0025</t>
  </si>
  <si>
    <t>Rice</t>
  </si>
  <si>
    <t>ORD0026</t>
  </si>
  <si>
    <t>ORD0027</t>
  </si>
  <si>
    <t>ORD0028</t>
  </si>
  <si>
    <t>ORD0029</t>
  </si>
  <si>
    <t>ORD0030</t>
  </si>
  <si>
    <t>ORD0031</t>
  </si>
  <si>
    <t>ORD0032</t>
  </si>
  <si>
    <t>Biscuits</t>
  </si>
  <si>
    <t>Cancelled</t>
  </si>
  <si>
    <t>ORD0033</t>
  </si>
  <si>
    <t>ORD0034</t>
  </si>
  <si>
    <t>ORD0035</t>
  </si>
  <si>
    <t>Jacket</t>
  </si>
  <si>
    <t>ORD0036</t>
  </si>
  <si>
    <t>ORD0037</t>
  </si>
  <si>
    <t>ORD0038</t>
  </si>
  <si>
    <t>ORD0039</t>
  </si>
  <si>
    <t>ORD0040</t>
  </si>
  <si>
    <t>ORD0041</t>
  </si>
  <si>
    <t>Home Decor</t>
  </si>
  <si>
    <t>Sofa</t>
  </si>
  <si>
    <t>ORD0042</t>
  </si>
  <si>
    <t>ORD0043</t>
  </si>
  <si>
    <t>ORD0044</t>
  </si>
  <si>
    <t>ORD0045</t>
  </si>
  <si>
    <t>ORD0046</t>
  </si>
  <si>
    <t>ORD0047</t>
  </si>
  <si>
    <t>ORD0048</t>
  </si>
  <si>
    <t>ORD0049</t>
  </si>
  <si>
    <t>ORD0050</t>
  </si>
  <si>
    <t>ORD0051</t>
  </si>
  <si>
    <t>Curtain</t>
  </si>
  <si>
    <t>ORD0052</t>
  </si>
  <si>
    <t>ORD0053</t>
  </si>
  <si>
    <t>ORD0054</t>
  </si>
  <si>
    <t>Table</t>
  </si>
  <si>
    <t>ORD0055</t>
  </si>
  <si>
    <t>ORD0056</t>
  </si>
  <si>
    <t>ORD0057</t>
  </si>
  <si>
    <t>ORD0058</t>
  </si>
  <si>
    <t>Lamp</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</si>
  <si>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</si>
  <si>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</si>
  <si>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</si>
  <si>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</si>
  <si>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</si>
  <si>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</si>
  <si>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</si>
  <si>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</si>
  <si>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</si>
  <si>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</si>
  <si>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</si>
  <si>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</si>
  <si>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</si>
  <si>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</si>
  <si>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</si>
  <si>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</si>
  <si>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</si>
  <si>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</si>
  <si>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</si>
  <si>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</si>
  <si>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</si>
  <si>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</si>
  <si>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</si>
  <si>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</si>
  <si>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</si>
  <si>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</si>
  <si>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</si>
  <si>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</si>
  <si>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</si>
  <si>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</si>
  <si>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</si>
  <si>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</si>
  <si>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</si>
  <si>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</si>
  <si>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</si>
  <si>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</si>
  <si>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</si>
  <si>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</si>
  <si>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</si>
  <si>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</si>
  <si>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</si>
  <si>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</si>
  <si>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</si>
  <si>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</si>
  <si>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</si>
  <si>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</si>
  <si>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</si>
  <si>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</si>
  <si>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</si>
  <si>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</si>
  <si>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</si>
  <si>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</si>
  <si>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</si>
  <si>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</si>
  <si>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</si>
  <si>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</si>
  <si>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</si>
  <si>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</si>
  <si>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</si>
  <si>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</si>
  <si>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</si>
  <si>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</si>
  <si>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</si>
  <si>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</si>
  <si>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</si>
  <si>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</si>
  <si>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</si>
  <si>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</si>
  <si>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</si>
  <si>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</si>
  <si>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</si>
  <si>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</si>
  <si>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</si>
  <si>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</si>
  <si>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</si>
  <si>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</si>
  <si>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</si>
  <si>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</si>
  <si>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</si>
  <si>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</si>
  <si>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</si>
  <si>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</si>
  <si>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</si>
  <si>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</si>
  <si>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</si>
  <si>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</si>
  <si>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</si>
  <si>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</si>
  <si>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</si>
  <si>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</si>
  <si>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</si>
  <si>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</si>
  <si>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</si>
  <si>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</si>
  <si>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</si>
  <si>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</si>
  <si>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</si>
  <si>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</si>
  <si>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</si>
  <si>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</si>
  <si>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</si>
  <si>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</si>
  <si>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</si>
  <si>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</si>
  <si>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</si>
  <si>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</si>
  <si>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</si>
  <si>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</si>
  <si>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</si>
  <si>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</si>
  <si>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</si>
  <si>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</si>
  <si>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</si>
  <si>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</si>
  <si>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</si>
  <si>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</si>
  <si>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</si>
  <si>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</si>
  <si>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</si>
  <si>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</si>
  <si>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</si>
  <si>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</si>
  <si>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</si>
  <si>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</si>
  <si>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</si>
  <si>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</si>
  <si>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</si>
  <si>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</si>
  <si>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</si>
  <si>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</si>
  <si>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</si>
  <si>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</si>
  <si>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</si>
  <si>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</si>
  <si>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</si>
  <si>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</si>
  <si>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</si>
  <si>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</si>
  <si>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</si>
  <si>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</si>
  <si>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</si>
  <si>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</si>
  <si>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</si>
  <si>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</si>
  <si>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</si>
  <si>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</si>
  <si>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</si>
  <si>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</si>
  <si>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</si>
  <si>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</si>
  <si>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</si>
  <si>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</si>
  <si>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</si>
  <si>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</si>
  <si>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</si>
  <si>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</si>
  <si>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</si>
  <si>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</si>
  <si>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</si>
  <si>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</si>
  <si>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</si>
  <si>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</si>
  <si>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</si>
  <si>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</si>
  <si>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</si>
  <si>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</si>
  <si>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</si>
  <si>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</si>
  <si>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</si>
  <si>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</si>
  <si>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</si>
  <si>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</si>
  <si>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</si>
  <si>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</si>
  <si>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</si>
  <si>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</si>
  <si>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</si>
  <si>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</si>
  <si>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</si>
  <si>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</si>
  <si>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</si>
  <si>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</si>
  <si>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</si>
  <si>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</si>
  <si>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</si>
  <si>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</si>
  <si>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</si>
  <si>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</si>
  <si>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</si>
  <si>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</si>
  <si>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</si>
  <si>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</si>
  <si>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</si>
  <si>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</si>
  <si>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</si>
  <si>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</si>
  <si>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</si>
  <si>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</si>
  <si>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</si>
  <si>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</si>
  <si>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</si>
  <si>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</si>
  <si>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</si>
  <si>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</si>
  <si>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</si>
  <si>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</si>
  <si>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</si>
  <si>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</si>
  <si>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</si>
  <si>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</si>
  <si>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</si>
  <si>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</si>
  <si>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</si>
  <si>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</si>
  <si>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</si>
  <si>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</si>
  <si>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</si>
  <si>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</si>
  <si>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</si>
  <si>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</si>
  <si>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</si>
  <si>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</si>
  <si>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</si>
  <si>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</si>
  <si>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</si>
  <si>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</si>
  <si>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</si>
  <si>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</si>
  <si>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</si>
  <si>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</si>
  <si>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</si>
  <si>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</si>
  <si>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</si>
  <si>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</si>
  <si>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</si>
  <si>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</si>
  <si>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</si>
  <si>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</si>
  <si>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</si>
  <si>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</si>
  <si>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</si>
  <si>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</si>
  <si>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</si>
  <si>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</si>
  <si>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</si>
  <si>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</si>
  <si>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</si>
  <si>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</si>
  <si>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</si>
  <si>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</si>
  <si>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</si>
  <si>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</si>
  <si>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</si>
  <si>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</si>
  <si>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</si>
  <si>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</si>
  <si>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</si>
  <si>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</si>
  <si>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</si>
  <si>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</si>
  <si>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</si>
  <si>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</si>
  <si>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</si>
  <si>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</si>
  <si>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</si>
  <si>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</si>
  <si>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</si>
  <si>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</si>
  <si>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</si>
  <si>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</si>
  <si>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</si>
  <si>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</si>
  <si>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</si>
  <si>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</si>
  <si>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</si>
  <si>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</si>
  <si>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</si>
  <si>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</si>
  <si>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</si>
  <si>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</si>
  <si>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</si>
  <si>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</si>
  <si>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</si>
  <si>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</si>
  <si>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</si>
  <si>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</si>
  <si>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</si>
  <si>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</si>
  <si>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</si>
  <si>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</si>
  <si>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</si>
  <si>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</si>
  <si>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</si>
  <si>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</si>
  <si>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</si>
  <si>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</si>
  <si>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</si>
  <si>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</si>
  <si>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</si>
  <si>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</si>
  <si>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</si>
  <si>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</si>
  <si>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</si>
  <si>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</si>
  <si>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</si>
  <si>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</si>
  <si>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</si>
  <si>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</si>
  <si>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</si>
  <si>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</si>
  <si>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</si>
  <si>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</si>
  <si>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</si>
  <si>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</si>
  <si>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</si>
  <si>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</si>
  <si>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</si>
  <si>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</si>
  <si>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</si>
  <si>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</si>
  <si>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</si>
  <si>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</si>
  <si>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</si>
  <si>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</si>
  <si>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</si>
  <si>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</si>
  <si>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</si>
  <si>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</si>
  <si>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</si>
  <si>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</si>
  <si>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</si>
  <si>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</si>
  <si>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</si>
  <si>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</si>
  <si>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</si>
  <si>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</si>
  <si>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</si>
  <si>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</si>
  <si>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</si>
  <si>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</si>
  <si>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</si>
  <si>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</si>
  <si>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</si>
  <si>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</si>
  <si>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</si>
  <si>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</si>
  <si>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</si>
  <si>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</si>
  <si>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</si>
  <si>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</si>
  <si>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</si>
  <si>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</si>
  <si>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</si>
  <si>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</si>
  <si>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</si>
  <si>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</si>
  <si>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</si>
  <si>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</si>
  <si>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</si>
  <si>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</si>
  <si>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</si>
  <si>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</si>
  <si>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</si>
  <si>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</si>
  <si>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</si>
  <si>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</si>
  <si>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</si>
  <si>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</si>
  <si>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</si>
  <si>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</si>
  <si>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</si>
  <si>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</si>
  <si>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</si>
  <si>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</si>
  <si>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</si>
  <si>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</si>
  <si>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</si>
  <si>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</si>
  <si>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</si>
  <si>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</si>
  <si>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</si>
  <si>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</si>
  <si>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</si>
  <si>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</si>
  <si>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</si>
  <si>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</si>
  <si>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</si>
  <si>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</si>
  <si>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</si>
  <si>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</si>
  <si>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</si>
  <si>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</si>
  <si>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</si>
  <si>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</si>
  <si>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</si>
  <si>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</si>
  <si>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</si>
  <si>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</si>
  <si>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</si>
  <si>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</si>
  <si>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</si>
  <si>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</si>
  <si>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</si>
  <si>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</si>
  <si>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</si>
  <si>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</si>
  <si>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</si>
  <si>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</si>
  <si>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</si>
  <si>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</si>
  <si>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</si>
  <si>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</si>
  <si>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</si>
  <si>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</si>
  <si>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</si>
  <si>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</si>
  <si>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</si>
  <si>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</si>
  <si>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</si>
  <si>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</si>
  <si>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</si>
  <si>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</si>
  <si>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</si>
  <si>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</si>
  <si>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</si>
  <si>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</si>
  <si>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</si>
  <si>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</si>
  <si>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</si>
  <si>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</si>
  <si>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</si>
  <si>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</si>
  <si>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</si>
  <si>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</si>
  <si>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</si>
  <si>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</si>
  <si>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</si>
  <si>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</si>
  <si>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</si>
  <si>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</si>
  <si>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</si>
  <si>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</si>
  <si>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</si>
  <si>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</si>
  <si>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</si>
  <si>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</si>
  <si>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</si>
  <si>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</si>
  <si>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</si>
  <si>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</si>
  <si>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</si>
  <si>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</si>
  <si>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</si>
  <si>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</si>
  <si>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</si>
  <si>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</si>
  <si>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</si>
  <si>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</si>
  <si>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</si>
  <si>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</si>
  <si>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</si>
  <si>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</si>
  <si>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</si>
  <si>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</si>
  <si>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</si>
  <si>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</si>
  <si>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</si>
  <si>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</si>
  <si>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</si>
  <si>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</si>
  <si>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</si>
  <si>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</si>
  <si>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</si>
  <si>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</si>
  <si>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</si>
  <si>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</si>
  <si>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</si>
  <si>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</si>
  <si>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</si>
  <si>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</si>
  <si>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</si>
  <si>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</si>
  <si>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</si>
  <si>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</si>
  <si>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</si>
  <si>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</si>
  <si>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</si>
  <si>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</si>
  <si>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</si>
  <si>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</si>
  <si>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</si>
  <si>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</si>
  <si>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</si>
  <si>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</si>
  <si>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</si>
  <si>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</si>
  <si>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</si>
  <si>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</si>
  <si>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</si>
  <si>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</si>
  <si>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</si>
  <si>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</si>
  <si>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</si>
  <si>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</si>
  <si>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</si>
  <si>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</si>
  <si>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</si>
  <si>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</si>
  <si>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</si>
  <si>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</si>
  <si>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</si>
  <si>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</si>
  <si>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</si>
  <si>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</si>
  <si>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</si>
  <si>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</si>
  <si>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</si>
  <si>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</si>
  <si>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</si>
  <si>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</si>
  <si>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</si>
  <si>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</si>
  <si>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</si>
  <si>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</si>
  <si>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</si>
  <si>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</si>
  <si>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</si>
  <si>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</si>
  <si>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</si>
  <si>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</si>
  <si>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</si>
  <si>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</si>
  <si>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</si>
  <si>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</si>
  <si>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</si>
  <si>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</si>
  <si>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</si>
  <si>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</si>
  <si>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</si>
  <si>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</si>
  <si>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</si>
  <si>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</si>
  <si>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</si>
  <si>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</si>
  <si>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</si>
  <si>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</si>
  <si>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</si>
  <si>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</si>
  <si>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</si>
  <si>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</si>
  <si>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</si>
  <si>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</si>
  <si>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</si>
  <si>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</si>
  <si>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</si>
  <si>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</si>
  <si>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</si>
  <si>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</si>
  <si>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</si>
  <si>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</si>
  <si>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</si>
  <si>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</si>
  <si>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</si>
  <si>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</si>
  <si>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</si>
  <si>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</si>
  <si>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</si>
  <si>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</si>
  <si>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</si>
  <si>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</si>
  <si>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</si>
  <si>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</si>
  <si>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</si>
  <si>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</si>
  <si>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</si>
  <si>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</si>
  <si>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</si>
  <si>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</si>
  <si>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</si>
  <si>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</si>
  <si>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</si>
  <si>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</si>
  <si>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</si>
  <si>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</si>
  <si>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</si>
  <si>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</si>
  <si>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</si>
  <si>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</si>
  <si>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</si>
  <si>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</si>
  <si>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</si>
  <si>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</si>
  <si>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</si>
  <si>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</si>
  <si>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</si>
  <si>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</si>
  <si>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</si>
  <si>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</si>
  <si>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</si>
  <si>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</si>
  <si>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</si>
  <si>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</si>
  <si>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</si>
  <si>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</si>
  <si>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</si>
  <si>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</si>
  <si>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</si>
  <si>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</si>
  <si>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</si>
  <si>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</si>
  <si>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</si>
  <si>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</si>
  <si>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</si>
  <si>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</si>
  <si>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</si>
  <si>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</si>
  <si>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</si>
  <si>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</si>
  <si>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</si>
  <si>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</si>
  <si>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</si>
  <si>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</si>
  <si>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</si>
  <si>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</si>
  <si>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</si>
  <si>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</si>
  <si>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</si>
  <si>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</si>
  <si>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</si>
  <si>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</si>
  <si>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</si>
  <si>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</si>
  <si>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</si>
  <si>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</si>
  <si>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</si>
  <si>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</si>
  <si>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</si>
  <si>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</si>
  <si>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</si>
  <si>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</si>
  <si>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</si>
  <si>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</si>
  <si>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</si>
  <si>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</si>
  <si>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</si>
  <si>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</si>
  <si>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</si>
  <si>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</si>
  <si>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</si>
  <si>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</si>
  <si>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</si>
  <si>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</si>
  <si>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</si>
  <si>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</si>
  <si>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</si>
  <si>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</si>
  <si>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</si>
  <si>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</si>
  <si>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</si>
  <si>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</si>
  <si>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</si>
  <si>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</si>
  <si>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</si>
  <si>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</si>
  <si>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</si>
  <si>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</si>
  <si>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</si>
  <si>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</si>
  <si>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</si>
  <si>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</si>
  <si>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</si>
  <si>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</si>
  <si>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</si>
  <si>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</si>
  <si>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</si>
  <si>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</si>
  <si>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</si>
  <si>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</si>
  <si>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</si>
  <si>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</si>
  <si>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</si>
  <si>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</si>
  <si>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</si>
  <si>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</si>
  <si>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</si>
  <si>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</si>
  <si>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</si>
  <si>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</si>
  <si>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</si>
  <si>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</si>
  <si>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</si>
  <si>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</si>
  <si>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</si>
  <si>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</si>
  <si>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</si>
  <si>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</si>
  <si>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</si>
  <si>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</si>
  <si>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</si>
  <si>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</si>
  <si>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</si>
  <si>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</si>
  <si>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</si>
  <si>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</si>
  <si>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</si>
  <si>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</si>
  <si>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</si>
  <si>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</si>
  <si>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</si>
  <si>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</si>
  <si>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</si>
  <si>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</si>
  <si>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</si>
  <si>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</si>
  <si>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</si>
  <si>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</si>
  <si>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</si>
  <si>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</si>
  <si>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</si>
  <si>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</si>
  <si>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</si>
  <si>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</si>
  <si>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</si>
  <si>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</si>
  <si>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</si>
  <si>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</si>
  <si>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</si>
  <si>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</si>
  <si>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</si>
  <si>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</si>
  <si>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</si>
  <si>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</si>
  <si>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</si>
  <si>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</si>
  <si>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</si>
  <si>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</si>
  <si>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</si>
  <si>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</si>
  <si>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</si>
  <si>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</si>
  <si>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</si>
  <si>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</si>
  <si>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</si>
  <si>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</si>
  <si>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</si>
  <si>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</si>
  <si>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</si>
  <si>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</si>
  <si>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</si>
  <si>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</si>
  <si>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</si>
  <si>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</si>
  <si>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</si>
  <si>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</si>
  <si>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</si>
  <si>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</si>
  <si>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</si>
  <si>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</si>
  <si>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</si>
  <si>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</si>
  <si>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</si>
  <si>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</si>
  <si>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</si>
  <si>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</si>
  <si>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</si>
  <si>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</si>
  <si>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</si>
  <si>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</si>
  <si>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</si>
  <si>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</si>
  <si>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</si>
  <si>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</si>
  <si>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</si>
  <si>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</si>
  <si>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</si>
  <si>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</si>
  <si>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</si>
  <si>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</si>
  <si>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</si>
  <si>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</si>
  <si>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</si>
  <si>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</si>
  <si>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</si>
  <si>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</si>
  <si>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</si>
  <si>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</si>
  <si>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</si>
  <si>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</si>
  <si>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</si>
  <si>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</si>
  <si>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</si>
  <si>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</si>
  <si>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</si>
  <si>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</si>
  <si>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</si>
  <si>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</si>
  <si>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</si>
  <si>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</si>
  <si>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</si>
  <si>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</si>
  <si>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</si>
  <si>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</si>
  <si>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</si>
  <si>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</si>
  <si>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</si>
  <si>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</si>
  <si>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</si>
  <si>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</si>
  <si>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</si>
  <si>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</si>
  <si>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</si>
  <si>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</si>
  <si>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</si>
  <si>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</si>
  <si>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</si>
  <si>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</si>
  <si>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</si>
  <si>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</si>
  <si>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</si>
  <si>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</si>
  <si>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</si>
  <si>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</si>
  <si>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</si>
  <si>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</si>
  <si>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</si>
  <si>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</si>
  <si>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</si>
  <si>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</si>
  <si>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</si>
  <si>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</si>
  <si>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</si>
  <si>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</si>
  <si>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</si>
  <si>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</si>
  <si>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</si>
  <si>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</si>
  <si>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</si>
  <si>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</si>
  <si>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</si>
  <si>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</si>
  <si>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</si>
  <si>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</si>
  <si>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</si>
  <si>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</si>
  <si>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</si>
  <si>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</si>
  <si>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</si>
  <si>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</si>
  <si>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</si>
  <si>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</si>
  <si>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</si>
  <si>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</si>
  <si>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</si>
  <si>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</si>
  <si>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</si>
  <si>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</si>
  <si>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</si>
  <si>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</si>
  <si>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</si>
  <si>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</si>
  <si>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</si>
  <si>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</si>
  <si>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</si>
  <si>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</si>
  <si>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</si>
  <si>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</si>
  <si>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</si>
  <si>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</si>
  <si>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</si>
  <si>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</si>
  <si>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</si>
  <si>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</si>
  <si>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</si>
  <si>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</si>
  <si>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</si>
  <si>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</si>
  <si>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</si>
  <si>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</si>
  <si>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</si>
  <si>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</si>
  <si>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</si>
  <si>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</si>
  <si>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</si>
  <si>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</si>
  <si>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</si>
  <si>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</si>
  <si>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</si>
  <si>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</si>
  <si>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</si>
  <si>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</si>
  <si>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</si>
  <si>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</si>
  <si>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</si>
  <si>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</si>
  <si>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</si>
  <si>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</si>
  <si>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</si>
  <si>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</si>
  <si>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</si>
  <si>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</si>
  <si>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</si>
  <si>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</si>
  <si>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</si>
  <si>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</si>
  <si>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</si>
  <si>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</si>
  <si>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</si>
  <si>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</si>
  <si>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</si>
  <si>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</si>
  <si>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</si>
  <si>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</si>
  <si>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</si>
  <si>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</si>
  <si>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</si>
  <si>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</si>
  <si>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</si>
  <si>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</si>
  <si>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</si>
  <si>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</si>
  <si>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</si>
  <si>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</si>
  <si>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</si>
  <si>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</si>
  <si>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</si>
  <si>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</si>
  <si>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</si>
  <si>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</si>
  <si>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</si>
  <si>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</si>
  <si>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</si>
  <si>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</si>
  <si>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</si>
  <si>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</si>
  <si>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</si>
  <si>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</si>
  <si>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</si>
  <si>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</si>
  <si>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</si>
  <si>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</si>
  <si>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</si>
  <si>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</si>
  <si>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</si>
  <si>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</si>
  <si>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</si>
  <si>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</si>
  <si>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</si>
  <si>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</si>
  <si>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</si>
  <si>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</si>
  <si>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</si>
  <si>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</si>
  <si>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</si>
  <si>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</si>
  <si>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</si>
  <si>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</si>
  <si>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</si>
  <si>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</si>
  <si>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</si>
  <si>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</si>
  <si>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</si>
  <si>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</si>
  <si>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</si>
  <si>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</si>
  <si>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</si>
  <si>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</si>
  <si>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</si>
  <si>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</si>
  <si>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</si>
  <si>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</si>
  <si>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</si>
  <si>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</si>
  <si>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</si>
  <si>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</si>
  <si>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</si>
  <si>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</si>
  <si>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</si>
  <si>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</si>
  <si>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</si>
  <si>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</si>
  <si>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</si>
  <si>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</si>
  <si>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</si>
  <si>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</si>
  <si>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</si>
  <si>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</si>
  <si>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</si>
  <si>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</si>
  <si>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</si>
  <si>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</si>
  <si>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</si>
  <si>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</si>
  <si>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</si>
  <si>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</si>
  <si>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</si>
  <si>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</si>
  <si>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</si>
  <si>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</si>
  <si>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</si>
  <si>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</si>
  <si>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</si>
  <si>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</si>
  <si>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</si>
  <si>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</si>
  <si>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</si>
  <si>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</si>
  <si>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</si>
  <si>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</si>
  <si>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</si>
  <si>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</si>
  <si>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</si>
  <si>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</si>
  <si>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</si>
  <si>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</si>
  <si>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</si>
  <si>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</si>
  <si>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</si>
  <si>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</si>
  <si>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</si>
  <si>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</si>
  <si>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</si>
  <si>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</si>
  <si>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</si>
  <si>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</si>
  <si>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</si>
  <si>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</si>
  <si>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</si>
  <si>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</si>
  <si>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</si>
  <si>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</si>
  <si>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</si>
  <si>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</si>
  <si>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</si>
  <si>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</si>
  <si>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</si>
  <si>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</si>
  <si>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</si>
  <si>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</si>
  <si>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</si>
  <si>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</si>
  <si>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</si>
  <si>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</si>
  <si>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</si>
  <si>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</si>
  <si>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</si>
  <si>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</si>
  <si>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</si>
  <si>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</si>
  <si>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</si>
  <si>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</si>
  <si>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</si>
  <si>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</si>
  <si>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</si>
  <si>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</si>
  <si>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</si>
  <si>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</si>
  <si>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</si>
  <si>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</si>
  <si>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</si>
  <si>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</si>
  <si>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</si>
  <si>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</si>
  <si>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</si>
  <si>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</si>
  <si>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</si>
  <si>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</si>
  <si>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</si>
  <si>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</si>
  <si>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</si>
  <si>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</si>
  <si>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</si>
  <si>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</si>
  <si>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</si>
  <si>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</si>
  <si>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</si>
  <si>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</si>
  <si>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</si>
  <si>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</si>
  <si>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</si>
  <si>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</si>
  <si>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</si>
  <si>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</si>
  <si>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</si>
  <si>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</si>
  <si>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</si>
  <si>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</si>
  <si>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</si>
  <si>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</si>
  <si>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</si>
  <si>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</si>
  <si>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</si>
  <si>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</si>
  <si>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</si>
  <si>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</si>
  <si>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</si>
  <si>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</si>
  <si>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</si>
  <si>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</si>
  <si>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</si>
  <si>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</si>
  <si>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</si>
  <si>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</si>
  <si>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</si>
  <si>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</si>
  <si>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</si>
  <si>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</si>
  <si>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</si>
  <si>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</si>
  <si>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</si>
  <si>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</si>
  <si>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</si>
  <si>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</si>
  <si>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</si>
  <si>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</si>
  <si>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</si>
  <si>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</si>
  <si>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</si>
  <si>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</si>
  <si>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</si>
  <si>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</si>
  <si>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</si>
  <si>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</si>
  <si>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</si>
  <si>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</si>
  <si>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</si>
  <si>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</si>
  <si>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</si>
  <si>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</si>
  <si>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</si>
  <si>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</si>
  <si>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</si>
  <si>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</si>
  <si>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</si>
  <si>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</si>
  <si>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</si>
  <si>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</si>
  <si>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</si>
  <si>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</si>
  <si>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</si>
  <si>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</si>
  <si>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</si>
  <si>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</si>
  <si>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</si>
  <si>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</si>
  <si>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</si>
  <si>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</si>
  <si>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</si>
  <si>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</si>
  <si>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</si>
  <si>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</si>
  <si>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</si>
  <si>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</si>
  <si>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</si>
  <si>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</si>
  <si>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</si>
  <si>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</si>
  <si>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</si>
  <si>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</si>
  <si>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</si>
  <si>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</si>
  <si>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</si>
  <si>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</si>
  <si>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</si>
  <si>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</si>
  <si>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</si>
  <si>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</si>
  <si>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</si>
  <si>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</si>
  <si>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</si>
  <si>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</si>
  <si>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</si>
  <si>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</si>
  <si>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</si>
  <si>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</si>
  <si>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</si>
  <si>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</si>
  <si>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</si>
  <si>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</si>
  <si>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</si>
  <si>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</si>
  <si>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</si>
  <si>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</si>
  <si>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</si>
  <si>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</si>
  <si>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</si>
  <si>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</si>
  <si>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</si>
  <si>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</si>
  <si>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</si>
  <si>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</si>
  <si>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</si>
  <si>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</si>
  <si>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</si>
  <si>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</si>
  <si>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</si>
  <si>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</si>
  <si>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</si>
  <si>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</si>
  <si>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</si>
  <si>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</si>
  <si>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</si>
  <si>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</si>
  <si>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</si>
  <si>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</si>
  <si>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</si>
  <si>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</si>
  <si>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</si>
  <si>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</si>
  <si>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</si>
  <si>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</si>
  <si>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</si>
  <si>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</si>
  <si>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</si>
  <si>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</si>
  <si>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</si>
  <si>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</si>
  <si>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</si>
  <si>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</si>
  <si>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</si>
  <si>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</si>
  <si>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</si>
  <si>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</si>
  <si>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</si>
  <si>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</si>
  <si>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</si>
  <si>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</si>
  <si>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</si>
  <si>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</si>
  <si>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</si>
  <si>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</si>
  <si>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</si>
  <si>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</si>
  <si>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</si>
  <si>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</si>
  <si>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</si>
  <si>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</si>
  <si>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</si>
  <si>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</si>
  <si>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</si>
  <si>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</si>
  <si>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</si>
  <si>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</si>
  <si>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</si>
  <si>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</si>
  <si>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</si>
  <si>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</si>
  <si>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</si>
  <si>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</si>
  <si>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</si>
  <si>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</si>
  <si>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</si>
  <si>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</si>
  <si>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</si>
  <si>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</si>
  <si>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</si>
  <si>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</si>
  <si>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</si>
  <si>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</si>
  <si>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</si>
  <si>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</si>
  <si>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</si>
  <si>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</si>
  <si>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</si>
  <si>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</si>
  <si>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</si>
  <si>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</si>
  <si>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</si>
  <si>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</si>
  <si>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</si>
  <si>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</si>
  <si>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</si>
  <si>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</si>
  <si>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</si>
  <si>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</si>
  <si>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</si>
  <si>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</si>
  <si>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</si>
  <si>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</si>
  <si>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</si>
  <si>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</si>
  <si>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</si>
  <si>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</si>
  <si>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</si>
  <si>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</si>
  <si>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</si>
  <si>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</si>
  <si>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</si>
  <si>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</si>
  <si>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</si>
  <si>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</si>
  <si>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</si>
  <si>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</si>
  <si>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</si>
  <si>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</si>
  <si>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</si>
  <si>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</si>
  <si>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</si>
  <si>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</si>
  <si>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</si>
  <si>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</si>
  <si>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</si>
  <si>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</si>
  <si>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</si>
  <si>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</si>
  <si>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</si>
  <si>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</si>
  <si>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</si>
  <si>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</si>
  <si>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</si>
  <si>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</si>
  <si>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</si>
  <si>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</si>
  <si>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</si>
  <si>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</si>
  <si>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</si>
  <si>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</si>
  <si>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</si>
  <si>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</si>
  <si>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</si>
  <si>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</si>
  <si>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</si>
  <si>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</si>
  <si>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</si>
  <si>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</si>
  <si>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</si>
  <si>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</si>
  <si>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</si>
  <si>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</si>
  <si>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</si>
  <si>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</si>
  <si>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</si>
  <si>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</si>
  <si>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</si>
  <si>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</si>
  <si>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</si>
  <si>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</si>
  <si>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</si>
  <si>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</si>
  <si>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</si>
  <si>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</si>
  <si>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</si>
  <si>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</si>
  <si>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</si>
  <si>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</si>
  <si>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</si>
  <si>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</si>
  <si>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</si>
  <si>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</si>
  <si>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</si>
  <si>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</si>
  <si>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</si>
  <si>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</si>
  <si>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</si>
  <si>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</si>
  <si>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</si>
  <si>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</si>
  <si>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</si>
  <si>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</si>
  <si>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</si>
  <si>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</si>
  <si>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</si>
  <si>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</si>
  <si>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</si>
  <si>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</si>
  <si>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</si>
  <si>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</si>
  <si>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</si>
  <si>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</si>
  <si>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</si>
  <si>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</si>
  <si>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</si>
  <si>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</si>
  <si>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</si>
  <si>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</si>
  <si>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</si>
  <si>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</si>
  <si>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</si>
  <si>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</si>
  <si>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</si>
  <si>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</si>
  <si>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</si>
  <si>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</si>
  <si>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</si>
  <si>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</si>
  <si>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</si>
  <si>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</si>
  <si>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</si>
  <si>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</si>
  <si>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</si>
  <si>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</si>
  <si>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</si>
  <si>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</si>
  <si>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</si>
  <si>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</si>
  <si>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</si>
  <si>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</si>
  <si>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</si>
  <si>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</si>
  <si>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</si>
  <si>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</si>
  <si>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</si>
  <si>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</si>
  <si>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</si>
  <si>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</si>
  <si>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</si>
  <si>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</si>
  <si>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</si>
  <si>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</si>
  <si>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</si>
  <si>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</si>
  <si>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</si>
  <si>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</si>
  <si>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</si>
  <si>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</si>
  <si>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</si>
  <si>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</si>
  <si>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</si>
  <si>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</si>
  <si>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</si>
  <si>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</si>
  <si>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</si>
  <si>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</si>
  <si>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</si>
  <si>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</si>
  <si>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</si>
  <si>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</si>
  <si>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</si>
  <si>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</si>
  <si>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</si>
  <si>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</si>
  <si>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</si>
  <si>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</si>
  <si>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</si>
  <si>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</si>
  <si>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</si>
  <si>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</si>
  <si>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</si>
  <si>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</si>
  <si>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</si>
  <si>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</si>
  <si>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</si>
  <si>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</si>
  <si>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Gross Revenue</t>
  </si>
  <si>
    <t>Discount Amount</t>
  </si>
  <si>
    <t xml:space="preserve">Net Revnue </t>
  </si>
  <si>
    <t>Row Labels</t>
  </si>
  <si>
    <t>Grand Total</t>
  </si>
  <si>
    <t>Sum of Gross Revenue</t>
  </si>
  <si>
    <t xml:space="preserve">Sum of Net Revnue </t>
  </si>
  <si>
    <t>Q1. Showing the total Gross Revenue and Net Revenue across order id</t>
  </si>
  <si>
    <t>Sum of Total Price (?)</t>
  </si>
  <si>
    <t>Over all Revenue</t>
  </si>
  <si>
    <t>Average of Total Price (?)</t>
  </si>
  <si>
    <t>% of Total Revenue</t>
  </si>
  <si>
    <t>Sum of Discount Rate</t>
  </si>
  <si>
    <t>Column Labels</t>
  </si>
  <si>
    <t>Count of Order ID</t>
  </si>
  <si>
    <t>Count of Delivery Status</t>
  </si>
  <si>
    <t>Average Discount</t>
  </si>
  <si>
    <t>Ans: The Product Lamp is highest returned and Curtain obtained the highest cancelled item. Surprisingly both rates are same.</t>
  </si>
  <si>
    <t>Jan</t>
  </si>
  <si>
    <t>Feb</t>
  </si>
  <si>
    <t>Mar</t>
  </si>
  <si>
    <t>Apr</t>
  </si>
  <si>
    <t>May</t>
  </si>
  <si>
    <t>Jun</t>
  </si>
  <si>
    <t>Jul</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</si>
  <si>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</si>
  <si>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</si>
  <si>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</si>
  <si>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</si>
  <si>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</si>
  <si>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</si>
  <si>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</si>
  <si>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</si>
  <si>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</si>
  <si>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</si>
  <si>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</si>
  <si>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</si>
  <si>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</si>
  <si>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</si>
  <si>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</si>
  <si>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</si>
  <si>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</si>
  <si>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</si>
  <si>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</si>
  <si>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</si>
  <si>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</si>
  <si>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</si>
  <si>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</si>
  <si>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</si>
  <si>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</si>
  <si>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</si>
  <si>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</si>
  <si>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</si>
  <si>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</si>
  <si>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</si>
  <si>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</si>
  <si>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</si>
  <si>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</si>
  <si>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</si>
  <si>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</si>
  <si>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</si>
  <si>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</si>
  <si>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</si>
  <si>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</si>
  <si>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</si>
  <si>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</si>
  <si>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</si>
  <si>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</si>
  <si>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</si>
  <si>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</si>
  <si>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</si>
  <si>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</si>
  <si>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</si>
  <si>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</si>
  <si>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</si>
  <si>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</si>
  <si>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</si>
  <si>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</si>
  <si>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</si>
  <si>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</si>
  <si>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</si>
  <si>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</si>
  <si>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</si>
  <si>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</si>
  <si>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</si>
  <si>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</si>
  <si>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</si>
  <si>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</si>
  <si>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</si>
  <si>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</si>
  <si>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</si>
  <si>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</si>
  <si>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</si>
  <si>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</si>
  <si>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</si>
  <si>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</si>
  <si>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</si>
  <si>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</si>
  <si>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</si>
  <si>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</si>
  <si>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</si>
  <si>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</si>
  <si>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</si>
  <si>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</si>
  <si>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</si>
  <si>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</si>
  <si>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</si>
  <si>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</si>
  <si>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</si>
  <si>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</si>
  <si>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</si>
  <si>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</si>
  <si>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</si>
  <si>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</si>
  <si>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</si>
  <si>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</si>
  <si>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</si>
  <si>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</si>
  <si>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</si>
  <si>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</si>
  <si>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</si>
  <si>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</si>
  <si>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</si>
  <si>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</si>
  <si>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</si>
  <si>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</si>
  <si>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</si>
  <si>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</si>
  <si>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</si>
  <si>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</si>
  <si>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</si>
  <si>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</si>
  <si>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</si>
  <si>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</si>
  <si>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</si>
  <si>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</si>
  <si>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</si>
  <si>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</si>
  <si>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</si>
  <si>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</si>
  <si>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</si>
  <si>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</si>
  <si>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</si>
  <si>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</si>
  <si>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</si>
  <si>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</si>
  <si>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</si>
  <si>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</si>
  <si>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</si>
  <si>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</si>
  <si>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</si>
  <si>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</si>
  <si>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</si>
  <si>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</si>
  <si>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</si>
  <si>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</si>
  <si>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</si>
  <si>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</si>
  <si>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</si>
  <si>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</si>
  <si>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</si>
  <si>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</si>
  <si>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</si>
  <si>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</si>
  <si>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</si>
  <si>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</si>
  <si>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</si>
  <si>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</si>
  <si>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</si>
  <si>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</si>
  <si>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</si>
  <si>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</si>
  <si>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</si>
  <si>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</si>
  <si>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</si>
  <si>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</si>
  <si>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</si>
  <si>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</si>
  <si>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</si>
  <si>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</si>
  <si>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</si>
  <si>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</si>
  <si>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</si>
  <si>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</si>
  <si>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</si>
  <si>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</si>
  <si>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</si>
  <si>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</si>
  <si>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</si>
  <si>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</si>
  <si>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</si>
  <si>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</si>
  <si>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</si>
  <si>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</si>
  <si>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</si>
  <si>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</si>
  <si>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</si>
  <si>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</si>
  <si>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</si>
  <si>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</si>
  <si>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</si>
  <si>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</si>
  <si>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</si>
  <si>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</si>
  <si>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</si>
  <si>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</si>
  <si>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</si>
  <si>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</si>
  <si>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Ans:  20th of April crossd highestrevenue</t>
  </si>
  <si>
    <t>Total Revenue</t>
  </si>
  <si>
    <t>MoM grwoth %</t>
  </si>
  <si>
    <t>Dates &amp; Months</t>
  </si>
  <si>
    <t>Customer Spent More than 10000</t>
  </si>
  <si>
    <t>Total Customers</t>
  </si>
  <si>
    <t>Total Percentage of Customers</t>
  </si>
  <si>
    <t>Average of Quantity</t>
  </si>
  <si>
    <t>Highest average order size</t>
  </si>
  <si>
    <t>Ans: The Clothing Category in South Region has the highest average order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</si>
</sst>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4" x14ac:knownFonts="1">
    <font>
      <sz val="11"/>
      <color theme="1"/>
      <name val="Aptos Narrow"/>
      <family val="2"/>
      <scheme val="minor"/>
    </font>
    <font>
      <b/>
      <sz val="12"/>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15"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2" borderId="0" xfId="0" applyFill="1"/>
    <xf numFmtId="164" fontId="0" fillId="0" borderId="0" xfId="0" applyNumberFormat="1"/>
    <xf numFmtId="0" fontId="0" fillId="0" borderId="0" xfId="0" applyAlignment="1">
      <alignment horizontal="left" indent="1"/>
    </xf>
    <xf numFmtId="15" fontId="0" fillId="0" borderId="0" xfId="0" applyNumberFormat="1" applyAlignment="1">
      <alignment horizontal="left" indent="2"/>
    </xf>
    <xf numFmtId="0" fontId="1" fillId="2" borderId="0" xfId="0" applyFont="1" applyFill="1" applyAlignment="1">
      <alignment horizontal="center" vertical="center"/>
    </xf>
    <xf numFmtId="0" fontId="0" fillId="2" borderId="0" xfId="0" applyFill="1" applyAlignment="1">
      <alignment horizontal="center"/>
    </xf>
    <xf numFmtId="0" fontId="3" fillId="0" borderId="0" xfId="0" applyFont="1"/>
    <xf numFmtId="0" fontId="0" fillId="0" borderId="0" xfId="0" applyNumberFormat="1"/>
    <xf numFmtId="9" fontId="0" fillId="0" borderId="0" xfId="1" applyFont="1"/>
  </cellXfs>
  <cellStyles count="2">
    <cellStyle name="Normal" xfId="0" builtinId="0"/>
    <cellStyle name="Percent" xfId="1" builtinId="5"/>
  </cellStyles>
  <dxfs count="3">
    <dxf>
      <font>
        <color rgb="FF9C0006"/>
      </font>
      <fill>
        <patternFill>
          <bgColor rgb="FFFFC7CE"/>
        </patternFill>
      </fill>
    </dxf>
    <dxf>
      <numFmt numFmtId="164" formatCode="0,&quot;K&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(1).xlsx]Q11!PivotTable2</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'Q11'!$B$3:$B$4</c:f>
              <c:strCache>
                <c:ptCount val="1"/>
                <c:pt idx="0">
                  <c:v>Books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'Q11'!$A$5:$A$377</c:f>
              <c:multiLvlStrCache>
                <c:ptCount val="183"/>
                <c:lvl>
                  <c:pt idx="0">
                    <c:v>03-Jan-25</c:v>
                  </c:pt>
                  <c:pt idx="1">
                    <c:v>04-Jan-25</c:v>
                  </c:pt>
                  <c:pt idx="2">
                    <c:v>05-Jan-25</c:v>
                  </c:pt>
                  <c:pt idx="3">
                    <c:v>06-Jan-25</c:v>
                  </c:pt>
                  <c:pt idx="4">
                    <c:v>07-Jan-25</c:v>
                  </c:pt>
                  <c:pt idx="5">
                    <c:v>08-Jan-25</c:v>
                  </c:pt>
                  <c:pt idx="6">
                    <c:v>09-Jan-25</c:v>
                  </c:pt>
                  <c:pt idx="7">
                    <c:v>10-Jan-25</c:v>
                  </c:pt>
                  <c:pt idx="8">
                    <c:v>11-Jan-25</c:v>
                  </c:pt>
                  <c:pt idx="9">
                    <c:v>12-Jan-25</c:v>
                  </c:pt>
                  <c:pt idx="10">
                    <c:v>13-Jan-25</c:v>
                  </c:pt>
                  <c:pt idx="11">
                    <c:v>14-Jan-25</c:v>
                  </c:pt>
                  <c:pt idx="12">
                    <c:v>15-Jan-25</c:v>
                  </c:pt>
                  <c:pt idx="13">
                    <c:v>16-Jan-25</c:v>
                  </c:pt>
                  <c:pt idx="14">
                    <c:v>17-Jan-25</c:v>
                  </c:pt>
                  <c:pt idx="15">
                    <c:v>18-Jan-25</c:v>
                  </c:pt>
                  <c:pt idx="16">
                    <c:v>19-Jan-25</c:v>
                  </c:pt>
                  <c:pt idx="17">
                    <c:v>20-Jan-25</c:v>
                  </c:pt>
                  <c:pt idx="18">
                    <c:v>21-Jan-25</c:v>
                  </c:pt>
                  <c:pt idx="19">
                    <c:v>22-Jan-25</c:v>
                  </c:pt>
                  <c:pt idx="20">
                    <c:v>23-Jan-25</c:v>
                  </c:pt>
                  <c:pt idx="21">
                    <c:v>24-Jan-25</c:v>
                  </c:pt>
                  <c:pt idx="22">
                    <c:v>25-Jan-25</c:v>
                  </c:pt>
                  <c:pt idx="23">
                    <c:v>26-Jan-25</c:v>
                  </c:pt>
                  <c:pt idx="24">
                    <c:v>27-Jan-25</c:v>
                  </c:pt>
                  <c:pt idx="25">
                    <c:v>28-Jan-25</c:v>
                  </c:pt>
                  <c:pt idx="26">
                    <c:v>29-Jan-25</c:v>
                  </c:pt>
                  <c:pt idx="27">
                    <c:v>30-Jan-25</c:v>
                  </c:pt>
                  <c:pt idx="28">
                    <c:v>31-Jan-25</c:v>
                  </c:pt>
                  <c:pt idx="29">
                    <c:v>01-Feb-25</c:v>
                  </c:pt>
                  <c:pt idx="30">
                    <c:v>02-Feb-25</c:v>
                  </c:pt>
                  <c:pt idx="31">
                    <c:v>03-Feb-25</c:v>
                  </c:pt>
                  <c:pt idx="32">
                    <c:v>04-Feb-25</c:v>
                  </c:pt>
                  <c:pt idx="33">
                    <c:v>05-Feb-25</c:v>
                  </c:pt>
                  <c:pt idx="34">
                    <c:v>06-Feb-25</c:v>
                  </c:pt>
                  <c:pt idx="35">
                    <c:v>07-Feb-25</c:v>
                  </c:pt>
                  <c:pt idx="36">
                    <c:v>08-Feb-25</c:v>
                  </c:pt>
                  <c:pt idx="37">
                    <c:v>09-Feb-25</c:v>
                  </c:pt>
                  <c:pt idx="38">
                    <c:v>10-Feb-25</c:v>
                  </c:pt>
                  <c:pt idx="39">
                    <c:v>11-Feb-25</c:v>
                  </c:pt>
                  <c:pt idx="40">
                    <c:v>12-Feb-25</c:v>
                  </c:pt>
                  <c:pt idx="41">
                    <c:v>13-Feb-25</c:v>
                  </c:pt>
                  <c:pt idx="42">
                    <c:v>14-Feb-25</c:v>
                  </c:pt>
                  <c:pt idx="43">
                    <c:v>15-Feb-25</c:v>
                  </c:pt>
                  <c:pt idx="44">
                    <c:v>16-Feb-25</c:v>
                  </c:pt>
                  <c:pt idx="45">
                    <c:v>17-Feb-25</c:v>
                  </c:pt>
                  <c:pt idx="46">
                    <c:v>18-Feb-25</c:v>
                  </c:pt>
                  <c:pt idx="47">
                    <c:v>19-Feb-25</c:v>
                  </c:pt>
                  <c:pt idx="48">
                    <c:v>20-Feb-25</c:v>
                  </c:pt>
                  <c:pt idx="49">
                    <c:v>21-Feb-25</c:v>
                  </c:pt>
                  <c:pt idx="50">
                    <c:v>22-Feb-25</c:v>
                  </c:pt>
                  <c:pt idx="51">
                    <c:v>23-Feb-25</c:v>
                  </c:pt>
                  <c:pt idx="52">
                    <c:v>24-Feb-25</c:v>
                  </c:pt>
                  <c:pt idx="53">
                    <c:v>25-Feb-25</c:v>
                  </c:pt>
                  <c:pt idx="54">
                    <c:v>26-Feb-25</c:v>
                  </c:pt>
                  <c:pt idx="55">
                    <c:v>27-Feb-25</c:v>
                  </c:pt>
                  <c:pt idx="56">
                    <c:v>28-Feb-25</c:v>
                  </c:pt>
                  <c:pt idx="57">
                    <c:v>01-Mar-25</c:v>
                  </c:pt>
                  <c:pt idx="58">
                    <c:v>02-Mar-25</c:v>
                  </c:pt>
                  <c:pt idx="59">
                    <c:v>03-Mar-25</c:v>
                  </c:pt>
                  <c:pt idx="60">
                    <c:v>04-Mar-25</c:v>
                  </c:pt>
                  <c:pt idx="61">
                    <c:v>05-Mar-25</c:v>
                  </c:pt>
                  <c:pt idx="62">
                    <c:v>06-Mar-25</c:v>
                  </c:pt>
                  <c:pt idx="63">
                    <c:v>07-Mar-25</c:v>
                  </c:pt>
                  <c:pt idx="64">
                    <c:v>08-Mar-25</c:v>
                  </c:pt>
                  <c:pt idx="65">
                    <c:v>09-Mar-25</c:v>
                  </c:pt>
                  <c:pt idx="66">
                    <c:v>10-Mar-25</c:v>
                  </c:pt>
                  <c:pt idx="67">
                    <c:v>11-Mar-25</c:v>
                  </c:pt>
                  <c:pt idx="68">
                    <c:v>12-Mar-25</c:v>
                  </c:pt>
                  <c:pt idx="69">
                    <c:v>13-Mar-25</c:v>
                  </c:pt>
                  <c:pt idx="70">
                    <c:v>14-Mar-25</c:v>
                  </c:pt>
                  <c:pt idx="71">
                    <c:v>15-Mar-25</c:v>
                  </c:pt>
                  <c:pt idx="72">
                    <c:v>16-Mar-25</c:v>
                  </c:pt>
                  <c:pt idx="73">
                    <c:v>17-Mar-25</c:v>
                  </c:pt>
                  <c:pt idx="74">
                    <c:v>18-Mar-25</c:v>
                  </c:pt>
                  <c:pt idx="75">
                    <c:v>19-Mar-25</c:v>
                  </c:pt>
                  <c:pt idx="76">
                    <c:v>20-Mar-25</c:v>
                  </c:pt>
                  <c:pt idx="77">
                    <c:v>21-Mar-25</c:v>
                  </c:pt>
                  <c:pt idx="78">
                    <c:v>22-Mar-25</c:v>
                  </c:pt>
                  <c:pt idx="79">
                    <c:v>23-Mar-25</c:v>
                  </c:pt>
                  <c:pt idx="80">
                    <c:v>24-Mar-25</c:v>
                  </c:pt>
                  <c:pt idx="81">
                    <c:v>25-Mar-25</c:v>
                  </c:pt>
                  <c:pt idx="82">
                    <c:v>26-Mar-25</c:v>
                  </c:pt>
                  <c:pt idx="83">
                    <c:v>27-Mar-25</c:v>
                  </c:pt>
                  <c:pt idx="84">
                    <c:v>28-Mar-25</c:v>
                  </c:pt>
                  <c:pt idx="85">
                    <c:v>29-Mar-25</c:v>
                  </c:pt>
                  <c:pt idx="86">
                    <c:v>30-Mar-25</c:v>
                  </c:pt>
                  <c:pt idx="87">
                    <c:v>31-Mar-25</c:v>
                  </c:pt>
                  <c:pt idx="88">
                    <c:v>01-Apr-25</c:v>
                  </c:pt>
                  <c:pt idx="89">
                    <c:v>02-Apr-25</c:v>
                  </c:pt>
                  <c:pt idx="90">
                    <c:v>03-Apr-25</c:v>
                  </c:pt>
                  <c:pt idx="91">
                    <c:v>04-Apr-25</c:v>
                  </c:pt>
                  <c:pt idx="92">
                    <c:v>05-Apr-25</c:v>
                  </c:pt>
                  <c:pt idx="93">
                    <c:v>06-Apr-25</c:v>
                  </c:pt>
                  <c:pt idx="94">
                    <c:v>07-Apr-25</c:v>
                  </c:pt>
                  <c:pt idx="95">
                    <c:v>08-Apr-25</c:v>
                  </c:pt>
                  <c:pt idx="96">
                    <c:v>09-Apr-25</c:v>
                  </c:pt>
                  <c:pt idx="97">
                    <c:v>10-Apr-25</c:v>
                  </c:pt>
                  <c:pt idx="98">
                    <c:v>11-Apr-25</c:v>
                  </c:pt>
                  <c:pt idx="99">
                    <c:v>12-Apr-25</c:v>
                  </c:pt>
                  <c:pt idx="100">
                    <c:v>13-Apr-25</c:v>
                  </c:pt>
                  <c:pt idx="101">
                    <c:v>14-Apr-25</c:v>
                  </c:pt>
                  <c:pt idx="102">
                    <c:v>15-Apr-25</c:v>
                  </c:pt>
                  <c:pt idx="103">
                    <c:v>16-Apr-25</c:v>
                  </c:pt>
                  <c:pt idx="104">
                    <c:v>17-Apr-25</c:v>
                  </c:pt>
                  <c:pt idx="105">
                    <c:v>18-Apr-25</c:v>
                  </c:pt>
                  <c:pt idx="106">
                    <c:v>19-Apr-25</c:v>
                  </c:pt>
                  <c:pt idx="107">
                    <c:v>20-Apr-25</c:v>
                  </c:pt>
                  <c:pt idx="108">
                    <c:v>21-Apr-25</c:v>
                  </c:pt>
                  <c:pt idx="109">
                    <c:v>22-Apr-25</c:v>
                  </c:pt>
                  <c:pt idx="110">
                    <c:v>23-Apr-25</c:v>
                  </c:pt>
                  <c:pt idx="111">
                    <c:v>24-Apr-25</c:v>
                  </c:pt>
                  <c:pt idx="112">
                    <c:v>25-Apr-25</c:v>
                  </c:pt>
                  <c:pt idx="113">
                    <c:v>26-Apr-25</c:v>
                  </c:pt>
                  <c:pt idx="114">
                    <c:v>27-Apr-25</c:v>
                  </c:pt>
                  <c:pt idx="115">
                    <c:v>28-Apr-25</c:v>
                  </c:pt>
                  <c:pt idx="116">
                    <c:v>29-Apr-25</c:v>
                  </c:pt>
                  <c:pt idx="117">
                    <c:v>30-Apr-25</c:v>
                  </c:pt>
                  <c:pt idx="118">
                    <c:v>01-May-25</c:v>
                  </c:pt>
                  <c:pt idx="119">
                    <c:v>02-May-25</c:v>
                  </c:pt>
                  <c:pt idx="120">
                    <c:v>03-May-25</c:v>
                  </c:pt>
                  <c:pt idx="121">
                    <c:v>04-May-25</c:v>
                  </c:pt>
                  <c:pt idx="122">
                    <c:v>05-May-25</c:v>
                  </c:pt>
                  <c:pt idx="123">
                    <c:v>06-May-25</c:v>
                  </c:pt>
                  <c:pt idx="124">
                    <c:v>07-May-25</c:v>
                  </c:pt>
                  <c:pt idx="125">
                    <c:v>08-May-25</c:v>
                  </c:pt>
                  <c:pt idx="126">
                    <c:v>09-May-25</c:v>
                  </c:pt>
                  <c:pt idx="127">
                    <c:v>10-May-25</c:v>
                  </c:pt>
                  <c:pt idx="128">
                    <c:v>11-May-25</c:v>
                  </c:pt>
                  <c:pt idx="129">
                    <c:v>12-May-25</c:v>
                  </c:pt>
                  <c:pt idx="130">
                    <c:v>13-May-25</c:v>
                  </c:pt>
                  <c:pt idx="131">
                    <c:v>14-May-25</c:v>
                  </c:pt>
                  <c:pt idx="132">
                    <c:v>15-May-25</c:v>
                  </c:pt>
                  <c:pt idx="133">
                    <c:v>16-May-25</c:v>
                  </c:pt>
                  <c:pt idx="134">
                    <c:v>17-May-25</c:v>
                  </c:pt>
                  <c:pt idx="135">
                    <c:v>18-May-25</c:v>
                  </c:pt>
                  <c:pt idx="136">
                    <c:v>19-May-25</c:v>
                  </c:pt>
                  <c:pt idx="137">
                    <c:v>20-May-25</c:v>
                  </c:pt>
                  <c:pt idx="138">
                    <c:v>21-May-25</c:v>
                  </c:pt>
                  <c:pt idx="139">
                    <c:v>22-May-25</c:v>
                  </c:pt>
                  <c:pt idx="140">
                    <c:v>23-May-25</c:v>
                  </c:pt>
                  <c:pt idx="141">
                    <c:v>24-May-25</c:v>
                  </c:pt>
                  <c:pt idx="142">
                    <c:v>25-May-25</c:v>
                  </c:pt>
                  <c:pt idx="143">
                    <c:v>26-May-25</c:v>
                  </c:pt>
                  <c:pt idx="144">
                    <c:v>27-May-25</c:v>
                  </c:pt>
                  <c:pt idx="145">
                    <c:v>28-May-25</c:v>
                  </c:pt>
                  <c:pt idx="146">
                    <c:v>29-May-25</c:v>
                  </c:pt>
                  <c:pt idx="147">
                    <c:v>30-May-25</c:v>
                  </c:pt>
                  <c:pt idx="148">
                    <c:v>31-May-25</c:v>
                  </c:pt>
                  <c:pt idx="149">
                    <c:v>01-Jun-25</c:v>
                  </c:pt>
                  <c:pt idx="150">
                    <c:v>02-Jun-25</c:v>
                  </c:pt>
                  <c:pt idx="151">
                    <c:v>03-Jun-25</c:v>
                  </c:pt>
                  <c:pt idx="152">
                    <c:v>04-Jun-25</c:v>
                  </c:pt>
                  <c:pt idx="153">
                    <c:v>05-Jun-25</c:v>
                  </c:pt>
                  <c:pt idx="154">
                    <c:v>06-Jun-25</c:v>
                  </c:pt>
                  <c:pt idx="155">
                    <c:v>07-Jun-25</c:v>
                  </c:pt>
                  <c:pt idx="156">
                    <c:v>08-Jun-25</c:v>
                  </c:pt>
                  <c:pt idx="157">
                    <c:v>09-Jun-25</c:v>
                  </c:pt>
                  <c:pt idx="158">
                    <c:v>10-Jun-25</c:v>
                  </c:pt>
                  <c:pt idx="159">
                    <c:v>11-Jun-25</c:v>
                  </c:pt>
                  <c:pt idx="160">
                    <c:v>12-Jun-25</c:v>
                  </c:pt>
                  <c:pt idx="161">
                    <c:v>13-Jun-25</c:v>
                  </c:pt>
                  <c:pt idx="162">
                    <c:v>14-Jun-25</c:v>
                  </c:pt>
                  <c:pt idx="163">
                    <c:v>15-Jun-25</c:v>
                  </c:pt>
                  <c:pt idx="164">
                    <c:v>16-Jun-25</c:v>
                  </c:pt>
                  <c:pt idx="165">
                    <c:v>17-Jun-25</c:v>
                  </c:pt>
                  <c:pt idx="166">
                    <c:v>18-Jun-25</c:v>
                  </c:pt>
                  <c:pt idx="167">
                    <c:v>19-Jun-25</c:v>
                  </c:pt>
                  <c:pt idx="168">
                    <c:v>20-Jun-25</c:v>
                  </c:pt>
                  <c:pt idx="169">
                    <c:v>21-Jun-25</c:v>
                  </c:pt>
                  <c:pt idx="170">
                    <c:v>22-Jun-25</c:v>
                  </c:pt>
                  <c:pt idx="171">
                    <c:v>23-Jun-25</c:v>
                  </c:pt>
                  <c:pt idx="172">
                    <c:v>24-Jun-25</c:v>
                  </c:pt>
                  <c:pt idx="173">
                    <c:v>25-Jun-25</c:v>
                  </c:pt>
                  <c:pt idx="174">
                    <c:v>26-Jun-25</c:v>
                  </c:pt>
                  <c:pt idx="175">
                    <c:v>27-Jun-25</c:v>
                  </c:pt>
                  <c:pt idx="176">
                    <c:v>28-Jun-25</c:v>
                  </c:pt>
                  <c:pt idx="177">
                    <c:v>29-Jun-25</c:v>
                  </c:pt>
                  <c:pt idx="178">
                    <c:v>30-Jun-25</c:v>
                  </c:pt>
                  <c:pt idx="179">
                    <c:v>01-Jul-25</c:v>
                  </c:pt>
                  <c:pt idx="180">
                    <c:v>02-Jul-25</c:v>
                  </c:pt>
                  <c:pt idx="181">
                    <c:v>03-Jul-25</c:v>
                  </c:pt>
                  <c:pt idx="182">
                    <c:v>04-Jul-25</c:v>
                  </c:pt>
                </c:lvl>
                <c:lvl>
                  <c:pt idx="0">
                    <c:v>03-Jan</c:v>
                  </c:pt>
                  <c:pt idx="1">
                    <c:v>04-Jan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pt idx="20">
                    <c:v>23-Jan</c:v>
                  </c:pt>
                  <c:pt idx="21">
                    <c:v>24-Jan</c:v>
                  </c:pt>
                  <c:pt idx="22">
                    <c:v>25-Jan</c:v>
                  </c:pt>
                  <c:pt idx="23">
                    <c:v>26-Jan</c:v>
                  </c:pt>
                  <c:pt idx="24">
                    <c:v>27-Jan</c:v>
                  </c:pt>
                  <c:pt idx="25">
                    <c:v>28-Jan</c:v>
                  </c:pt>
                  <c:pt idx="26">
                    <c:v>29-Jan</c:v>
                  </c:pt>
                  <c:pt idx="27">
                    <c:v>30-Jan</c:v>
                  </c:pt>
                  <c:pt idx="28">
                    <c:v>31-Jan</c:v>
                  </c:pt>
                  <c:pt idx="29">
                    <c:v>01-Feb</c:v>
                  </c:pt>
                  <c:pt idx="30">
                    <c:v>02-Feb</c:v>
                  </c:pt>
                  <c:pt idx="31">
                    <c:v>03-Feb</c:v>
                  </c:pt>
                  <c:pt idx="32">
                    <c:v>04-Feb</c:v>
                  </c:pt>
                  <c:pt idx="33">
                    <c:v>05-Feb</c:v>
                  </c:pt>
                  <c:pt idx="34">
                    <c:v>06-Feb</c:v>
                  </c:pt>
                  <c:pt idx="35">
                    <c:v>07-Feb</c:v>
                  </c:pt>
                  <c:pt idx="36">
                    <c:v>08-Feb</c:v>
                  </c:pt>
                  <c:pt idx="37">
                    <c:v>09-Feb</c:v>
                  </c:pt>
                  <c:pt idx="38">
                    <c:v>10-Feb</c:v>
                  </c:pt>
                  <c:pt idx="39">
                    <c:v>11-Feb</c:v>
                  </c:pt>
                  <c:pt idx="40">
                    <c:v>12-Feb</c:v>
                  </c:pt>
                  <c:pt idx="41">
                    <c:v>13-Feb</c:v>
                  </c:pt>
                  <c:pt idx="42">
                    <c:v>14-Feb</c:v>
                  </c:pt>
                  <c:pt idx="43">
                    <c:v>15-Feb</c:v>
                  </c:pt>
                  <c:pt idx="44">
                    <c:v>16-Feb</c:v>
                  </c:pt>
                  <c:pt idx="45">
                    <c:v>17-Feb</c:v>
                  </c:pt>
                  <c:pt idx="46">
                    <c:v>18-Feb</c:v>
                  </c:pt>
                  <c:pt idx="47">
                    <c:v>19-Feb</c:v>
                  </c:pt>
                  <c:pt idx="48">
                    <c:v>20-Feb</c:v>
                  </c:pt>
                  <c:pt idx="49">
                    <c:v>21-Feb</c:v>
                  </c:pt>
                  <c:pt idx="50">
                    <c:v>22-Feb</c:v>
                  </c:pt>
                  <c:pt idx="51">
                    <c:v>23-Feb</c:v>
                  </c:pt>
                  <c:pt idx="52">
                    <c:v>24-Feb</c:v>
                  </c:pt>
                  <c:pt idx="53">
                    <c:v>25-Feb</c:v>
                  </c:pt>
                  <c:pt idx="54">
                    <c:v>26-Feb</c:v>
                  </c:pt>
                  <c:pt idx="55">
                    <c:v>27-Feb</c:v>
                  </c:pt>
                  <c:pt idx="56">
                    <c:v>28-Feb</c:v>
                  </c:pt>
                  <c:pt idx="57">
                    <c:v>01-Mar</c:v>
                  </c:pt>
                  <c:pt idx="58">
                    <c:v>02-Mar</c:v>
                  </c:pt>
                  <c:pt idx="59">
                    <c:v>03-Mar</c:v>
                  </c:pt>
                  <c:pt idx="60">
                    <c:v>04-Mar</c:v>
                  </c:pt>
                  <c:pt idx="61">
                    <c:v>05-Mar</c:v>
                  </c:pt>
                  <c:pt idx="62">
                    <c:v>06-Mar</c:v>
                  </c:pt>
                  <c:pt idx="63">
                    <c:v>07-Mar</c:v>
                  </c:pt>
                  <c:pt idx="64">
                    <c:v>08-Mar</c:v>
                  </c:pt>
                  <c:pt idx="65">
                    <c:v>09-Mar</c:v>
                  </c:pt>
                  <c:pt idx="66">
                    <c:v>10-Mar</c:v>
                  </c:pt>
                  <c:pt idx="67">
                    <c:v>11-Mar</c:v>
                  </c:pt>
                  <c:pt idx="68">
                    <c:v>12-Mar</c:v>
                  </c:pt>
                  <c:pt idx="69">
                    <c:v>13-Mar</c:v>
                  </c:pt>
                  <c:pt idx="70">
                    <c:v>14-Mar</c:v>
                  </c:pt>
                  <c:pt idx="71">
                    <c:v>15-Mar</c:v>
                  </c:pt>
                  <c:pt idx="72">
                    <c:v>16-Mar</c:v>
                  </c:pt>
                  <c:pt idx="73">
                    <c:v>17-Mar</c:v>
                  </c:pt>
                  <c:pt idx="74">
                    <c:v>18-Mar</c:v>
                  </c:pt>
                  <c:pt idx="75">
                    <c:v>19-Mar</c:v>
                  </c:pt>
                  <c:pt idx="76">
                    <c:v>20-Mar</c:v>
                  </c:pt>
                  <c:pt idx="77">
                    <c:v>21-Mar</c:v>
                  </c:pt>
                  <c:pt idx="78">
                    <c:v>22-Mar</c:v>
                  </c:pt>
                  <c:pt idx="79">
                    <c:v>23-Mar</c:v>
                  </c:pt>
                  <c:pt idx="80">
                    <c:v>24-Mar</c:v>
                  </c:pt>
                  <c:pt idx="81">
                    <c:v>25-Mar</c:v>
                  </c:pt>
                  <c:pt idx="82">
                    <c:v>26-Mar</c:v>
                  </c:pt>
                  <c:pt idx="83">
                    <c:v>27-Mar</c:v>
                  </c:pt>
                  <c:pt idx="84">
                    <c:v>28-Mar</c:v>
                  </c:pt>
                  <c:pt idx="85">
                    <c:v>29-Mar</c:v>
                  </c:pt>
                  <c:pt idx="86">
                    <c:v>30-Mar</c:v>
                  </c:pt>
                  <c:pt idx="87">
                    <c:v>31-Mar</c:v>
                  </c:pt>
                  <c:pt idx="88">
                    <c:v>01-Apr</c:v>
                  </c:pt>
                  <c:pt idx="89">
                    <c:v>02-Apr</c:v>
                  </c:pt>
                  <c:pt idx="90">
                    <c:v>03-Apr</c:v>
                  </c:pt>
                  <c:pt idx="91">
                    <c:v>04-Apr</c:v>
                  </c:pt>
                  <c:pt idx="92">
                    <c:v>05-Apr</c:v>
                  </c:pt>
                  <c:pt idx="93">
                    <c:v>06-Apr</c:v>
                  </c:pt>
                  <c:pt idx="94">
                    <c:v>07-Apr</c:v>
                  </c:pt>
                  <c:pt idx="95">
                    <c:v>08-Apr</c:v>
                  </c:pt>
                  <c:pt idx="96">
                    <c:v>09-Apr</c:v>
                  </c:pt>
                  <c:pt idx="97">
                    <c:v>10-Apr</c:v>
                  </c:pt>
                  <c:pt idx="98">
                    <c:v>11-Apr</c:v>
                  </c:pt>
                  <c:pt idx="99">
                    <c:v>12-Apr</c:v>
                  </c:pt>
                  <c:pt idx="100">
                    <c:v>13-Apr</c:v>
                  </c:pt>
                  <c:pt idx="101">
                    <c:v>14-Apr</c:v>
                  </c:pt>
                  <c:pt idx="102">
                    <c:v>15-Apr</c:v>
                  </c:pt>
                  <c:pt idx="103">
                    <c:v>16-Apr</c:v>
                  </c:pt>
                  <c:pt idx="104">
                    <c:v>17-Apr</c:v>
                  </c:pt>
                  <c:pt idx="105">
                    <c:v>18-Apr</c:v>
                  </c:pt>
                  <c:pt idx="106">
                    <c:v>19-Apr</c:v>
                  </c:pt>
                  <c:pt idx="107">
                    <c:v>20-Apr</c:v>
                  </c:pt>
                  <c:pt idx="108">
                    <c:v>21-Apr</c:v>
                  </c:pt>
                  <c:pt idx="109">
                    <c:v>22-Apr</c:v>
                  </c:pt>
                  <c:pt idx="110">
                    <c:v>23-Apr</c:v>
                  </c:pt>
                  <c:pt idx="111">
                    <c:v>24-Apr</c:v>
                  </c:pt>
                  <c:pt idx="112">
                    <c:v>25-Apr</c:v>
                  </c:pt>
                  <c:pt idx="113">
                    <c:v>26-Apr</c:v>
                  </c:pt>
                  <c:pt idx="114">
                    <c:v>27-Apr</c:v>
                  </c:pt>
                  <c:pt idx="115">
                    <c:v>28-Apr</c:v>
                  </c:pt>
                  <c:pt idx="116">
                    <c:v>29-Apr</c:v>
                  </c:pt>
                  <c:pt idx="117">
                    <c:v>30-Apr</c:v>
                  </c:pt>
                  <c:pt idx="118">
                    <c:v>01-May</c:v>
                  </c:pt>
                  <c:pt idx="119">
                    <c:v>02-May</c:v>
                  </c:pt>
                  <c:pt idx="120">
                    <c:v>03-May</c:v>
                  </c:pt>
                  <c:pt idx="121">
                    <c:v>04-May</c:v>
                  </c:pt>
                  <c:pt idx="122">
                    <c:v>05-May</c:v>
                  </c:pt>
                  <c:pt idx="123">
                    <c:v>06-May</c:v>
                  </c:pt>
                  <c:pt idx="124">
                    <c:v>07-May</c:v>
                  </c:pt>
                  <c:pt idx="125">
                    <c:v>08-May</c:v>
                  </c:pt>
                  <c:pt idx="126">
                    <c:v>09-May</c:v>
                  </c:pt>
                  <c:pt idx="127">
                    <c:v>10-May</c:v>
                  </c:pt>
                  <c:pt idx="128">
                    <c:v>11-May</c:v>
                  </c:pt>
                  <c:pt idx="129">
                    <c:v>12-May</c:v>
                  </c:pt>
                  <c:pt idx="130">
                    <c:v>13-May</c:v>
                  </c:pt>
                  <c:pt idx="131">
                    <c:v>14-May</c:v>
                  </c:pt>
                  <c:pt idx="132">
                    <c:v>15-May</c:v>
                  </c:pt>
                  <c:pt idx="133">
                    <c:v>16-May</c:v>
                  </c:pt>
                  <c:pt idx="134">
                    <c:v>17-May</c:v>
                  </c:pt>
                  <c:pt idx="135">
                    <c:v>18-May</c:v>
                  </c:pt>
                  <c:pt idx="136">
                    <c:v>19-May</c:v>
                  </c:pt>
                  <c:pt idx="137">
                    <c:v>20-May</c:v>
                  </c:pt>
                  <c:pt idx="138">
                    <c:v>21-May</c:v>
                  </c:pt>
                  <c:pt idx="139">
                    <c:v>22-May</c:v>
                  </c:pt>
                  <c:pt idx="140">
                    <c:v>23-May</c:v>
                  </c:pt>
                  <c:pt idx="141">
                    <c:v>24-May</c:v>
                  </c:pt>
                  <c:pt idx="142">
                    <c:v>25-May</c:v>
                  </c:pt>
                  <c:pt idx="143">
                    <c:v>26-May</c:v>
                  </c:pt>
                  <c:pt idx="144">
                    <c:v>27-May</c:v>
                  </c:pt>
                  <c:pt idx="145">
                    <c:v>28-May</c:v>
                  </c:pt>
                  <c:pt idx="146">
                    <c:v>29-May</c:v>
                  </c:pt>
                  <c:pt idx="147">
                    <c:v>30-May</c:v>
                  </c:pt>
                  <c:pt idx="148">
                    <c:v>31-May</c:v>
                  </c:pt>
                  <c:pt idx="149">
                    <c:v>01-Jun</c:v>
                  </c:pt>
                  <c:pt idx="150">
                    <c:v>02-Jun</c:v>
                  </c:pt>
                  <c:pt idx="151">
                    <c:v>03-Jun</c:v>
                  </c:pt>
                  <c:pt idx="152">
                    <c:v>04-Jun</c:v>
                  </c:pt>
                  <c:pt idx="153">
                    <c:v>05-Jun</c:v>
                  </c:pt>
                  <c:pt idx="154">
                    <c:v>06-Jun</c:v>
                  </c:pt>
                  <c:pt idx="155">
                    <c:v>07-Jun</c:v>
                  </c:pt>
                  <c:pt idx="156">
                    <c:v>08-Jun</c:v>
                  </c:pt>
                  <c:pt idx="157">
                    <c:v>09-Jun</c:v>
                  </c:pt>
                  <c:pt idx="158">
                    <c:v>10-Jun</c:v>
                  </c:pt>
                  <c:pt idx="159">
                    <c:v>11-Jun</c:v>
                  </c:pt>
                  <c:pt idx="160">
                    <c:v>12-Jun</c:v>
                  </c:pt>
                  <c:pt idx="161">
                    <c:v>13-Jun</c:v>
                  </c:pt>
                  <c:pt idx="162">
                    <c:v>14-Jun</c:v>
                  </c:pt>
                  <c:pt idx="163">
                    <c:v>15-Jun</c:v>
                  </c:pt>
                  <c:pt idx="164">
                    <c:v>16-Jun</c:v>
                  </c:pt>
                  <c:pt idx="165">
                    <c:v>17-Jun</c:v>
                  </c:pt>
                  <c:pt idx="166">
                    <c:v>18-Jun</c:v>
                  </c:pt>
                  <c:pt idx="167">
                    <c:v>19-Jun</c:v>
                  </c:pt>
                  <c:pt idx="168">
                    <c:v>20-Jun</c:v>
                  </c:pt>
                  <c:pt idx="169">
                    <c:v>21-Jun</c:v>
                  </c:pt>
                  <c:pt idx="170">
                    <c:v>22-Jun</c:v>
                  </c:pt>
                  <c:pt idx="171">
                    <c:v>23-Jun</c:v>
                  </c:pt>
                  <c:pt idx="172">
                    <c:v>24-Jun</c:v>
                  </c:pt>
                  <c:pt idx="173">
                    <c:v>25-Jun</c:v>
                  </c:pt>
                  <c:pt idx="174">
                    <c:v>26-Jun</c:v>
                  </c:pt>
                  <c:pt idx="175">
                    <c:v>27-Jun</c:v>
                  </c:pt>
                  <c:pt idx="176">
                    <c:v>28-Jun</c:v>
                  </c:pt>
                  <c:pt idx="177">
                    <c:v>29-Jun</c:v>
                  </c:pt>
                  <c:pt idx="178">
                    <c:v>30-Jun</c:v>
                  </c:pt>
                  <c:pt idx="179">
                    <c:v>01-Jul</c:v>
                  </c:pt>
                  <c:pt idx="180">
                    <c:v>02-Jul</c:v>
                  </c:pt>
                  <c:pt idx="181">
                    <c:v>03-Jul</c:v>
                  </c:pt>
                  <c:pt idx="182">
                    <c:v>04-Jul</c:v>
                  </c:pt>
                </c:lvl>
                <c:lvl>
                  <c:pt idx="0">
                    <c:v>Jan</c:v>
                  </c:pt>
                  <c:pt idx="29">
                    <c:v>Feb</c:v>
                  </c:pt>
                  <c:pt idx="57">
                    <c:v>Mar</c:v>
                  </c:pt>
                  <c:pt idx="88">
                    <c:v>Apr</c:v>
                  </c:pt>
                  <c:pt idx="118">
                    <c:v>May</c:v>
                  </c:pt>
                  <c:pt idx="149">
                    <c:v>Jun</c:v>
                  </c:pt>
                  <c:pt idx="179">
                    <c:v>Jul</c:v>
                  </c:pt>
                </c:lvl>
              </c:multiLvlStrCache>
            </c:multiLvlStrRef>
          </c:cat>
          <c:val>
            <c:numRef>
              <c:f>'Q11'!$B$5:$B$377</c:f>
              <c:numCache>
                <c:formatCode>0,"K"</c:formatCode>
                <c:ptCount val="183"/>
                <c:pt idx="0">
                  <c:v>16933.21</c:v>
                </c:pt>
                <c:pt idx="1">
                  <c:v>5126.79</c:v>
                </c:pt>
                <c:pt idx="2">
                  <c:v>5920.7000000000007</c:v>
                </c:pt>
                <c:pt idx="4">
                  <c:v>22826.799999999999</c:v>
                </c:pt>
                <c:pt idx="5">
                  <c:v>6609.82</c:v>
                </c:pt>
                <c:pt idx="7">
                  <c:v>9340.43</c:v>
                </c:pt>
                <c:pt idx="8">
                  <c:v>15597.62</c:v>
                </c:pt>
                <c:pt idx="9">
                  <c:v>20955.07</c:v>
                </c:pt>
                <c:pt idx="11">
                  <c:v>462.32000000000005</c:v>
                </c:pt>
                <c:pt idx="13">
                  <c:v>8943.4500000000007</c:v>
                </c:pt>
                <c:pt idx="14">
                  <c:v>7828.95</c:v>
                </c:pt>
                <c:pt idx="15">
                  <c:v>18762.699999999997</c:v>
                </c:pt>
                <c:pt idx="16">
                  <c:v>5078.91</c:v>
                </c:pt>
                <c:pt idx="17">
                  <c:v>2806.44</c:v>
                </c:pt>
                <c:pt idx="18">
                  <c:v>31022.899999999998</c:v>
                </c:pt>
                <c:pt idx="19">
                  <c:v>8202.0499999999993</c:v>
                </c:pt>
                <c:pt idx="20">
                  <c:v>7784.2099999999991</c:v>
                </c:pt>
                <c:pt idx="21">
                  <c:v>24913.599999999999</c:v>
                </c:pt>
                <c:pt idx="23">
                  <c:v>183.3</c:v>
                </c:pt>
                <c:pt idx="24">
                  <c:v>8953.2999999999993</c:v>
                </c:pt>
                <c:pt idx="25">
                  <c:v>33705.53</c:v>
                </c:pt>
                <c:pt idx="26">
                  <c:v>20518.64</c:v>
                </c:pt>
                <c:pt idx="27">
                  <c:v>3116.06</c:v>
                </c:pt>
                <c:pt idx="28">
                  <c:v>7192.38</c:v>
                </c:pt>
                <c:pt idx="29">
                  <c:v>11785.75</c:v>
                </c:pt>
                <c:pt idx="30">
                  <c:v>20614.16</c:v>
                </c:pt>
                <c:pt idx="31">
                  <c:v>11221.72</c:v>
                </c:pt>
                <c:pt idx="33">
                  <c:v>7609.27</c:v>
                </c:pt>
                <c:pt idx="34">
                  <c:v>5691.3</c:v>
                </c:pt>
                <c:pt idx="35">
                  <c:v>4524.47</c:v>
                </c:pt>
                <c:pt idx="37">
                  <c:v>8702.14</c:v>
                </c:pt>
                <c:pt idx="38">
                  <c:v>5482.9900000000007</c:v>
                </c:pt>
                <c:pt idx="39">
                  <c:v>8439.17</c:v>
                </c:pt>
                <c:pt idx="40">
                  <c:v>21980.21</c:v>
                </c:pt>
                <c:pt idx="41">
                  <c:v>19531.68</c:v>
                </c:pt>
                <c:pt idx="42">
                  <c:v>15700.45</c:v>
                </c:pt>
                <c:pt idx="43">
                  <c:v>3591.8999999999996</c:v>
                </c:pt>
                <c:pt idx="44">
                  <c:v>27066.300000000003</c:v>
                </c:pt>
                <c:pt idx="45">
                  <c:v>5567.68</c:v>
                </c:pt>
                <c:pt idx="46">
                  <c:v>10778.42</c:v>
                </c:pt>
                <c:pt idx="47">
                  <c:v>26188.65</c:v>
                </c:pt>
                <c:pt idx="48">
                  <c:v>5618.79</c:v>
                </c:pt>
                <c:pt idx="50">
                  <c:v>3991.74</c:v>
                </c:pt>
                <c:pt idx="51">
                  <c:v>26483.190000000002</c:v>
                </c:pt>
                <c:pt idx="52">
                  <c:v>19235.650000000001</c:v>
                </c:pt>
                <c:pt idx="53">
                  <c:v>25933.07</c:v>
                </c:pt>
                <c:pt idx="54">
                  <c:v>6586.5</c:v>
                </c:pt>
                <c:pt idx="55">
                  <c:v>12393.38</c:v>
                </c:pt>
                <c:pt idx="56">
                  <c:v>6279.47</c:v>
                </c:pt>
                <c:pt idx="57">
                  <c:v>7129.98</c:v>
                </c:pt>
                <c:pt idx="58">
                  <c:v>12452.06</c:v>
                </c:pt>
                <c:pt idx="59">
                  <c:v>28903.89</c:v>
                </c:pt>
                <c:pt idx="60">
                  <c:v>27012.9</c:v>
                </c:pt>
                <c:pt idx="61">
                  <c:v>30160.720000000001</c:v>
                </c:pt>
                <c:pt idx="62">
                  <c:v>2844.35</c:v>
                </c:pt>
                <c:pt idx="63">
                  <c:v>2801.28</c:v>
                </c:pt>
                <c:pt idx="65">
                  <c:v>40514.199999999997</c:v>
                </c:pt>
                <c:pt idx="66">
                  <c:v>9161.02</c:v>
                </c:pt>
                <c:pt idx="67">
                  <c:v>19945.05</c:v>
                </c:pt>
                <c:pt idx="68">
                  <c:v>3359.69</c:v>
                </c:pt>
                <c:pt idx="70">
                  <c:v>5983.7</c:v>
                </c:pt>
                <c:pt idx="72">
                  <c:v>943.91</c:v>
                </c:pt>
                <c:pt idx="74">
                  <c:v>16897.59</c:v>
                </c:pt>
                <c:pt idx="76">
                  <c:v>1069.68</c:v>
                </c:pt>
                <c:pt idx="77">
                  <c:v>6107.28</c:v>
                </c:pt>
                <c:pt idx="79">
                  <c:v>8661.8100000000013</c:v>
                </c:pt>
                <c:pt idx="81">
                  <c:v>16407.5</c:v>
                </c:pt>
                <c:pt idx="83">
                  <c:v>27815.58</c:v>
                </c:pt>
                <c:pt idx="84">
                  <c:v>10670.900000000001</c:v>
                </c:pt>
                <c:pt idx="85">
                  <c:v>49779.460000000006</c:v>
                </c:pt>
                <c:pt idx="88">
                  <c:v>20991.510000000002</c:v>
                </c:pt>
                <c:pt idx="89">
                  <c:v>19942.95</c:v>
                </c:pt>
                <c:pt idx="90">
                  <c:v>16854.330000000002</c:v>
                </c:pt>
                <c:pt idx="91">
                  <c:v>39850.199999999997</c:v>
                </c:pt>
                <c:pt idx="92">
                  <c:v>21876.260000000002</c:v>
                </c:pt>
                <c:pt idx="93">
                  <c:v>2314.44</c:v>
                </c:pt>
                <c:pt idx="94">
                  <c:v>21126.57</c:v>
                </c:pt>
                <c:pt idx="95">
                  <c:v>8301.01</c:v>
                </c:pt>
                <c:pt idx="97">
                  <c:v>4725.5</c:v>
                </c:pt>
                <c:pt idx="98">
                  <c:v>14709.95</c:v>
                </c:pt>
                <c:pt idx="99">
                  <c:v>3554.29</c:v>
                </c:pt>
                <c:pt idx="100">
                  <c:v>30191.23</c:v>
                </c:pt>
                <c:pt idx="101">
                  <c:v>949.73</c:v>
                </c:pt>
                <c:pt idx="102">
                  <c:v>2175.73</c:v>
                </c:pt>
                <c:pt idx="103">
                  <c:v>15828.130000000001</c:v>
                </c:pt>
                <c:pt idx="104">
                  <c:v>25002.899999999998</c:v>
                </c:pt>
                <c:pt idx="105">
                  <c:v>23420.2</c:v>
                </c:pt>
                <c:pt idx="107">
                  <c:v>4211.7</c:v>
                </c:pt>
                <c:pt idx="110">
                  <c:v>14386.5</c:v>
                </c:pt>
                <c:pt idx="111">
                  <c:v>32812.85</c:v>
                </c:pt>
                <c:pt idx="112">
                  <c:v>11803.98</c:v>
                </c:pt>
                <c:pt idx="113">
                  <c:v>6164.8</c:v>
                </c:pt>
                <c:pt idx="114">
                  <c:v>3538.58</c:v>
                </c:pt>
                <c:pt idx="115">
                  <c:v>1493.06</c:v>
                </c:pt>
                <c:pt idx="117">
                  <c:v>20039.439999999999</c:v>
                </c:pt>
                <c:pt idx="118">
                  <c:v>8439.4100000000017</c:v>
                </c:pt>
                <c:pt idx="120">
                  <c:v>15063.93</c:v>
                </c:pt>
                <c:pt idx="122">
                  <c:v>7678.29</c:v>
                </c:pt>
                <c:pt idx="123">
                  <c:v>10252.48</c:v>
                </c:pt>
                <c:pt idx="127">
                  <c:v>6661.81</c:v>
                </c:pt>
                <c:pt idx="128">
                  <c:v>21419.99</c:v>
                </c:pt>
                <c:pt idx="129">
                  <c:v>25290.52</c:v>
                </c:pt>
                <c:pt idx="130">
                  <c:v>20708.21</c:v>
                </c:pt>
                <c:pt idx="131">
                  <c:v>15393.499999999998</c:v>
                </c:pt>
                <c:pt idx="132">
                  <c:v>5800.68</c:v>
                </c:pt>
                <c:pt idx="133">
                  <c:v>30673.339999999997</c:v>
                </c:pt>
                <c:pt idx="134">
                  <c:v>15624.19</c:v>
                </c:pt>
                <c:pt idx="136">
                  <c:v>9789.9699999999993</c:v>
                </c:pt>
                <c:pt idx="137">
                  <c:v>2159.29</c:v>
                </c:pt>
                <c:pt idx="138">
                  <c:v>23333.51</c:v>
                </c:pt>
                <c:pt idx="140">
                  <c:v>2679.19</c:v>
                </c:pt>
                <c:pt idx="141">
                  <c:v>17712.93</c:v>
                </c:pt>
                <c:pt idx="142">
                  <c:v>8413.17</c:v>
                </c:pt>
                <c:pt idx="143">
                  <c:v>4005.07</c:v>
                </c:pt>
                <c:pt idx="144">
                  <c:v>22079.760000000002</c:v>
                </c:pt>
                <c:pt idx="145">
                  <c:v>5011.13</c:v>
                </c:pt>
                <c:pt idx="146">
                  <c:v>8772.33</c:v>
                </c:pt>
                <c:pt idx="147">
                  <c:v>22385.84</c:v>
                </c:pt>
                <c:pt idx="148">
                  <c:v>10856.56</c:v>
                </c:pt>
                <c:pt idx="150">
                  <c:v>629.22</c:v>
                </c:pt>
                <c:pt idx="151">
                  <c:v>1303.8900000000001</c:v>
                </c:pt>
                <c:pt idx="152">
                  <c:v>15232.8</c:v>
                </c:pt>
                <c:pt idx="154">
                  <c:v>3635.3799999999997</c:v>
                </c:pt>
                <c:pt idx="156">
                  <c:v>22680.57</c:v>
                </c:pt>
                <c:pt idx="157">
                  <c:v>25661.59</c:v>
                </c:pt>
                <c:pt idx="158">
                  <c:v>18136.760000000002</c:v>
                </c:pt>
                <c:pt idx="159">
                  <c:v>2122.6799999999998</c:v>
                </c:pt>
                <c:pt idx="161">
                  <c:v>32377.889999999996</c:v>
                </c:pt>
                <c:pt idx="164">
                  <c:v>15535.480000000001</c:v>
                </c:pt>
                <c:pt idx="165">
                  <c:v>8642.25</c:v>
                </c:pt>
                <c:pt idx="166">
                  <c:v>24949.08</c:v>
                </c:pt>
                <c:pt idx="167">
                  <c:v>21172.57</c:v>
                </c:pt>
                <c:pt idx="168">
                  <c:v>4551.75</c:v>
                </c:pt>
                <c:pt idx="169">
                  <c:v>1010.91</c:v>
                </c:pt>
                <c:pt idx="170">
                  <c:v>10806.48</c:v>
                </c:pt>
                <c:pt idx="171">
                  <c:v>13422.8</c:v>
                </c:pt>
                <c:pt idx="172">
                  <c:v>2619.5700000000002</c:v>
                </c:pt>
                <c:pt idx="173">
                  <c:v>3633.09</c:v>
                </c:pt>
                <c:pt idx="174">
                  <c:v>27373.56</c:v>
                </c:pt>
                <c:pt idx="175">
                  <c:v>3510.24</c:v>
                </c:pt>
                <c:pt idx="176">
                  <c:v>3507.24</c:v>
                </c:pt>
                <c:pt idx="177">
                  <c:v>19954.68</c:v>
                </c:pt>
                <c:pt idx="178">
                  <c:v>8284.1</c:v>
                </c:pt>
                <c:pt idx="179">
                  <c:v>14436.79</c:v>
                </c:pt>
                <c:pt idx="180">
                  <c:v>3621.56</c:v>
                </c:pt>
                <c:pt idx="181">
                  <c:v>16326.07</c:v>
                </c:pt>
              </c:numCache>
            </c:numRef>
          </c:val>
          <c:smooth val="0"/>
          <c:extLst>
            <c:ext xmlns:c16="http://schemas.microsoft.com/office/drawing/2014/chart" uri="{C3380CC4-5D6E-409C-BE32-E72D297353CC}">
              <c16:uniqueId val="{00000000-BFED-4E68-BF41-E5F2E273EAA6}"/>
            </c:ext>
          </c:extLst>
        </c:ser>
        <c:ser>
          <c:idx val="1"/>
          <c:order val="1"/>
          <c:tx>
            <c:strRef>
              <c:f>'Q11'!$C$3:$C$4</c:f>
              <c:strCache>
                <c:ptCount val="1"/>
                <c:pt idx="0">
                  <c:v>Clothing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'Q11'!$A$5:$A$377</c:f>
              <c:multiLvlStrCache>
                <c:ptCount val="183"/>
                <c:lvl>
                  <c:pt idx="0">
                    <c:v>03-Jan-25</c:v>
                  </c:pt>
                  <c:pt idx="1">
                    <c:v>04-Jan-25</c:v>
                  </c:pt>
                  <c:pt idx="2">
                    <c:v>05-Jan-25</c:v>
                  </c:pt>
                  <c:pt idx="3">
                    <c:v>06-Jan-25</c:v>
                  </c:pt>
                  <c:pt idx="4">
                    <c:v>07-Jan-25</c:v>
                  </c:pt>
                  <c:pt idx="5">
                    <c:v>08-Jan-25</c:v>
                  </c:pt>
                  <c:pt idx="6">
                    <c:v>09-Jan-25</c:v>
                  </c:pt>
                  <c:pt idx="7">
                    <c:v>10-Jan-25</c:v>
                  </c:pt>
                  <c:pt idx="8">
                    <c:v>11-Jan-25</c:v>
                  </c:pt>
                  <c:pt idx="9">
                    <c:v>12-Jan-25</c:v>
                  </c:pt>
                  <c:pt idx="10">
                    <c:v>13-Jan-25</c:v>
                  </c:pt>
                  <c:pt idx="11">
                    <c:v>14-Jan-25</c:v>
                  </c:pt>
                  <c:pt idx="12">
                    <c:v>15-Jan-25</c:v>
                  </c:pt>
                  <c:pt idx="13">
                    <c:v>16-Jan-25</c:v>
                  </c:pt>
                  <c:pt idx="14">
                    <c:v>17-Jan-25</c:v>
                  </c:pt>
                  <c:pt idx="15">
                    <c:v>18-Jan-25</c:v>
                  </c:pt>
                  <c:pt idx="16">
                    <c:v>19-Jan-25</c:v>
                  </c:pt>
                  <c:pt idx="17">
                    <c:v>20-Jan-25</c:v>
                  </c:pt>
                  <c:pt idx="18">
                    <c:v>21-Jan-25</c:v>
                  </c:pt>
                  <c:pt idx="19">
                    <c:v>22-Jan-25</c:v>
                  </c:pt>
                  <c:pt idx="20">
                    <c:v>23-Jan-25</c:v>
                  </c:pt>
                  <c:pt idx="21">
                    <c:v>24-Jan-25</c:v>
                  </c:pt>
                  <c:pt idx="22">
                    <c:v>25-Jan-25</c:v>
                  </c:pt>
                  <c:pt idx="23">
                    <c:v>26-Jan-25</c:v>
                  </c:pt>
                  <c:pt idx="24">
                    <c:v>27-Jan-25</c:v>
                  </c:pt>
                  <c:pt idx="25">
                    <c:v>28-Jan-25</c:v>
                  </c:pt>
                  <c:pt idx="26">
                    <c:v>29-Jan-25</c:v>
                  </c:pt>
                  <c:pt idx="27">
                    <c:v>30-Jan-25</c:v>
                  </c:pt>
                  <c:pt idx="28">
                    <c:v>31-Jan-25</c:v>
                  </c:pt>
                  <c:pt idx="29">
                    <c:v>01-Feb-25</c:v>
                  </c:pt>
                  <c:pt idx="30">
                    <c:v>02-Feb-25</c:v>
                  </c:pt>
                  <c:pt idx="31">
                    <c:v>03-Feb-25</c:v>
                  </c:pt>
                  <c:pt idx="32">
                    <c:v>04-Feb-25</c:v>
                  </c:pt>
                  <c:pt idx="33">
                    <c:v>05-Feb-25</c:v>
                  </c:pt>
                  <c:pt idx="34">
                    <c:v>06-Feb-25</c:v>
                  </c:pt>
                  <c:pt idx="35">
                    <c:v>07-Feb-25</c:v>
                  </c:pt>
                  <c:pt idx="36">
                    <c:v>08-Feb-25</c:v>
                  </c:pt>
                  <c:pt idx="37">
                    <c:v>09-Feb-25</c:v>
                  </c:pt>
                  <c:pt idx="38">
                    <c:v>10-Feb-25</c:v>
                  </c:pt>
                  <c:pt idx="39">
                    <c:v>11-Feb-25</c:v>
                  </c:pt>
                  <c:pt idx="40">
                    <c:v>12-Feb-25</c:v>
                  </c:pt>
                  <c:pt idx="41">
                    <c:v>13-Feb-25</c:v>
                  </c:pt>
                  <c:pt idx="42">
                    <c:v>14-Feb-25</c:v>
                  </c:pt>
                  <c:pt idx="43">
                    <c:v>15-Feb-25</c:v>
                  </c:pt>
                  <c:pt idx="44">
                    <c:v>16-Feb-25</c:v>
                  </c:pt>
                  <c:pt idx="45">
                    <c:v>17-Feb-25</c:v>
                  </c:pt>
                  <c:pt idx="46">
                    <c:v>18-Feb-25</c:v>
                  </c:pt>
                  <c:pt idx="47">
                    <c:v>19-Feb-25</c:v>
                  </c:pt>
                  <c:pt idx="48">
                    <c:v>20-Feb-25</c:v>
                  </c:pt>
                  <c:pt idx="49">
                    <c:v>21-Feb-25</c:v>
                  </c:pt>
                  <c:pt idx="50">
                    <c:v>22-Feb-25</c:v>
                  </c:pt>
                  <c:pt idx="51">
                    <c:v>23-Feb-25</c:v>
                  </c:pt>
                  <c:pt idx="52">
                    <c:v>24-Feb-25</c:v>
                  </c:pt>
                  <c:pt idx="53">
                    <c:v>25-Feb-25</c:v>
                  </c:pt>
                  <c:pt idx="54">
                    <c:v>26-Feb-25</c:v>
                  </c:pt>
                  <c:pt idx="55">
                    <c:v>27-Feb-25</c:v>
                  </c:pt>
                  <c:pt idx="56">
                    <c:v>28-Feb-25</c:v>
                  </c:pt>
                  <c:pt idx="57">
                    <c:v>01-Mar-25</c:v>
                  </c:pt>
                  <c:pt idx="58">
                    <c:v>02-Mar-25</c:v>
                  </c:pt>
                  <c:pt idx="59">
                    <c:v>03-Mar-25</c:v>
                  </c:pt>
                  <c:pt idx="60">
                    <c:v>04-Mar-25</c:v>
                  </c:pt>
                  <c:pt idx="61">
                    <c:v>05-Mar-25</c:v>
                  </c:pt>
                  <c:pt idx="62">
                    <c:v>06-Mar-25</c:v>
                  </c:pt>
                  <c:pt idx="63">
                    <c:v>07-Mar-25</c:v>
                  </c:pt>
                  <c:pt idx="64">
                    <c:v>08-Mar-25</c:v>
                  </c:pt>
                  <c:pt idx="65">
                    <c:v>09-Mar-25</c:v>
                  </c:pt>
                  <c:pt idx="66">
                    <c:v>10-Mar-25</c:v>
                  </c:pt>
                  <c:pt idx="67">
                    <c:v>11-Mar-25</c:v>
                  </c:pt>
                  <c:pt idx="68">
                    <c:v>12-Mar-25</c:v>
                  </c:pt>
                  <c:pt idx="69">
                    <c:v>13-Mar-25</c:v>
                  </c:pt>
                  <c:pt idx="70">
                    <c:v>14-Mar-25</c:v>
                  </c:pt>
                  <c:pt idx="71">
                    <c:v>15-Mar-25</c:v>
                  </c:pt>
                  <c:pt idx="72">
                    <c:v>16-Mar-25</c:v>
                  </c:pt>
                  <c:pt idx="73">
                    <c:v>17-Mar-25</c:v>
                  </c:pt>
                  <c:pt idx="74">
                    <c:v>18-Mar-25</c:v>
                  </c:pt>
                  <c:pt idx="75">
                    <c:v>19-Mar-25</c:v>
                  </c:pt>
                  <c:pt idx="76">
                    <c:v>20-Mar-25</c:v>
                  </c:pt>
                  <c:pt idx="77">
                    <c:v>21-Mar-25</c:v>
                  </c:pt>
                  <c:pt idx="78">
                    <c:v>22-Mar-25</c:v>
                  </c:pt>
                  <c:pt idx="79">
                    <c:v>23-Mar-25</c:v>
                  </c:pt>
                  <c:pt idx="80">
                    <c:v>24-Mar-25</c:v>
                  </c:pt>
                  <c:pt idx="81">
                    <c:v>25-Mar-25</c:v>
                  </c:pt>
                  <c:pt idx="82">
                    <c:v>26-Mar-25</c:v>
                  </c:pt>
                  <c:pt idx="83">
                    <c:v>27-Mar-25</c:v>
                  </c:pt>
                  <c:pt idx="84">
                    <c:v>28-Mar-25</c:v>
                  </c:pt>
                  <c:pt idx="85">
                    <c:v>29-Mar-25</c:v>
                  </c:pt>
                  <c:pt idx="86">
                    <c:v>30-Mar-25</c:v>
                  </c:pt>
                  <c:pt idx="87">
                    <c:v>31-Mar-25</c:v>
                  </c:pt>
                  <c:pt idx="88">
                    <c:v>01-Apr-25</c:v>
                  </c:pt>
                  <c:pt idx="89">
                    <c:v>02-Apr-25</c:v>
                  </c:pt>
                  <c:pt idx="90">
                    <c:v>03-Apr-25</c:v>
                  </c:pt>
                  <c:pt idx="91">
                    <c:v>04-Apr-25</c:v>
                  </c:pt>
                  <c:pt idx="92">
                    <c:v>05-Apr-25</c:v>
                  </c:pt>
                  <c:pt idx="93">
                    <c:v>06-Apr-25</c:v>
                  </c:pt>
                  <c:pt idx="94">
                    <c:v>07-Apr-25</c:v>
                  </c:pt>
                  <c:pt idx="95">
                    <c:v>08-Apr-25</c:v>
                  </c:pt>
                  <c:pt idx="96">
                    <c:v>09-Apr-25</c:v>
                  </c:pt>
                  <c:pt idx="97">
                    <c:v>10-Apr-25</c:v>
                  </c:pt>
                  <c:pt idx="98">
                    <c:v>11-Apr-25</c:v>
                  </c:pt>
                  <c:pt idx="99">
                    <c:v>12-Apr-25</c:v>
                  </c:pt>
                  <c:pt idx="100">
                    <c:v>13-Apr-25</c:v>
                  </c:pt>
                  <c:pt idx="101">
                    <c:v>14-Apr-25</c:v>
                  </c:pt>
                  <c:pt idx="102">
                    <c:v>15-Apr-25</c:v>
                  </c:pt>
                  <c:pt idx="103">
                    <c:v>16-Apr-25</c:v>
                  </c:pt>
                  <c:pt idx="104">
                    <c:v>17-Apr-25</c:v>
                  </c:pt>
                  <c:pt idx="105">
                    <c:v>18-Apr-25</c:v>
                  </c:pt>
                  <c:pt idx="106">
                    <c:v>19-Apr-25</c:v>
                  </c:pt>
                  <c:pt idx="107">
                    <c:v>20-Apr-25</c:v>
                  </c:pt>
                  <c:pt idx="108">
                    <c:v>21-Apr-25</c:v>
                  </c:pt>
                  <c:pt idx="109">
                    <c:v>22-Apr-25</c:v>
                  </c:pt>
                  <c:pt idx="110">
                    <c:v>23-Apr-25</c:v>
                  </c:pt>
                  <c:pt idx="111">
                    <c:v>24-Apr-25</c:v>
                  </c:pt>
                  <c:pt idx="112">
                    <c:v>25-Apr-25</c:v>
                  </c:pt>
                  <c:pt idx="113">
                    <c:v>26-Apr-25</c:v>
                  </c:pt>
                  <c:pt idx="114">
                    <c:v>27-Apr-25</c:v>
                  </c:pt>
                  <c:pt idx="115">
                    <c:v>28-Apr-25</c:v>
                  </c:pt>
                  <c:pt idx="116">
                    <c:v>29-Apr-25</c:v>
                  </c:pt>
                  <c:pt idx="117">
                    <c:v>30-Apr-25</c:v>
                  </c:pt>
                  <c:pt idx="118">
                    <c:v>01-May-25</c:v>
                  </c:pt>
                  <c:pt idx="119">
                    <c:v>02-May-25</c:v>
                  </c:pt>
                  <c:pt idx="120">
                    <c:v>03-May-25</c:v>
                  </c:pt>
                  <c:pt idx="121">
                    <c:v>04-May-25</c:v>
                  </c:pt>
                  <c:pt idx="122">
                    <c:v>05-May-25</c:v>
                  </c:pt>
                  <c:pt idx="123">
                    <c:v>06-May-25</c:v>
                  </c:pt>
                  <c:pt idx="124">
                    <c:v>07-May-25</c:v>
                  </c:pt>
                  <c:pt idx="125">
                    <c:v>08-May-25</c:v>
                  </c:pt>
                  <c:pt idx="126">
                    <c:v>09-May-25</c:v>
                  </c:pt>
                  <c:pt idx="127">
                    <c:v>10-May-25</c:v>
                  </c:pt>
                  <c:pt idx="128">
                    <c:v>11-May-25</c:v>
                  </c:pt>
                  <c:pt idx="129">
                    <c:v>12-May-25</c:v>
                  </c:pt>
                  <c:pt idx="130">
                    <c:v>13-May-25</c:v>
                  </c:pt>
                  <c:pt idx="131">
                    <c:v>14-May-25</c:v>
                  </c:pt>
                  <c:pt idx="132">
                    <c:v>15-May-25</c:v>
                  </c:pt>
                  <c:pt idx="133">
                    <c:v>16-May-25</c:v>
                  </c:pt>
                  <c:pt idx="134">
                    <c:v>17-May-25</c:v>
                  </c:pt>
                  <c:pt idx="135">
                    <c:v>18-May-25</c:v>
                  </c:pt>
                  <c:pt idx="136">
                    <c:v>19-May-25</c:v>
                  </c:pt>
                  <c:pt idx="137">
                    <c:v>20-May-25</c:v>
                  </c:pt>
                  <c:pt idx="138">
                    <c:v>21-May-25</c:v>
                  </c:pt>
                  <c:pt idx="139">
                    <c:v>22-May-25</c:v>
                  </c:pt>
                  <c:pt idx="140">
                    <c:v>23-May-25</c:v>
                  </c:pt>
                  <c:pt idx="141">
                    <c:v>24-May-25</c:v>
                  </c:pt>
                  <c:pt idx="142">
                    <c:v>25-May-25</c:v>
                  </c:pt>
                  <c:pt idx="143">
                    <c:v>26-May-25</c:v>
                  </c:pt>
                  <c:pt idx="144">
                    <c:v>27-May-25</c:v>
                  </c:pt>
                  <c:pt idx="145">
                    <c:v>28-May-25</c:v>
                  </c:pt>
                  <c:pt idx="146">
                    <c:v>29-May-25</c:v>
                  </c:pt>
                  <c:pt idx="147">
                    <c:v>30-May-25</c:v>
                  </c:pt>
                  <c:pt idx="148">
                    <c:v>31-May-25</c:v>
                  </c:pt>
                  <c:pt idx="149">
                    <c:v>01-Jun-25</c:v>
                  </c:pt>
                  <c:pt idx="150">
                    <c:v>02-Jun-25</c:v>
                  </c:pt>
                  <c:pt idx="151">
                    <c:v>03-Jun-25</c:v>
                  </c:pt>
                  <c:pt idx="152">
                    <c:v>04-Jun-25</c:v>
                  </c:pt>
                  <c:pt idx="153">
                    <c:v>05-Jun-25</c:v>
                  </c:pt>
                  <c:pt idx="154">
                    <c:v>06-Jun-25</c:v>
                  </c:pt>
                  <c:pt idx="155">
                    <c:v>07-Jun-25</c:v>
                  </c:pt>
                  <c:pt idx="156">
                    <c:v>08-Jun-25</c:v>
                  </c:pt>
                  <c:pt idx="157">
                    <c:v>09-Jun-25</c:v>
                  </c:pt>
                  <c:pt idx="158">
                    <c:v>10-Jun-25</c:v>
                  </c:pt>
                  <c:pt idx="159">
                    <c:v>11-Jun-25</c:v>
                  </c:pt>
                  <c:pt idx="160">
                    <c:v>12-Jun-25</c:v>
                  </c:pt>
                  <c:pt idx="161">
                    <c:v>13-Jun-25</c:v>
                  </c:pt>
                  <c:pt idx="162">
                    <c:v>14-Jun-25</c:v>
                  </c:pt>
                  <c:pt idx="163">
                    <c:v>15-Jun-25</c:v>
                  </c:pt>
                  <c:pt idx="164">
                    <c:v>16-Jun-25</c:v>
                  </c:pt>
                  <c:pt idx="165">
                    <c:v>17-Jun-25</c:v>
                  </c:pt>
                  <c:pt idx="166">
                    <c:v>18-Jun-25</c:v>
                  </c:pt>
                  <c:pt idx="167">
                    <c:v>19-Jun-25</c:v>
                  </c:pt>
                  <c:pt idx="168">
                    <c:v>20-Jun-25</c:v>
                  </c:pt>
                  <c:pt idx="169">
                    <c:v>21-Jun-25</c:v>
                  </c:pt>
                  <c:pt idx="170">
                    <c:v>22-Jun-25</c:v>
                  </c:pt>
                  <c:pt idx="171">
                    <c:v>23-Jun-25</c:v>
                  </c:pt>
                  <c:pt idx="172">
                    <c:v>24-Jun-25</c:v>
                  </c:pt>
                  <c:pt idx="173">
                    <c:v>25-Jun-25</c:v>
                  </c:pt>
                  <c:pt idx="174">
                    <c:v>26-Jun-25</c:v>
                  </c:pt>
                  <c:pt idx="175">
                    <c:v>27-Jun-25</c:v>
                  </c:pt>
                  <c:pt idx="176">
                    <c:v>28-Jun-25</c:v>
                  </c:pt>
                  <c:pt idx="177">
                    <c:v>29-Jun-25</c:v>
                  </c:pt>
                  <c:pt idx="178">
                    <c:v>30-Jun-25</c:v>
                  </c:pt>
                  <c:pt idx="179">
                    <c:v>01-Jul-25</c:v>
                  </c:pt>
                  <c:pt idx="180">
                    <c:v>02-Jul-25</c:v>
                  </c:pt>
                  <c:pt idx="181">
                    <c:v>03-Jul-25</c:v>
                  </c:pt>
                  <c:pt idx="182">
                    <c:v>04-Jul-25</c:v>
                  </c:pt>
                </c:lvl>
                <c:lvl>
                  <c:pt idx="0">
                    <c:v>03-Jan</c:v>
                  </c:pt>
                  <c:pt idx="1">
                    <c:v>04-Jan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pt idx="20">
                    <c:v>23-Jan</c:v>
                  </c:pt>
                  <c:pt idx="21">
                    <c:v>24-Jan</c:v>
                  </c:pt>
                  <c:pt idx="22">
                    <c:v>25-Jan</c:v>
                  </c:pt>
                  <c:pt idx="23">
                    <c:v>26-Jan</c:v>
                  </c:pt>
                  <c:pt idx="24">
                    <c:v>27-Jan</c:v>
                  </c:pt>
                  <c:pt idx="25">
                    <c:v>28-Jan</c:v>
                  </c:pt>
                  <c:pt idx="26">
                    <c:v>29-Jan</c:v>
                  </c:pt>
                  <c:pt idx="27">
                    <c:v>30-Jan</c:v>
                  </c:pt>
                  <c:pt idx="28">
                    <c:v>31-Jan</c:v>
                  </c:pt>
                  <c:pt idx="29">
                    <c:v>01-Feb</c:v>
                  </c:pt>
                  <c:pt idx="30">
                    <c:v>02-Feb</c:v>
                  </c:pt>
                  <c:pt idx="31">
                    <c:v>03-Feb</c:v>
                  </c:pt>
                  <c:pt idx="32">
                    <c:v>04-Feb</c:v>
                  </c:pt>
                  <c:pt idx="33">
                    <c:v>05-Feb</c:v>
                  </c:pt>
                  <c:pt idx="34">
                    <c:v>06-Feb</c:v>
                  </c:pt>
                  <c:pt idx="35">
                    <c:v>07-Feb</c:v>
                  </c:pt>
                  <c:pt idx="36">
                    <c:v>08-Feb</c:v>
                  </c:pt>
                  <c:pt idx="37">
                    <c:v>09-Feb</c:v>
                  </c:pt>
                  <c:pt idx="38">
                    <c:v>10-Feb</c:v>
                  </c:pt>
                  <c:pt idx="39">
                    <c:v>11-Feb</c:v>
                  </c:pt>
                  <c:pt idx="40">
                    <c:v>12-Feb</c:v>
                  </c:pt>
                  <c:pt idx="41">
                    <c:v>13-Feb</c:v>
                  </c:pt>
                  <c:pt idx="42">
                    <c:v>14-Feb</c:v>
                  </c:pt>
                  <c:pt idx="43">
                    <c:v>15-Feb</c:v>
                  </c:pt>
                  <c:pt idx="44">
                    <c:v>16-Feb</c:v>
                  </c:pt>
                  <c:pt idx="45">
                    <c:v>17-Feb</c:v>
                  </c:pt>
                  <c:pt idx="46">
                    <c:v>18-Feb</c:v>
                  </c:pt>
                  <c:pt idx="47">
                    <c:v>19-Feb</c:v>
                  </c:pt>
                  <c:pt idx="48">
                    <c:v>20-Feb</c:v>
                  </c:pt>
                  <c:pt idx="49">
                    <c:v>21-Feb</c:v>
                  </c:pt>
                  <c:pt idx="50">
                    <c:v>22-Feb</c:v>
                  </c:pt>
                  <c:pt idx="51">
                    <c:v>23-Feb</c:v>
                  </c:pt>
                  <c:pt idx="52">
                    <c:v>24-Feb</c:v>
                  </c:pt>
                  <c:pt idx="53">
                    <c:v>25-Feb</c:v>
                  </c:pt>
                  <c:pt idx="54">
                    <c:v>26-Feb</c:v>
                  </c:pt>
                  <c:pt idx="55">
                    <c:v>27-Feb</c:v>
                  </c:pt>
                  <c:pt idx="56">
                    <c:v>28-Feb</c:v>
                  </c:pt>
                  <c:pt idx="57">
                    <c:v>01-Mar</c:v>
                  </c:pt>
                  <c:pt idx="58">
                    <c:v>02-Mar</c:v>
                  </c:pt>
                  <c:pt idx="59">
                    <c:v>03-Mar</c:v>
                  </c:pt>
                  <c:pt idx="60">
                    <c:v>04-Mar</c:v>
                  </c:pt>
                  <c:pt idx="61">
                    <c:v>05-Mar</c:v>
                  </c:pt>
                  <c:pt idx="62">
                    <c:v>06-Mar</c:v>
                  </c:pt>
                  <c:pt idx="63">
                    <c:v>07-Mar</c:v>
                  </c:pt>
                  <c:pt idx="64">
                    <c:v>08-Mar</c:v>
                  </c:pt>
                  <c:pt idx="65">
                    <c:v>09-Mar</c:v>
                  </c:pt>
                  <c:pt idx="66">
                    <c:v>10-Mar</c:v>
                  </c:pt>
                  <c:pt idx="67">
                    <c:v>11-Mar</c:v>
                  </c:pt>
                  <c:pt idx="68">
                    <c:v>12-Mar</c:v>
                  </c:pt>
                  <c:pt idx="69">
                    <c:v>13-Mar</c:v>
                  </c:pt>
                  <c:pt idx="70">
                    <c:v>14-Mar</c:v>
                  </c:pt>
                  <c:pt idx="71">
                    <c:v>15-Mar</c:v>
                  </c:pt>
                  <c:pt idx="72">
                    <c:v>16-Mar</c:v>
                  </c:pt>
                  <c:pt idx="73">
                    <c:v>17-Mar</c:v>
                  </c:pt>
                  <c:pt idx="74">
                    <c:v>18-Mar</c:v>
                  </c:pt>
                  <c:pt idx="75">
                    <c:v>19-Mar</c:v>
                  </c:pt>
                  <c:pt idx="76">
                    <c:v>20-Mar</c:v>
                  </c:pt>
                  <c:pt idx="77">
                    <c:v>21-Mar</c:v>
                  </c:pt>
                  <c:pt idx="78">
                    <c:v>22-Mar</c:v>
                  </c:pt>
                  <c:pt idx="79">
                    <c:v>23-Mar</c:v>
                  </c:pt>
                  <c:pt idx="80">
                    <c:v>24-Mar</c:v>
                  </c:pt>
                  <c:pt idx="81">
                    <c:v>25-Mar</c:v>
                  </c:pt>
                  <c:pt idx="82">
                    <c:v>26-Mar</c:v>
                  </c:pt>
                  <c:pt idx="83">
                    <c:v>27-Mar</c:v>
                  </c:pt>
                  <c:pt idx="84">
                    <c:v>28-Mar</c:v>
                  </c:pt>
                  <c:pt idx="85">
                    <c:v>29-Mar</c:v>
                  </c:pt>
                  <c:pt idx="86">
                    <c:v>30-Mar</c:v>
                  </c:pt>
                  <c:pt idx="87">
                    <c:v>31-Mar</c:v>
                  </c:pt>
                  <c:pt idx="88">
                    <c:v>01-Apr</c:v>
                  </c:pt>
                  <c:pt idx="89">
                    <c:v>02-Apr</c:v>
                  </c:pt>
                  <c:pt idx="90">
                    <c:v>03-Apr</c:v>
                  </c:pt>
                  <c:pt idx="91">
                    <c:v>04-Apr</c:v>
                  </c:pt>
                  <c:pt idx="92">
                    <c:v>05-Apr</c:v>
                  </c:pt>
                  <c:pt idx="93">
                    <c:v>06-Apr</c:v>
                  </c:pt>
                  <c:pt idx="94">
                    <c:v>07-Apr</c:v>
                  </c:pt>
                  <c:pt idx="95">
                    <c:v>08-Apr</c:v>
                  </c:pt>
                  <c:pt idx="96">
                    <c:v>09-Apr</c:v>
                  </c:pt>
                  <c:pt idx="97">
                    <c:v>10-Apr</c:v>
                  </c:pt>
                  <c:pt idx="98">
                    <c:v>11-Apr</c:v>
                  </c:pt>
                  <c:pt idx="99">
                    <c:v>12-Apr</c:v>
                  </c:pt>
                  <c:pt idx="100">
                    <c:v>13-Apr</c:v>
                  </c:pt>
                  <c:pt idx="101">
                    <c:v>14-Apr</c:v>
                  </c:pt>
                  <c:pt idx="102">
                    <c:v>15-Apr</c:v>
                  </c:pt>
                  <c:pt idx="103">
                    <c:v>16-Apr</c:v>
                  </c:pt>
                  <c:pt idx="104">
                    <c:v>17-Apr</c:v>
                  </c:pt>
                  <c:pt idx="105">
                    <c:v>18-Apr</c:v>
                  </c:pt>
                  <c:pt idx="106">
                    <c:v>19-Apr</c:v>
                  </c:pt>
                  <c:pt idx="107">
                    <c:v>20-Apr</c:v>
                  </c:pt>
                  <c:pt idx="108">
                    <c:v>21-Apr</c:v>
                  </c:pt>
                  <c:pt idx="109">
                    <c:v>22-Apr</c:v>
                  </c:pt>
                  <c:pt idx="110">
                    <c:v>23-Apr</c:v>
                  </c:pt>
                  <c:pt idx="111">
                    <c:v>24-Apr</c:v>
                  </c:pt>
                  <c:pt idx="112">
                    <c:v>25-Apr</c:v>
                  </c:pt>
                  <c:pt idx="113">
                    <c:v>26-Apr</c:v>
                  </c:pt>
                  <c:pt idx="114">
                    <c:v>27-Apr</c:v>
                  </c:pt>
                  <c:pt idx="115">
                    <c:v>28-Apr</c:v>
                  </c:pt>
                  <c:pt idx="116">
                    <c:v>29-Apr</c:v>
                  </c:pt>
                  <c:pt idx="117">
                    <c:v>30-Apr</c:v>
                  </c:pt>
                  <c:pt idx="118">
                    <c:v>01-May</c:v>
                  </c:pt>
                  <c:pt idx="119">
                    <c:v>02-May</c:v>
                  </c:pt>
                  <c:pt idx="120">
                    <c:v>03-May</c:v>
                  </c:pt>
                  <c:pt idx="121">
                    <c:v>04-May</c:v>
                  </c:pt>
                  <c:pt idx="122">
                    <c:v>05-May</c:v>
                  </c:pt>
                  <c:pt idx="123">
                    <c:v>06-May</c:v>
                  </c:pt>
                  <c:pt idx="124">
                    <c:v>07-May</c:v>
                  </c:pt>
                  <c:pt idx="125">
                    <c:v>08-May</c:v>
                  </c:pt>
                  <c:pt idx="126">
                    <c:v>09-May</c:v>
                  </c:pt>
                  <c:pt idx="127">
                    <c:v>10-May</c:v>
                  </c:pt>
                  <c:pt idx="128">
                    <c:v>11-May</c:v>
                  </c:pt>
                  <c:pt idx="129">
                    <c:v>12-May</c:v>
                  </c:pt>
                  <c:pt idx="130">
                    <c:v>13-May</c:v>
                  </c:pt>
                  <c:pt idx="131">
                    <c:v>14-May</c:v>
                  </c:pt>
                  <c:pt idx="132">
                    <c:v>15-May</c:v>
                  </c:pt>
                  <c:pt idx="133">
                    <c:v>16-May</c:v>
                  </c:pt>
                  <c:pt idx="134">
                    <c:v>17-May</c:v>
                  </c:pt>
                  <c:pt idx="135">
                    <c:v>18-May</c:v>
                  </c:pt>
                  <c:pt idx="136">
                    <c:v>19-May</c:v>
                  </c:pt>
                  <c:pt idx="137">
                    <c:v>20-May</c:v>
                  </c:pt>
                  <c:pt idx="138">
                    <c:v>21-May</c:v>
                  </c:pt>
                  <c:pt idx="139">
                    <c:v>22-May</c:v>
                  </c:pt>
                  <c:pt idx="140">
                    <c:v>23-May</c:v>
                  </c:pt>
                  <c:pt idx="141">
                    <c:v>24-May</c:v>
                  </c:pt>
                  <c:pt idx="142">
                    <c:v>25-May</c:v>
                  </c:pt>
                  <c:pt idx="143">
                    <c:v>26-May</c:v>
                  </c:pt>
                  <c:pt idx="144">
                    <c:v>27-May</c:v>
                  </c:pt>
                  <c:pt idx="145">
                    <c:v>28-May</c:v>
                  </c:pt>
                  <c:pt idx="146">
                    <c:v>29-May</c:v>
                  </c:pt>
                  <c:pt idx="147">
                    <c:v>30-May</c:v>
                  </c:pt>
                  <c:pt idx="148">
                    <c:v>31-May</c:v>
                  </c:pt>
                  <c:pt idx="149">
                    <c:v>01-Jun</c:v>
                  </c:pt>
                  <c:pt idx="150">
                    <c:v>02-Jun</c:v>
                  </c:pt>
                  <c:pt idx="151">
                    <c:v>03-Jun</c:v>
                  </c:pt>
                  <c:pt idx="152">
                    <c:v>04-Jun</c:v>
                  </c:pt>
                  <c:pt idx="153">
                    <c:v>05-Jun</c:v>
                  </c:pt>
                  <c:pt idx="154">
                    <c:v>06-Jun</c:v>
                  </c:pt>
                  <c:pt idx="155">
                    <c:v>07-Jun</c:v>
                  </c:pt>
                  <c:pt idx="156">
                    <c:v>08-Jun</c:v>
                  </c:pt>
                  <c:pt idx="157">
                    <c:v>09-Jun</c:v>
                  </c:pt>
                  <c:pt idx="158">
                    <c:v>10-Jun</c:v>
                  </c:pt>
                  <c:pt idx="159">
                    <c:v>11-Jun</c:v>
                  </c:pt>
                  <c:pt idx="160">
                    <c:v>12-Jun</c:v>
                  </c:pt>
                  <c:pt idx="161">
                    <c:v>13-Jun</c:v>
                  </c:pt>
                  <c:pt idx="162">
                    <c:v>14-Jun</c:v>
                  </c:pt>
                  <c:pt idx="163">
                    <c:v>15-Jun</c:v>
                  </c:pt>
                  <c:pt idx="164">
                    <c:v>16-Jun</c:v>
                  </c:pt>
                  <c:pt idx="165">
                    <c:v>17-Jun</c:v>
                  </c:pt>
                  <c:pt idx="166">
                    <c:v>18-Jun</c:v>
                  </c:pt>
                  <c:pt idx="167">
                    <c:v>19-Jun</c:v>
                  </c:pt>
                  <c:pt idx="168">
                    <c:v>20-Jun</c:v>
                  </c:pt>
                  <c:pt idx="169">
                    <c:v>21-Jun</c:v>
                  </c:pt>
                  <c:pt idx="170">
                    <c:v>22-Jun</c:v>
                  </c:pt>
                  <c:pt idx="171">
                    <c:v>23-Jun</c:v>
                  </c:pt>
                  <c:pt idx="172">
                    <c:v>24-Jun</c:v>
                  </c:pt>
                  <c:pt idx="173">
                    <c:v>25-Jun</c:v>
                  </c:pt>
                  <c:pt idx="174">
                    <c:v>26-Jun</c:v>
                  </c:pt>
                  <c:pt idx="175">
                    <c:v>27-Jun</c:v>
                  </c:pt>
                  <c:pt idx="176">
                    <c:v>28-Jun</c:v>
                  </c:pt>
                  <c:pt idx="177">
                    <c:v>29-Jun</c:v>
                  </c:pt>
                  <c:pt idx="178">
                    <c:v>30-Jun</c:v>
                  </c:pt>
                  <c:pt idx="179">
                    <c:v>01-Jul</c:v>
                  </c:pt>
                  <c:pt idx="180">
                    <c:v>02-Jul</c:v>
                  </c:pt>
                  <c:pt idx="181">
                    <c:v>03-Jul</c:v>
                  </c:pt>
                  <c:pt idx="182">
                    <c:v>04-Jul</c:v>
                  </c:pt>
                </c:lvl>
                <c:lvl>
                  <c:pt idx="0">
                    <c:v>Jan</c:v>
                  </c:pt>
                  <c:pt idx="29">
                    <c:v>Feb</c:v>
                  </c:pt>
                  <c:pt idx="57">
                    <c:v>Mar</c:v>
                  </c:pt>
                  <c:pt idx="88">
                    <c:v>Apr</c:v>
                  </c:pt>
                  <c:pt idx="118">
                    <c:v>May</c:v>
                  </c:pt>
                  <c:pt idx="149">
                    <c:v>Jun</c:v>
                  </c:pt>
                  <c:pt idx="179">
                    <c:v>Jul</c:v>
                  </c:pt>
                </c:lvl>
              </c:multiLvlStrCache>
            </c:multiLvlStrRef>
          </c:cat>
          <c:val>
            <c:numRef>
              <c:f>'Q11'!$C$5:$C$377</c:f>
              <c:numCache>
                <c:formatCode>0,"K"</c:formatCode>
                <c:ptCount val="183"/>
                <c:pt idx="0">
                  <c:v>7697.03</c:v>
                </c:pt>
                <c:pt idx="1">
                  <c:v>15308.23</c:v>
                </c:pt>
                <c:pt idx="2">
                  <c:v>2062.4699999999998</c:v>
                </c:pt>
                <c:pt idx="3">
                  <c:v>15459.83</c:v>
                </c:pt>
                <c:pt idx="5">
                  <c:v>33282.020000000004</c:v>
                </c:pt>
                <c:pt idx="7">
                  <c:v>10470.89</c:v>
                </c:pt>
                <c:pt idx="8">
                  <c:v>29952.820000000003</c:v>
                </c:pt>
                <c:pt idx="9">
                  <c:v>21141.190000000002</c:v>
                </c:pt>
                <c:pt idx="10">
                  <c:v>10101.68</c:v>
                </c:pt>
                <c:pt idx="11">
                  <c:v>11819.4</c:v>
                </c:pt>
                <c:pt idx="13">
                  <c:v>20595.179999999997</c:v>
                </c:pt>
                <c:pt idx="14">
                  <c:v>14420.26</c:v>
                </c:pt>
                <c:pt idx="15">
                  <c:v>16559.27</c:v>
                </c:pt>
                <c:pt idx="16">
                  <c:v>1561.15</c:v>
                </c:pt>
                <c:pt idx="18">
                  <c:v>14043.42</c:v>
                </c:pt>
                <c:pt idx="20">
                  <c:v>15082.16</c:v>
                </c:pt>
                <c:pt idx="22">
                  <c:v>4212.43</c:v>
                </c:pt>
                <c:pt idx="23">
                  <c:v>19959.37</c:v>
                </c:pt>
                <c:pt idx="24">
                  <c:v>12031.390000000001</c:v>
                </c:pt>
                <c:pt idx="26">
                  <c:v>4078.94</c:v>
                </c:pt>
                <c:pt idx="27">
                  <c:v>12949.32</c:v>
                </c:pt>
                <c:pt idx="28">
                  <c:v>22614.02</c:v>
                </c:pt>
                <c:pt idx="29">
                  <c:v>3218.73</c:v>
                </c:pt>
                <c:pt idx="30">
                  <c:v>9720.82</c:v>
                </c:pt>
                <c:pt idx="31">
                  <c:v>22327.18</c:v>
                </c:pt>
                <c:pt idx="32">
                  <c:v>3268.39</c:v>
                </c:pt>
                <c:pt idx="33">
                  <c:v>1428.94</c:v>
                </c:pt>
                <c:pt idx="34">
                  <c:v>5062.7299999999996</c:v>
                </c:pt>
                <c:pt idx="35">
                  <c:v>419.66</c:v>
                </c:pt>
                <c:pt idx="36">
                  <c:v>13295.630000000001</c:v>
                </c:pt>
                <c:pt idx="37">
                  <c:v>7714.69</c:v>
                </c:pt>
                <c:pt idx="38">
                  <c:v>7399.2</c:v>
                </c:pt>
                <c:pt idx="41">
                  <c:v>351.5</c:v>
                </c:pt>
                <c:pt idx="42">
                  <c:v>15763.43</c:v>
                </c:pt>
                <c:pt idx="43">
                  <c:v>19668.04</c:v>
                </c:pt>
                <c:pt idx="44">
                  <c:v>29657.789999999997</c:v>
                </c:pt>
                <c:pt idx="45">
                  <c:v>7397.69</c:v>
                </c:pt>
                <c:pt idx="46">
                  <c:v>43488.03</c:v>
                </c:pt>
                <c:pt idx="47">
                  <c:v>9722.06</c:v>
                </c:pt>
                <c:pt idx="48">
                  <c:v>11028.27</c:v>
                </c:pt>
                <c:pt idx="50">
                  <c:v>10265.1</c:v>
                </c:pt>
                <c:pt idx="51">
                  <c:v>13476.279999999999</c:v>
                </c:pt>
                <c:pt idx="52">
                  <c:v>6954.62</c:v>
                </c:pt>
                <c:pt idx="53">
                  <c:v>3630.02</c:v>
                </c:pt>
                <c:pt idx="55">
                  <c:v>3810.51</c:v>
                </c:pt>
                <c:pt idx="56">
                  <c:v>5406.08</c:v>
                </c:pt>
                <c:pt idx="57">
                  <c:v>12740.84</c:v>
                </c:pt>
                <c:pt idx="58">
                  <c:v>12812.8</c:v>
                </c:pt>
                <c:pt idx="59">
                  <c:v>4024.6</c:v>
                </c:pt>
                <c:pt idx="60">
                  <c:v>11276.89</c:v>
                </c:pt>
                <c:pt idx="61">
                  <c:v>3868.74</c:v>
                </c:pt>
                <c:pt idx="62">
                  <c:v>8099.55</c:v>
                </c:pt>
                <c:pt idx="64">
                  <c:v>22450.07</c:v>
                </c:pt>
                <c:pt idx="65">
                  <c:v>11101.52</c:v>
                </c:pt>
                <c:pt idx="68">
                  <c:v>14248.76</c:v>
                </c:pt>
                <c:pt idx="72">
                  <c:v>4759.57</c:v>
                </c:pt>
                <c:pt idx="73">
                  <c:v>16299.27</c:v>
                </c:pt>
                <c:pt idx="75">
                  <c:v>6815.55</c:v>
                </c:pt>
                <c:pt idx="77">
                  <c:v>12156.560000000001</c:v>
                </c:pt>
                <c:pt idx="78">
                  <c:v>14391.86</c:v>
                </c:pt>
                <c:pt idx="81">
                  <c:v>16101.81</c:v>
                </c:pt>
                <c:pt idx="82">
                  <c:v>8366.19</c:v>
                </c:pt>
                <c:pt idx="83">
                  <c:v>9917.3100000000013</c:v>
                </c:pt>
                <c:pt idx="84">
                  <c:v>3887.76</c:v>
                </c:pt>
                <c:pt idx="87">
                  <c:v>20889.169999999998</c:v>
                </c:pt>
                <c:pt idx="89">
                  <c:v>1795.11</c:v>
                </c:pt>
                <c:pt idx="90">
                  <c:v>12673.58</c:v>
                </c:pt>
                <c:pt idx="91">
                  <c:v>7243.75</c:v>
                </c:pt>
                <c:pt idx="92">
                  <c:v>6082.27</c:v>
                </c:pt>
                <c:pt idx="94">
                  <c:v>16379.369999999999</c:v>
                </c:pt>
                <c:pt idx="95">
                  <c:v>20911.190000000002</c:v>
                </c:pt>
                <c:pt idx="96">
                  <c:v>6316.66</c:v>
                </c:pt>
                <c:pt idx="97">
                  <c:v>12349.2</c:v>
                </c:pt>
                <c:pt idx="98">
                  <c:v>583.17999999999995</c:v>
                </c:pt>
                <c:pt idx="99">
                  <c:v>4375.92</c:v>
                </c:pt>
                <c:pt idx="100">
                  <c:v>12636.67</c:v>
                </c:pt>
                <c:pt idx="101">
                  <c:v>9062.56</c:v>
                </c:pt>
                <c:pt idx="102">
                  <c:v>6018.74</c:v>
                </c:pt>
                <c:pt idx="103">
                  <c:v>2780.25</c:v>
                </c:pt>
                <c:pt idx="104">
                  <c:v>24812.720000000001</c:v>
                </c:pt>
                <c:pt idx="105">
                  <c:v>12915.5</c:v>
                </c:pt>
                <c:pt idx="106">
                  <c:v>6584.1</c:v>
                </c:pt>
                <c:pt idx="107">
                  <c:v>15500.279999999999</c:v>
                </c:pt>
                <c:pt idx="109">
                  <c:v>7555.5</c:v>
                </c:pt>
                <c:pt idx="110">
                  <c:v>10566.25</c:v>
                </c:pt>
                <c:pt idx="112">
                  <c:v>975.3</c:v>
                </c:pt>
                <c:pt idx="113">
                  <c:v>16945.46</c:v>
                </c:pt>
                <c:pt idx="114">
                  <c:v>50187.130000000005</c:v>
                </c:pt>
                <c:pt idx="115">
                  <c:v>8822.7099999999991</c:v>
                </c:pt>
                <c:pt idx="116">
                  <c:v>4075.75</c:v>
                </c:pt>
                <c:pt idx="117">
                  <c:v>17147.5</c:v>
                </c:pt>
                <c:pt idx="118">
                  <c:v>17647.189999999999</c:v>
                </c:pt>
                <c:pt idx="120">
                  <c:v>1306.4100000000001</c:v>
                </c:pt>
                <c:pt idx="121">
                  <c:v>6501.94</c:v>
                </c:pt>
                <c:pt idx="122">
                  <c:v>1865.31</c:v>
                </c:pt>
                <c:pt idx="123">
                  <c:v>7455.5</c:v>
                </c:pt>
                <c:pt idx="124">
                  <c:v>12540.61</c:v>
                </c:pt>
                <c:pt idx="125">
                  <c:v>11182.67</c:v>
                </c:pt>
                <c:pt idx="126">
                  <c:v>3545.2599999999998</c:v>
                </c:pt>
                <c:pt idx="127">
                  <c:v>5962.28</c:v>
                </c:pt>
                <c:pt idx="128">
                  <c:v>21755.94</c:v>
                </c:pt>
                <c:pt idx="129">
                  <c:v>13642.83</c:v>
                </c:pt>
                <c:pt idx="130">
                  <c:v>15001.57</c:v>
                </c:pt>
                <c:pt idx="131">
                  <c:v>11259.76</c:v>
                </c:pt>
                <c:pt idx="133">
                  <c:v>2555.64</c:v>
                </c:pt>
                <c:pt idx="134">
                  <c:v>9040.82</c:v>
                </c:pt>
                <c:pt idx="135">
                  <c:v>34156.76</c:v>
                </c:pt>
                <c:pt idx="136">
                  <c:v>10034.33</c:v>
                </c:pt>
                <c:pt idx="137">
                  <c:v>23919.14</c:v>
                </c:pt>
                <c:pt idx="139">
                  <c:v>42991.930000000008</c:v>
                </c:pt>
                <c:pt idx="141">
                  <c:v>6581.84</c:v>
                </c:pt>
                <c:pt idx="142">
                  <c:v>20527.03</c:v>
                </c:pt>
                <c:pt idx="143">
                  <c:v>4436.59</c:v>
                </c:pt>
                <c:pt idx="144">
                  <c:v>27546.04</c:v>
                </c:pt>
                <c:pt idx="145">
                  <c:v>23945.5</c:v>
                </c:pt>
                <c:pt idx="146">
                  <c:v>31120.44</c:v>
                </c:pt>
                <c:pt idx="147">
                  <c:v>10825.09</c:v>
                </c:pt>
                <c:pt idx="148">
                  <c:v>11458.91</c:v>
                </c:pt>
                <c:pt idx="150">
                  <c:v>8060.74</c:v>
                </c:pt>
                <c:pt idx="151">
                  <c:v>396.5</c:v>
                </c:pt>
                <c:pt idx="152">
                  <c:v>14620.53</c:v>
                </c:pt>
                <c:pt idx="153">
                  <c:v>26723.08</c:v>
                </c:pt>
                <c:pt idx="154">
                  <c:v>3346.43</c:v>
                </c:pt>
                <c:pt idx="155">
                  <c:v>1153.72</c:v>
                </c:pt>
                <c:pt idx="156">
                  <c:v>24612.42</c:v>
                </c:pt>
                <c:pt idx="157">
                  <c:v>4751.82</c:v>
                </c:pt>
                <c:pt idx="160">
                  <c:v>8596.15</c:v>
                </c:pt>
                <c:pt idx="161">
                  <c:v>15520.96</c:v>
                </c:pt>
                <c:pt idx="162">
                  <c:v>7018.2899999999991</c:v>
                </c:pt>
                <c:pt idx="163">
                  <c:v>2917.68</c:v>
                </c:pt>
                <c:pt idx="164">
                  <c:v>12455.82</c:v>
                </c:pt>
                <c:pt idx="165">
                  <c:v>8315.24</c:v>
                </c:pt>
                <c:pt idx="166">
                  <c:v>27111.199999999997</c:v>
                </c:pt>
                <c:pt idx="167">
                  <c:v>10723.23</c:v>
                </c:pt>
                <c:pt idx="168">
                  <c:v>4379.79</c:v>
                </c:pt>
                <c:pt idx="170">
                  <c:v>9173.32</c:v>
                </c:pt>
                <c:pt idx="171">
                  <c:v>14393.880000000001</c:v>
                </c:pt>
                <c:pt idx="173">
                  <c:v>14974.92</c:v>
                </c:pt>
                <c:pt idx="174">
                  <c:v>9178.9</c:v>
                </c:pt>
                <c:pt idx="176">
                  <c:v>37531.43</c:v>
                </c:pt>
                <c:pt idx="179">
                  <c:v>30016.89</c:v>
                </c:pt>
                <c:pt idx="180">
                  <c:v>14691.41</c:v>
                </c:pt>
                <c:pt idx="181">
                  <c:v>5550.3</c:v>
                </c:pt>
                <c:pt idx="182">
                  <c:v>17609.72</c:v>
                </c:pt>
              </c:numCache>
            </c:numRef>
          </c:val>
          <c:smooth val="0"/>
          <c:extLst>
            <c:ext xmlns:c16="http://schemas.microsoft.com/office/drawing/2014/chart" uri="{C3380CC4-5D6E-409C-BE32-E72D297353CC}">
              <c16:uniqueId val="{00000006-BFED-4E68-BF41-E5F2E273EAA6}"/>
            </c:ext>
          </c:extLst>
        </c:ser>
        <c:ser>
          <c:idx val="2"/>
          <c:order val="2"/>
          <c:tx>
            <c:strRef>
              <c:f>'Q11'!$D$3:$D$4</c:f>
              <c:strCache>
                <c:ptCount val="1"/>
                <c:pt idx="0">
                  <c:v>Electronics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'Q11'!$A$5:$A$377</c:f>
              <c:multiLvlStrCache>
                <c:ptCount val="183"/>
                <c:lvl>
                  <c:pt idx="0">
                    <c:v>03-Jan-25</c:v>
                  </c:pt>
                  <c:pt idx="1">
                    <c:v>04-Jan-25</c:v>
                  </c:pt>
                  <c:pt idx="2">
                    <c:v>05-Jan-25</c:v>
                  </c:pt>
                  <c:pt idx="3">
                    <c:v>06-Jan-25</c:v>
                  </c:pt>
                  <c:pt idx="4">
                    <c:v>07-Jan-25</c:v>
                  </c:pt>
                  <c:pt idx="5">
                    <c:v>08-Jan-25</c:v>
                  </c:pt>
                  <c:pt idx="6">
                    <c:v>09-Jan-25</c:v>
                  </c:pt>
                  <c:pt idx="7">
                    <c:v>10-Jan-25</c:v>
                  </c:pt>
                  <c:pt idx="8">
                    <c:v>11-Jan-25</c:v>
                  </c:pt>
                  <c:pt idx="9">
                    <c:v>12-Jan-25</c:v>
                  </c:pt>
                  <c:pt idx="10">
                    <c:v>13-Jan-25</c:v>
                  </c:pt>
                  <c:pt idx="11">
                    <c:v>14-Jan-25</c:v>
                  </c:pt>
                  <c:pt idx="12">
                    <c:v>15-Jan-25</c:v>
                  </c:pt>
                  <c:pt idx="13">
                    <c:v>16-Jan-25</c:v>
                  </c:pt>
                  <c:pt idx="14">
                    <c:v>17-Jan-25</c:v>
                  </c:pt>
                  <c:pt idx="15">
                    <c:v>18-Jan-25</c:v>
                  </c:pt>
                  <c:pt idx="16">
                    <c:v>19-Jan-25</c:v>
                  </c:pt>
                  <c:pt idx="17">
                    <c:v>20-Jan-25</c:v>
                  </c:pt>
                  <c:pt idx="18">
                    <c:v>21-Jan-25</c:v>
                  </c:pt>
                  <c:pt idx="19">
                    <c:v>22-Jan-25</c:v>
                  </c:pt>
                  <c:pt idx="20">
                    <c:v>23-Jan-25</c:v>
                  </c:pt>
                  <c:pt idx="21">
                    <c:v>24-Jan-25</c:v>
                  </c:pt>
                  <c:pt idx="22">
                    <c:v>25-Jan-25</c:v>
                  </c:pt>
                  <c:pt idx="23">
                    <c:v>26-Jan-25</c:v>
                  </c:pt>
                  <c:pt idx="24">
                    <c:v>27-Jan-25</c:v>
                  </c:pt>
                  <c:pt idx="25">
                    <c:v>28-Jan-25</c:v>
                  </c:pt>
                  <c:pt idx="26">
                    <c:v>29-Jan-25</c:v>
                  </c:pt>
                  <c:pt idx="27">
                    <c:v>30-Jan-25</c:v>
                  </c:pt>
                  <c:pt idx="28">
                    <c:v>31-Jan-25</c:v>
                  </c:pt>
                  <c:pt idx="29">
                    <c:v>01-Feb-25</c:v>
                  </c:pt>
                  <c:pt idx="30">
                    <c:v>02-Feb-25</c:v>
                  </c:pt>
                  <c:pt idx="31">
                    <c:v>03-Feb-25</c:v>
                  </c:pt>
                  <c:pt idx="32">
                    <c:v>04-Feb-25</c:v>
                  </c:pt>
                  <c:pt idx="33">
                    <c:v>05-Feb-25</c:v>
                  </c:pt>
                  <c:pt idx="34">
                    <c:v>06-Feb-25</c:v>
                  </c:pt>
                  <c:pt idx="35">
                    <c:v>07-Feb-25</c:v>
                  </c:pt>
                  <c:pt idx="36">
                    <c:v>08-Feb-25</c:v>
                  </c:pt>
                  <c:pt idx="37">
                    <c:v>09-Feb-25</c:v>
                  </c:pt>
                  <c:pt idx="38">
                    <c:v>10-Feb-25</c:v>
                  </c:pt>
                  <c:pt idx="39">
                    <c:v>11-Feb-25</c:v>
                  </c:pt>
                  <c:pt idx="40">
                    <c:v>12-Feb-25</c:v>
                  </c:pt>
                  <c:pt idx="41">
                    <c:v>13-Feb-25</c:v>
                  </c:pt>
                  <c:pt idx="42">
                    <c:v>14-Feb-25</c:v>
                  </c:pt>
                  <c:pt idx="43">
                    <c:v>15-Feb-25</c:v>
                  </c:pt>
                  <c:pt idx="44">
                    <c:v>16-Feb-25</c:v>
                  </c:pt>
                  <c:pt idx="45">
                    <c:v>17-Feb-25</c:v>
                  </c:pt>
                  <c:pt idx="46">
                    <c:v>18-Feb-25</c:v>
                  </c:pt>
                  <c:pt idx="47">
                    <c:v>19-Feb-25</c:v>
                  </c:pt>
                  <c:pt idx="48">
                    <c:v>20-Feb-25</c:v>
                  </c:pt>
                  <c:pt idx="49">
                    <c:v>21-Feb-25</c:v>
                  </c:pt>
                  <c:pt idx="50">
                    <c:v>22-Feb-25</c:v>
                  </c:pt>
                  <c:pt idx="51">
                    <c:v>23-Feb-25</c:v>
                  </c:pt>
                  <c:pt idx="52">
                    <c:v>24-Feb-25</c:v>
                  </c:pt>
                  <c:pt idx="53">
                    <c:v>25-Feb-25</c:v>
                  </c:pt>
                  <c:pt idx="54">
                    <c:v>26-Feb-25</c:v>
                  </c:pt>
                  <c:pt idx="55">
                    <c:v>27-Feb-25</c:v>
                  </c:pt>
                  <c:pt idx="56">
                    <c:v>28-Feb-25</c:v>
                  </c:pt>
                  <c:pt idx="57">
                    <c:v>01-Mar-25</c:v>
                  </c:pt>
                  <c:pt idx="58">
                    <c:v>02-Mar-25</c:v>
                  </c:pt>
                  <c:pt idx="59">
                    <c:v>03-Mar-25</c:v>
                  </c:pt>
                  <c:pt idx="60">
                    <c:v>04-Mar-25</c:v>
                  </c:pt>
                  <c:pt idx="61">
                    <c:v>05-Mar-25</c:v>
                  </c:pt>
                  <c:pt idx="62">
                    <c:v>06-Mar-25</c:v>
                  </c:pt>
                  <c:pt idx="63">
                    <c:v>07-Mar-25</c:v>
                  </c:pt>
                  <c:pt idx="64">
                    <c:v>08-Mar-25</c:v>
                  </c:pt>
                  <c:pt idx="65">
                    <c:v>09-Mar-25</c:v>
                  </c:pt>
                  <c:pt idx="66">
                    <c:v>10-Mar-25</c:v>
                  </c:pt>
                  <c:pt idx="67">
                    <c:v>11-Mar-25</c:v>
                  </c:pt>
                  <c:pt idx="68">
                    <c:v>12-Mar-25</c:v>
                  </c:pt>
                  <c:pt idx="69">
                    <c:v>13-Mar-25</c:v>
                  </c:pt>
                  <c:pt idx="70">
                    <c:v>14-Mar-25</c:v>
                  </c:pt>
                  <c:pt idx="71">
                    <c:v>15-Mar-25</c:v>
                  </c:pt>
                  <c:pt idx="72">
                    <c:v>16-Mar-25</c:v>
                  </c:pt>
                  <c:pt idx="73">
                    <c:v>17-Mar-25</c:v>
                  </c:pt>
                  <c:pt idx="74">
                    <c:v>18-Mar-25</c:v>
                  </c:pt>
                  <c:pt idx="75">
                    <c:v>19-Mar-25</c:v>
                  </c:pt>
                  <c:pt idx="76">
                    <c:v>20-Mar-25</c:v>
                  </c:pt>
                  <c:pt idx="77">
                    <c:v>21-Mar-25</c:v>
                  </c:pt>
                  <c:pt idx="78">
                    <c:v>22-Mar-25</c:v>
                  </c:pt>
                  <c:pt idx="79">
                    <c:v>23-Mar-25</c:v>
                  </c:pt>
                  <c:pt idx="80">
                    <c:v>24-Mar-25</c:v>
                  </c:pt>
                  <c:pt idx="81">
                    <c:v>25-Mar-25</c:v>
                  </c:pt>
                  <c:pt idx="82">
                    <c:v>26-Mar-25</c:v>
                  </c:pt>
                  <c:pt idx="83">
                    <c:v>27-Mar-25</c:v>
                  </c:pt>
                  <c:pt idx="84">
                    <c:v>28-Mar-25</c:v>
                  </c:pt>
                  <c:pt idx="85">
                    <c:v>29-Mar-25</c:v>
                  </c:pt>
                  <c:pt idx="86">
                    <c:v>30-Mar-25</c:v>
                  </c:pt>
                  <c:pt idx="87">
                    <c:v>31-Mar-25</c:v>
                  </c:pt>
                  <c:pt idx="88">
                    <c:v>01-Apr-25</c:v>
                  </c:pt>
                  <c:pt idx="89">
                    <c:v>02-Apr-25</c:v>
                  </c:pt>
                  <c:pt idx="90">
                    <c:v>03-Apr-25</c:v>
                  </c:pt>
                  <c:pt idx="91">
                    <c:v>04-Apr-25</c:v>
                  </c:pt>
                  <c:pt idx="92">
                    <c:v>05-Apr-25</c:v>
                  </c:pt>
                  <c:pt idx="93">
                    <c:v>06-Apr-25</c:v>
                  </c:pt>
                  <c:pt idx="94">
                    <c:v>07-Apr-25</c:v>
                  </c:pt>
                  <c:pt idx="95">
                    <c:v>08-Apr-25</c:v>
                  </c:pt>
                  <c:pt idx="96">
                    <c:v>09-Apr-25</c:v>
                  </c:pt>
                  <c:pt idx="97">
                    <c:v>10-Apr-25</c:v>
                  </c:pt>
                  <c:pt idx="98">
                    <c:v>11-Apr-25</c:v>
                  </c:pt>
                  <c:pt idx="99">
                    <c:v>12-Apr-25</c:v>
                  </c:pt>
                  <c:pt idx="100">
                    <c:v>13-Apr-25</c:v>
                  </c:pt>
                  <c:pt idx="101">
                    <c:v>14-Apr-25</c:v>
                  </c:pt>
                  <c:pt idx="102">
                    <c:v>15-Apr-25</c:v>
                  </c:pt>
                  <c:pt idx="103">
                    <c:v>16-Apr-25</c:v>
                  </c:pt>
                  <c:pt idx="104">
                    <c:v>17-Apr-25</c:v>
                  </c:pt>
                  <c:pt idx="105">
                    <c:v>18-Apr-25</c:v>
                  </c:pt>
                  <c:pt idx="106">
                    <c:v>19-Apr-25</c:v>
                  </c:pt>
                  <c:pt idx="107">
                    <c:v>20-Apr-25</c:v>
                  </c:pt>
                  <c:pt idx="108">
                    <c:v>21-Apr-25</c:v>
                  </c:pt>
                  <c:pt idx="109">
                    <c:v>22-Apr-25</c:v>
                  </c:pt>
                  <c:pt idx="110">
                    <c:v>23-Apr-25</c:v>
                  </c:pt>
                  <c:pt idx="111">
                    <c:v>24-Apr-25</c:v>
                  </c:pt>
                  <c:pt idx="112">
                    <c:v>25-Apr-25</c:v>
                  </c:pt>
                  <c:pt idx="113">
                    <c:v>26-Apr-25</c:v>
                  </c:pt>
                  <c:pt idx="114">
                    <c:v>27-Apr-25</c:v>
                  </c:pt>
                  <c:pt idx="115">
                    <c:v>28-Apr-25</c:v>
                  </c:pt>
                  <c:pt idx="116">
                    <c:v>29-Apr-25</c:v>
                  </c:pt>
                  <c:pt idx="117">
                    <c:v>30-Apr-25</c:v>
                  </c:pt>
                  <c:pt idx="118">
                    <c:v>01-May-25</c:v>
                  </c:pt>
                  <c:pt idx="119">
                    <c:v>02-May-25</c:v>
                  </c:pt>
                  <c:pt idx="120">
                    <c:v>03-May-25</c:v>
                  </c:pt>
                  <c:pt idx="121">
                    <c:v>04-May-25</c:v>
                  </c:pt>
                  <c:pt idx="122">
                    <c:v>05-May-25</c:v>
                  </c:pt>
                  <c:pt idx="123">
                    <c:v>06-May-25</c:v>
                  </c:pt>
                  <c:pt idx="124">
                    <c:v>07-May-25</c:v>
                  </c:pt>
                  <c:pt idx="125">
                    <c:v>08-May-25</c:v>
                  </c:pt>
                  <c:pt idx="126">
                    <c:v>09-May-25</c:v>
                  </c:pt>
                  <c:pt idx="127">
                    <c:v>10-May-25</c:v>
                  </c:pt>
                  <c:pt idx="128">
                    <c:v>11-May-25</c:v>
                  </c:pt>
                  <c:pt idx="129">
                    <c:v>12-May-25</c:v>
                  </c:pt>
                  <c:pt idx="130">
                    <c:v>13-May-25</c:v>
                  </c:pt>
                  <c:pt idx="131">
                    <c:v>14-May-25</c:v>
                  </c:pt>
                  <c:pt idx="132">
                    <c:v>15-May-25</c:v>
                  </c:pt>
                  <c:pt idx="133">
                    <c:v>16-May-25</c:v>
                  </c:pt>
                  <c:pt idx="134">
                    <c:v>17-May-25</c:v>
                  </c:pt>
                  <c:pt idx="135">
                    <c:v>18-May-25</c:v>
                  </c:pt>
                  <c:pt idx="136">
                    <c:v>19-May-25</c:v>
                  </c:pt>
                  <c:pt idx="137">
                    <c:v>20-May-25</c:v>
                  </c:pt>
                  <c:pt idx="138">
                    <c:v>21-May-25</c:v>
                  </c:pt>
                  <c:pt idx="139">
                    <c:v>22-May-25</c:v>
                  </c:pt>
                  <c:pt idx="140">
                    <c:v>23-May-25</c:v>
                  </c:pt>
                  <c:pt idx="141">
                    <c:v>24-May-25</c:v>
                  </c:pt>
                  <c:pt idx="142">
                    <c:v>25-May-25</c:v>
                  </c:pt>
                  <c:pt idx="143">
                    <c:v>26-May-25</c:v>
                  </c:pt>
                  <c:pt idx="144">
                    <c:v>27-May-25</c:v>
                  </c:pt>
                  <c:pt idx="145">
                    <c:v>28-May-25</c:v>
                  </c:pt>
                  <c:pt idx="146">
                    <c:v>29-May-25</c:v>
                  </c:pt>
                  <c:pt idx="147">
                    <c:v>30-May-25</c:v>
                  </c:pt>
                  <c:pt idx="148">
                    <c:v>31-May-25</c:v>
                  </c:pt>
                  <c:pt idx="149">
                    <c:v>01-Jun-25</c:v>
                  </c:pt>
                  <c:pt idx="150">
                    <c:v>02-Jun-25</c:v>
                  </c:pt>
                  <c:pt idx="151">
                    <c:v>03-Jun-25</c:v>
                  </c:pt>
                  <c:pt idx="152">
                    <c:v>04-Jun-25</c:v>
                  </c:pt>
                  <c:pt idx="153">
                    <c:v>05-Jun-25</c:v>
                  </c:pt>
                  <c:pt idx="154">
                    <c:v>06-Jun-25</c:v>
                  </c:pt>
                  <c:pt idx="155">
                    <c:v>07-Jun-25</c:v>
                  </c:pt>
                  <c:pt idx="156">
                    <c:v>08-Jun-25</c:v>
                  </c:pt>
                  <c:pt idx="157">
                    <c:v>09-Jun-25</c:v>
                  </c:pt>
                  <c:pt idx="158">
                    <c:v>10-Jun-25</c:v>
                  </c:pt>
                  <c:pt idx="159">
                    <c:v>11-Jun-25</c:v>
                  </c:pt>
                  <c:pt idx="160">
                    <c:v>12-Jun-25</c:v>
                  </c:pt>
                  <c:pt idx="161">
                    <c:v>13-Jun-25</c:v>
                  </c:pt>
                  <c:pt idx="162">
                    <c:v>14-Jun-25</c:v>
                  </c:pt>
                  <c:pt idx="163">
                    <c:v>15-Jun-25</c:v>
                  </c:pt>
                  <c:pt idx="164">
                    <c:v>16-Jun-25</c:v>
                  </c:pt>
                  <c:pt idx="165">
                    <c:v>17-Jun-25</c:v>
                  </c:pt>
                  <c:pt idx="166">
                    <c:v>18-Jun-25</c:v>
                  </c:pt>
                  <c:pt idx="167">
                    <c:v>19-Jun-25</c:v>
                  </c:pt>
                  <c:pt idx="168">
                    <c:v>20-Jun-25</c:v>
                  </c:pt>
                  <c:pt idx="169">
                    <c:v>21-Jun-25</c:v>
                  </c:pt>
                  <c:pt idx="170">
                    <c:v>22-Jun-25</c:v>
                  </c:pt>
                  <c:pt idx="171">
                    <c:v>23-Jun-25</c:v>
                  </c:pt>
                  <c:pt idx="172">
                    <c:v>24-Jun-25</c:v>
                  </c:pt>
                  <c:pt idx="173">
                    <c:v>25-Jun-25</c:v>
                  </c:pt>
                  <c:pt idx="174">
                    <c:v>26-Jun-25</c:v>
                  </c:pt>
                  <c:pt idx="175">
                    <c:v>27-Jun-25</c:v>
                  </c:pt>
                  <c:pt idx="176">
                    <c:v>28-Jun-25</c:v>
                  </c:pt>
                  <c:pt idx="177">
                    <c:v>29-Jun-25</c:v>
                  </c:pt>
                  <c:pt idx="178">
                    <c:v>30-Jun-25</c:v>
                  </c:pt>
                  <c:pt idx="179">
                    <c:v>01-Jul-25</c:v>
                  </c:pt>
                  <c:pt idx="180">
                    <c:v>02-Jul-25</c:v>
                  </c:pt>
                  <c:pt idx="181">
                    <c:v>03-Jul-25</c:v>
                  </c:pt>
                  <c:pt idx="182">
                    <c:v>04-Jul-25</c:v>
                  </c:pt>
                </c:lvl>
                <c:lvl>
                  <c:pt idx="0">
                    <c:v>03-Jan</c:v>
                  </c:pt>
                  <c:pt idx="1">
                    <c:v>04-Jan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pt idx="20">
                    <c:v>23-Jan</c:v>
                  </c:pt>
                  <c:pt idx="21">
                    <c:v>24-Jan</c:v>
                  </c:pt>
                  <c:pt idx="22">
                    <c:v>25-Jan</c:v>
                  </c:pt>
                  <c:pt idx="23">
                    <c:v>26-Jan</c:v>
                  </c:pt>
                  <c:pt idx="24">
                    <c:v>27-Jan</c:v>
                  </c:pt>
                  <c:pt idx="25">
                    <c:v>28-Jan</c:v>
                  </c:pt>
                  <c:pt idx="26">
                    <c:v>29-Jan</c:v>
                  </c:pt>
                  <c:pt idx="27">
                    <c:v>30-Jan</c:v>
                  </c:pt>
                  <c:pt idx="28">
                    <c:v>31-Jan</c:v>
                  </c:pt>
                  <c:pt idx="29">
                    <c:v>01-Feb</c:v>
                  </c:pt>
                  <c:pt idx="30">
                    <c:v>02-Feb</c:v>
                  </c:pt>
                  <c:pt idx="31">
                    <c:v>03-Feb</c:v>
                  </c:pt>
                  <c:pt idx="32">
                    <c:v>04-Feb</c:v>
                  </c:pt>
                  <c:pt idx="33">
                    <c:v>05-Feb</c:v>
                  </c:pt>
                  <c:pt idx="34">
                    <c:v>06-Feb</c:v>
                  </c:pt>
                  <c:pt idx="35">
                    <c:v>07-Feb</c:v>
                  </c:pt>
                  <c:pt idx="36">
                    <c:v>08-Feb</c:v>
                  </c:pt>
                  <c:pt idx="37">
                    <c:v>09-Feb</c:v>
                  </c:pt>
                  <c:pt idx="38">
                    <c:v>10-Feb</c:v>
                  </c:pt>
                  <c:pt idx="39">
                    <c:v>11-Feb</c:v>
                  </c:pt>
                  <c:pt idx="40">
                    <c:v>12-Feb</c:v>
                  </c:pt>
                  <c:pt idx="41">
                    <c:v>13-Feb</c:v>
                  </c:pt>
                  <c:pt idx="42">
                    <c:v>14-Feb</c:v>
                  </c:pt>
                  <c:pt idx="43">
                    <c:v>15-Feb</c:v>
                  </c:pt>
                  <c:pt idx="44">
                    <c:v>16-Feb</c:v>
                  </c:pt>
                  <c:pt idx="45">
                    <c:v>17-Feb</c:v>
                  </c:pt>
                  <c:pt idx="46">
                    <c:v>18-Feb</c:v>
                  </c:pt>
                  <c:pt idx="47">
                    <c:v>19-Feb</c:v>
                  </c:pt>
                  <c:pt idx="48">
                    <c:v>20-Feb</c:v>
                  </c:pt>
                  <c:pt idx="49">
                    <c:v>21-Feb</c:v>
                  </c:pt>
                  <c:pt idx="50">
                    <c:v>22-Feb</c:v>
                  </c:pt>
                  <c:pt idx="51">
                    <c:v>23-Feb</c:v>
                  </c:pt>
                  <c:pt idx="52">
                    <c:v>24-Feb</c:v>
                  </c:pt>
                  <c:pt idx="53">
                    <c:v>25-Feb</c:v>
                  </c:pt>
                  <c:pt idx="54">
                    <c:v>26-Feb</c:v>
                  </c:pt>
                  <c:pt idx="55">
                    <c:v>27-Feb</c:v>
                  </c:pt>
                  <c:pt idx="56">
                    <c:v>28-Feb</c:v>
                  </c:pt>
                  <c:pt idx="57">
                    <c:v>01-Mar</c:v>
                  </c:pt>
                  <c:pt idx="58">
                    <c:v>02-Mar</c:v>
                  </c:pt>
                  <c:pt idx="59">
                    <c:v>03-Mar</c:v>
                  </c:pt>
                  <c:pt idx="60">
                    <c:v>04-Mar</c:v>
                  </c:pt>
                  <c:pt idx="61">
                    <c:v>05-Mar</c:v>
                  </c:pt>
                  <c:pt idx="62">
                    <c:v>06-Mar</c:v>
                  </c:pt>
                  <c:pt idx="63">
                    <c:v>07-Mar</c:v>
                  </c:pt>
                  <c:pt idx="64">
                    <c:v>08-Mar</c:v>
                  </c:pt>
                  <c:pt idx="65">
                    <c:v>09-Mar</c:v>
                  </c:pt>
                  <c:pt idx="66">
                    <c:v>10-Mar</c:v>
                  </c:pt>
                  <c:pt idx="67">
                    <c:v>11-Mar</c:v>
                  </c:pt>
                  <c:pt idx="68">
                    <c:v>12-Mar</c:v>
                  </c:pt>
                  <c:pt idx="69">
                    <c:v>13-Mar</c:v>
                  </c:pt>
                  <c:pt idx="70">
                    <c:v>14-Mar</c:v>
                  </c:pt>
                  <c:pt idx="71">
                    <c:v>15-Mar</c:v>
                  </c:pt>
                  <c:pt idx="72">
                    <c:v>16-Mar</c:v>
                  </c:pt>
                  <c:pt idx="73">
                    <c:v>17-Mar</c:v>
                  </c:pt>
                  <c:pt idx="74">
                    <c:v>18-Mar</c:v>
                  </c:pt>
                  <c:pt idx="75">
                    <c:v>19-Mar</c:v>
                  </c:pt>
                  <c:pt idx="76">
                    <c:v>20-Mar</c:v>
                  </c:pt>
                  <c:pt idx="77">
                    <c:v>21-Mar</c:v>
                  </c:pt>
                  <c:pt idx="78">
                    <c:v>22-Mar</c:v>
                  </c:pt>
                  <c:pt idx="79">
                    <c:v>23-Mar</c:v>
                  </c:pt>
                  <c:pt idx="80">
                    <c:v>24-Mar</c:v>
                  </c:pt>
                  <c:pt idx="81">
                    <c:v>25-Mar</c:v>
                  </c:pt>
                  <c:pt idx="82">
                    <c:v>26-Mar</c:v>
                  </c:pt>
                  <c:pt idx="83">
                    <c:v>27-Mar</c:v>
                  </c:pt>
                  <c:pt idx="84">
                    <c:v>28-Mar</c:v>
                  </c:pt>
                  <c:pt idx="85">
                    <c:v>29-Mar</c:v>
                  </c:pt>
                  <c:pt idx="86">
                    <c:v>30-Mar</c:v>
                  </c:pt>
                  <c:pt idx="87">
                    <c:v>31-Mar</c:v>
                  </c:pt>
                  <c:pt idx="88">
                    <c:v>01-Apr</c:v>
                  </c:pt>
                  <c:pt idx="89">
                    <c:v>02-Apr</c:v>
                  </c:pt>
                  <c:pt idx="90">
                    <c:v>03-Apr</c:v>
                  </c:pt>
                  <c:pt idx="91">
                    <c:v>04-Apr</c:v>
                  </c:pt>
                  <c:pt idx="92">
                    <c:v>05-Apr</c:v>
                  </c:pt>
                  <c:pt idx="93">
                    <c:v>06-Apr</c:v>
                  </c:pt>
                  <c:pt idx="94">
                    <c:v>07-Apr</c:v>
                  </c:pt>
                  <c:pt idx="95">
                    <c:v>08-Apr</c:v>
                  </c:pt>
                  <c:pt idx="96">
                    <c:v>09-Apr</c:v>
                  </c:pt>
                  <c:pt idx="97">
                    <c:v>10-Apr</c:v>
                  </c:pt>
                  <c:pt idx="98">
                    <c:v>11-Apr</c:v>
                  </c:pt>
                  <c:pt idx="99">
                    <c:v>12-Apr</c:v>
                  </c:pt>
                  <c:pt idx="100">
                    <c:v>13-Apr</c:v>
                  </c:pt>
                  <c:pt idx="101">
                    <c:v>14-Apr</c:v>
                  </c:pt>
                  <c:pt idx="102">
                    <c:v>15-Apr</c:v>
                  </c:pt>
                  <c:pt idx="103">
                    <c:v>16-Apr</c:v>
                  </c:pt>
                  <c:pt idx="104">
                    <c:v>17-Apr</c:v>
                  </c:pt>
                  <c:pt idx="105">
                    <c:v>18-Apr</c:v>
                  </c:pt>
                  <c:pt idx="106">
                    <c:v>19-Apr</c:v>
                  </c:pt>
                  <c:pt idx="107">
                    <c:v>20-Apr</c:v>
                  </c:pt>
                  <c:pt idx="108">
                    <c:v>21-Apr</c:v>
                  </c:pt>
                  <c:pt idx="109">
                    <c:v>22-Apr</c:v>
                  </c:pt>
                  <c:pt idx="110">
                    <c:v>23-Apr</c:v>
                  </c:pt>
                  <c:pt idx="111">
                    <c:v>24-Apr</c:v>
                  </c:pt>
                  <c:pt idx="112">
                    <c:v>25-Apr</c:v>
                  </c:pt>
                  <c:pt idx="113">
                    <c:v>26-Apr</c:v>
                  </c:pt>
                  <c:pt idx="114">
                    <c:v>27-Apr</c:v>
                  </c:pt>
                  <c:pt idx="115">
                    <c:v>28-Apr</c:v>
                  </c:pt>
                  <c:pt idx="116">
                    <c:v>29-Apr</c:v>
                  </c:pt>
                  <c:pt idx="117">
                    <c:v>30-Apr</c:v>
                  </c:pt>
                  <c:pt idx="118">
                    <c:v>01-May</c:v>
                  </c:pt>
                  <c:pt idx="119">
                    <c:v>02-May</c:v>
                  </c:pt>
                  <c:pt idx="120">
                    <c:v>03-May</c:v>
                  </c:pt>
                  <c:pt idx="121">
                    <c:v>04-May</c:v>
                  </c:pt>
                  <c:pt idx="122">
                    <c:v>05-May</c:v>
                  </c:pt>
                  <c:pt idx="123">
                    <c:v>06-May</c:v>
                  </c:pt>
                  <c:pt idx="124">
                    <c:v>07-May</c:v>
                  </c:pt>
                  <c:pt idx="125">
                    <c:v>08-May</c:v>
                  </c:pt>
                  <c:pt idx="126">
                    <c:v>09-May</c:v>
                  </c:pt>
                  <c:pt idx="127">
                    <c:v>10-May</c:v>
                  </c:pt>
                  <c:pt idx="128">
                    <c:v>11-May</c:v>
                  </c:pt>
                  <c:pt idx="129">
                    <c:v>12-May</c:v>
                  </c:pt>
                  <c:pt idx="130">
                    <c:v>13-May</c:v>
                  </c:pt>
                  <c:pt idx="131">
                    <c:v>14-May</c:v>
                  </c:pt>
                  <c:pt idx="132">
                    <c:v>15-May</c:v>
                  </c:pt>
                  <c:pt idx="133">
                    <c:v>16-May</c:v>
                  </c:pt>
                  <c:pt idx="134">
                    <c:v>17-May</c:v>
                  </c:pt>
                  <c:pt idx="135">
                    <c:v>18-May</c:v>
                  </c:pt>
                  <c:pt idx="136">
                    <c:v>19-May</c:v>
                  </c:pt>
                  <c:pt idx="137">
                    <c:v>20-May</c:v>
                  </c:pt>
                  <c:pt idx="138">
                    <c:v>21-May</c:v>
                  </c:pt>
                  <c:pt idx="139">
                    <c:v>22-May</c:v>
                  </c:pt>
                  <c:pt idx="140">
                    <c:v>23-May</c:v>
                  </c:pt>
                  <c:pt idx="141">
                    <c:v>24-May</c:v>
                  </c:pt>
                  <c:pt idx="142">
                    <c:v>25-May</c:v>
                  </c:pt>
                  <c:pt idx="143">
                    <c:v>26-May</c:v>
                  </c:pt>
                  <c:pt idx="144">
                    <c:v>27-May</c:v>
                  </c:pt>
                  <c:pt idx="145">
                    <c:v>28-May</c:v>
                  </c:pt>
                  <c:pt idx="146">
                    <c:v>29-May</c:v>
                  </c:pt>
                  <c:pt idx="147">
                    <c:v>30-May</c:v>
                  </c:pt>
                  <c:pt idx="148">
                    <c:v>31-May</c:v>
                  </c:pt>
                  <c:pt idx="149">
                    <c:v>01-Jun</c:v>
                  </c:pt>
                  <c:pt idx="150">
                    <c:v>02-Jun</c:v>
                  </c:pt>
                  <c:pt idx="151">
                    <c:v>03-Jun</c:v>
                  </c:pt>
                  <c:pt idx="152">
                    <c:v>04-Jun</c:v>
                  </c:pt>
                  <c:pt idx="153">
                    <c:v>05-Jun</c:v>
                  </c:pt>
                  <c:pt idx="154">
                    <c:v>06-Jun</c:v>
                  </c:pt>
                  <c:pt idx="155">
                    <c:v>07-Jun</c:v>
                  </c:pt>
                  <c:pt idx="156">
                    <c:v>08-Jun</c:v>
                  </c:pt>
                  <c:pt idx="157">
                    <c:v>09-Jun</c:v>
                  </c:pt>
                  <c:pt idx="158">
                    <c:v>10-Jun</c:v>
                  </c:pt>
                  <c:pt idx="159">
                    <c:v>11-Jun</c:v>
                  </c:pt>
                  <c:pt idx="160">
                    <c:v>12-Jun</c:v>
                  </c:pt>
                  <c:pt idx="161">
                    <c:v>13-Jun</c:v>
                  </c:pt>
                  <c:pt idx="162">
                    <c:v>14-Jun</c:v>
                  </c:pt>
                  <c:pt idx="163">
                    <c:v>15-Jun</c:v>
                  </c:pt>
                  <c:pt idx="164">
                    <c:v>16-Jun</c:v>
                  </c:pt>
                  <c:pt idx="165">
                    <c:v>17-Jun</c:v>
                  </c:pt>
                  <c:pt idx="166">
                    <c:v>18-Jun</c:v>
                  </c:pt>
                  <c:pt idx="167">
                    <c:v>19-Jun</c:v>
                  </c:pt>
                  <c:pt idx="168">
                    <c:v>20-Jun</c:v>
                  </c:pt>
                  <c:pt idx="169">
                    <c:v>21-Jun</c:v>
                  </c:pt>
                  <c:pt idx="170">
                    <c:v>22-Jun</c:v>
                  </c:pt>
                  <c:pt idx="171">
                    <c:v>23-Jun</c:v>
                  </c:pt>
                  <c:pt idx="172">
                    <c:v>24-Jun</c:v>
                  </c:pt>
                  <c:pt idx="173">
                    <c:v>25-Jun</c:v>
                  </c:pt>
                  <c:pt idx="174">
                    <c:v>26-Jun</c:v>
                  </c:pt>
                  <c:pt idx="175">
                    <c:v>27-Jun</c:v>
                  </c:pt>
                  <c:pt idx="176">
                    <c:v>28-Jun</c:v>
                  </c:pt>
                  <c:pt idx="177">
                    <c:v>29-Jun</c:v>
                  </c:pt>
                  <c:pt idx="178">
                    <c:v>30-Jun</c:v>
                  </c:pt>
                  <c:pt idx="179">
                    <c:v>01-Jul</c:v>
                  </c:pt>
                  <c:pt idx="180">
                    <c:v>02-Jul</c:v>
                  </c:pt>
                  <c:pt idx="181">
                    <c:v>03-Jul</c:v>
                  </c:pt>
                  <c:pt idx="182">
                    <c:v>04-Jul</c:v>
                  </c:pt>
                </c:lvl>
                <c:lvl>
                  <c:pt idx="0">
                    <c:v>Jan</c:v>
                  </c:pt>
                  <c:pt idx="29">
                    <c:v>Feb</c:v>
                  </c:pt>
                  <c:pt idx="57">
                    <c:v>Mar</c:v>
                  </c:pt>
                  <c:pt idx="88">
                    <c:v>Apr</c:v>
                  </c:pt>
                  <c:pt idx="118">
                    <c:v>May</c:v>
                  </c:pt>
                  <c:pt idx="149">
                    <c:v>Jun</c:v>
                  </c:pt>
                  <c:pt idx="179">
                    <c:v>Jul</c:v>
                  </c:pt>
                </c:lvl>
              </c:multiLvlStrCache>
            </c:multiLvlStrRef>
          </c:cat>
          <c:val>
            <c:numRef>
              <c:f>'Q11'!$D$5:$D$377</c:f>
              <c:numCache>
                <c:formatCode>0,"K"</c:formatCode>
                <c:ptCount val="183"/>
                <c:pt idx="0">
                  <c:v>22260.86</c:v>
                </c:pt>
                <c:pt idx="2">
                  <c:v>247.2</c:v>
                </c:pt>
                <c:pt idx="6">
                  <c:v>28384.06</c:v>
                </c:pt>
                <c:pt idx="7">
                  <c:v>13891.77</c:v>
                </c:pt>
                <c:pt idx="9">
                  <c:v>5187.6400000000003</c:v>
                </c:pt>
                <c:pt idx="11">
                  <c:v>7174.42</c:v>
                </c:pt>
                <c:pt idx="12">
                  <c:v>16995.23</c:v>
                </c:pt>
                <c:pt idx="13">
                  <c:v>26299.42</c:v>
                </c:pt>
                <c:pt idx="14">
                  <c:v>11022.79</c:v>
                </c:pt>
                <c:pt idx="16">
                  <c:v>6890.9</c:v>
                </c:pt>
                <c:pt idx="18">
                  <c:v>1807.49</c:v>
                </c:pt>
                <c:pt idx="19">
                  <c:v>24970.06</c:v>
                </c:pt>
                <c:pt idx="20">
                  <c:v>6442</c:v>
                </c:pt>
                <c:pt idx="21">
                  <c:v>13114.53</c:v>
                </c:pt>
                <c:pt idx="22">
                  <c:v>23563.239999999998</c:v>
                </c:pt>
                <c:pt idx="25">
                  <c:v>4991.51</c:v>
                </c:pt>
                <c:pt idx="27">
                  <c:v>980.18</c:v>
                </c:pt>
                <c:pt idx="28">
                  <c:v>4610.17</c:v>
                </c:pt>
                <c:pt idx="29">
                  <c:v>10216.16</c:v>
                </c:pt>
                <c:pt idx="30">
                  <c:v>36758.239999999998</c:v>
                </c:pt>
                <c:pt idx="31">
                  <c:v>20899.53</c:v>
                </c:pt>
                <c:pt idx="32">
                  <c:v>44967.77</c:v>
                </c:pt>
                <c:pt idx="34">
                  <c:v>5012.6400000000003</c:v>
                </c:pt>
                <c:pt idx="35">
                  <c:v>25951.129999999997</c:v>
                </c:pt>
                <c:pt idx="36">
                  <c:v>2568.0300000000002</c:v>
                </c:pt>
                <c:pt idx="37">
                  <c:v>16483.21</c:v>
                </c:pt>
                <c:pt idx="38">
                  <c:v>5831.62</c:v>
                </c:pt>
                <c:pt idx="39">
                  <c:v>8676.83</c:v>
                </c:pt>
                <c:pt idx="40">
                  <c:v>16512.650000000001</c:v>
                </c:pt>
                <c:pt idx="41">
                  <c:v>13242.730000000001</c:v>
                </c:pt>
                <c:pt idx="42">
                  <c:v>1227.55</c:v>
                </c:pt>
                <c:pt idx="43">
                  <c:v>33635.61</c:v>
                </c:pt>
                <c:pt idx="44">
                  <c:v>8853.61</c:v>
                </c:pt>
                <c:pt idx="45">
                  <c:v>3901.34</c:v>
                </c:pt>
                <c:pt idx="46">
                  <c:v>6433.7</c:v>
                </c:pt>
                <c:pt idx="47">
                  <c:v>15160.58</c:v>
                </c:pt>
                <c:pt idx="48">
                  <c:v>37242.21</c:v>
                </c:pt>
                <c:pt idx="49">
                  <c:v>11101.77</c:v>
                </c:pt>
                <c:pt idx="51">
                  <c:v>23253.7</c:v>
                </c:pt>
                <c:pt idx="52">
                  <c:v>4087.64</c:v>
                </c:pt>
                <c:pt idx="53">
                  <c:v>9734.8499999999985</c:v>
                </c:pt>
                <c:pt idx="54">
                  <c:v>10020.98</c:v>
                </c:pt>
                <c:pt idx="55">
                  <c:v>11300.279999999999</c:v>
                </c:pt>
                <c:pt idx="56">
                  <c:v>24599.62</c:v>
                </c:pt>
                <c:pt idx="58">
                  <c:v>8146.6299999999992</c:v>
                </c:pt>
                <c:pt idx="59">
                  <c:v>5839.48</c:v>
                </c:pt>
                <c:pt idx="60">
                  <c:v>3742.74</c:v>
                </c:pt>
                <c:pt idx="61">
                  <c:v>38350.070000000007</c:v>
                </c:pt>
                <c:pt idx="62">
                  <c:v>8848.41</c:v>
                </c:pt>
                <c:pt idx="64">
                  <c:v>24200.899999999998</c:v>
                </c:pt>
                <c:pt idx="66">
                  <c:v>6703.04</c:v>
                </c:pt>
                <c:pt idx="67">
                  <c:v>501.67</c:v>
                </c:pt>
                <c:pt idx="69">
                  <c:v>10562.3</c:v>
                </c:pt>
                <c:pt idx="70">
                  <c:v>8669.9500000000007</c:v>
                </c:pt>
                <c:pt idx="71">
                  <c:v>12651.890000000001</c:v>
                </c:pt>
                <c:pt idx="73">
                  <c:v>14162.759999999998</c:v>
                </c:pt>
                <c:pt idx="74">
                  <c:v>19882.77</c:v>
                </c:pt>
                <c:pt idx="75">
                  <c:v>2986.24</c:v>
                </c:pt>
                <c:pt idx="76">
                  <c:v>16106.94</c:v>
                </c:pt>
                <c:pt idx="77">
                  <c:v>9857.4599999999991</c:v>
                </c:pt>
                <c:pt idx="78">
                  <c:v>15165.45</c:v>
                </c:pt>
                <c:pt idx="79">
                  <c:v>7575.04</c:v>
                </c:pt>
                <c:pt idx="80">
                  <c:v>7101.77</c:v>
                </c:pt>
                <c:pt idx="82">
                  <c:v>17648.54</c:v>
                </c:pt>
                <c:pt idx="83">
                  <c:v>9154.6</c:v>
                </c:pt>
                <c:pt idx="84">
                  <c:v>17293.150000000001</c:v>
                </c:pt>
                <c:pt idx="85">
                  <c:v>11819.28</c:v>
                </c:pt>
                <c:pt idx="87">
                  <c:v>7837.5</c:v>
                </c:pt>
                <c:pt idx="88">
                  <c:v>16847.82</c:v>
                </c:pt>
                <c:pt idx="89">
                  <c:v>4392.96</c:v>
                </c:pt>
                <c:pt idx="90">
                  <c:v>8531.01</c:v>
                </c:pt>
                <c:pt idx="91">
                  <c:v>13136.52</c:v>
                </c:pt>
                <c:pt idx="92">
                  <c:v>18095.269999999997</c:v>
                </c:pt>
                <c:pt idx="94">
                  <c:v>18384.38</c:v>
                </c:pt>
                <c:pt idx="95">
                  <c:v>14928.279999999999</c:v>
                </c:pt>
                <c:pt idx="96">
                  <c:v>443.04</c:v>
                </c:pt>
                <c:pt idx="98">
                  <c:v>14770.34</c:v>
                </c:pt>
                <c:pt idx="100">
                  <c:v>3904.75</c:v>
                </c:pt>
                <c:pt idx="101">
                  <c:v>17603.12</c:v>
                </c:pt>
                <c:pt idx="103">
                  <c:v>52064.26</c:v>
                </c:pt>
                <c:pt idx="104">
                  <c:v>38935.410000000003</c:v>
                </c:pt>
                <c:pt idx="105">
                  <c:v>1682.4</c:v>
                </c:pt>
                <c:pt idx="106">
                  <c:v>53410.740000000005</c:v>
                </c:pt>
                <c:pt idx="107">
                  <c:v>39561.160000000003</c:v>
                </c:pt>
                <c:pt idx="108">
                  <c:v>20817.559999999998</c:v>
                </c:pt>
                <c:pt idx="109">
                  <c:v>6232.56</c:v>
                </c:pt>
                <c:pt idx="110">
                  <c:v>13952.88</c:v>
                </c:pt>
                <c:pt idx="111">
                  <c:v>24434.39</c:v>
                </c:pt>
                <c:pt idx="112">
                  <c:v>2161.42</c:v>
                </c:pt>
                <c:pt idx="113">
                  <c:v>18177.32</c:v>
                </c:pt>
                <c:pt idx="114">
                  <c:v>1083.4000000000001</c:v>
                </c:pt>
                <c:pt idx="115">
                  <c:v>13657.41</c:v>
                </c:pt>
                <c:pt idx="116">
                  <c:v>13301.44</c:v>
                </c:pt>
                <c:pt idx="117">
                  <c:v>6893.66</c:v>
                </c:pt>
                <c:pt idx="118">
                  <c:v>1688.46</c:v>
                </c:pt>
                <c:pt idx="120">
                  <c:v>16298.349999999999</c:v>
                </c:pt>
                <c:pt idx="121">
                  <c:v>6000.68</c:v>
                </c:pt>
                <c:pt idx="122">
                  <c:v>5976.6</c:v>
                </c:pt>
                <c:pt idx="123">
                  <c:v>41809.35</c:v>
                </c:pt>
                <c:pt idx="124">
                  <c:v>6156.46</c:v>
                </c:pt>
                <c:pt idx="125">
                  <c:v>1378.57</c:v>
                </c:pt>
                <c:pt idx="126">
                  <c:v>21773.54</c:v>
                </c:pt>
                <c:pt idx="128">
                  <c:v>11425.14</c:v>
                </c:pt>
                <c:pt idx="129">
                  <c:v>15374.84</c:v>
                </c:pt>
                <c:pt idx="131">
                  <c:v>1862.6</c:v>
                </c:pt>
                <c:pt idx="132">
                  <c:v>10863.39</c:v>
                </c:pt>
                <c:pt idx="133">
                  <c:v>11757.54</c:v>
                </c:pt>
                <c:pt idx="134">
                  <c:v>4396.7</c:v>
                </c:pt>
                <c:pt idx="135">
                  <c:v>11972.8</c:v>
                </c:pt>
                <c:pt idx="137">
                  <c:v>21948.65</c:v>
                </c:pt>
                <c:pt idx="139">
                  <c:v>23039.68</c:v>
                </c:pt>
                <c:pt idx="140">
                  <c:v>10329</c:v>
                </c:pt>
                <c:pt idx="141">
                  <c:v>26663.79</c:v>
                </c:pt>
                <c:pt idx="142">
                  <c:v>7407.09</c:v>
                </c:pt>
                <c:pt idx="143">
                  <c:v>27291.69</c:v>
                </c:pt>
                <c:pt idx="145">
                  <c:v>19517.939999999999</c:v>
                </c:pt>
                <c:pt idx="146">
                  <c:v>10365.43</c:v>
                </c:pt>
                <c:pt idx="147">
                  <c:v>18347</c:v>
                </c:pt>
                <c:pt idx="148">
                  <c:v>15125.25</c:v>
                </c:pt>
                <c:pt idx="149">
                  <c:v>22160.15</c:v>
                </c:pt>
                <c:pt idx="150">
                  <c:v>10803.46</c:v>
                </c:pt>
                <c:pt idx="151">
                  <c:v>3513.54</c:v>
                </c:pt>
                <c:pt idx="152">
                  <c:v>4889.7299999999996</c:v>
                </c:pt>
                <c:pt idx="153">
                  <c:v>9751.32</c:v>
                </c:pt>
                <c:pt idx="154">
                  <c:v>13777.82</c:v>
                </c:pt>
                <c:pt idx="155">
                  <c:v>23961.260000000002</c:v>
                </c:pt>
                <c:pt idx="156">
                  <c:v>8707.2900000000009</c:v>
                </c:pt>
                <c:pt idx="159">
                  <c:v>4752.83</c:v>
                </c:pt>
                <c:pt idx="160">
                  <c:v>28632.22</c:v>
                </c:pt>
                <c:pt idx="162">
                  <c:v>4500.58</c:v>
                </c:pt>
                <c:pt idx="163">
                  <c:v>18444.460000000003</c:v>
                </c:pt>
                <c:pt idx="165">
                  <c:v>36077.770000000004</c:v>
                </c:pt>
                <c:pt idx="167">
                  <c:v>5400.8899999999994</c:v>
                </c:pt>
                <c:pt idx="168">
                  <c:v>12016.5</c:v>
                </c:pt>
                <c:pt idx="169">
                  <c:v>5418.67</c:v>
                </c:pt>
                <c:pt idx="170">
                  <c:v>16422.190000000002</c:v>
                </c:pt>
                <c:pt idx="171">
                  <c:v>6963.73</c:v>
                </c:pt>
                <c:pt idx="173">
                  <c:v>9692.57</c:v>
                </c:pt>
                <c:pt idx="174">
                  <c:v>36555.26</c:v>
                </c:pt>
                <c:pt idx="175">
                  <c:v>18762.45</c:v>
                </c:pt>
                <c:pt idx="176">
                  <c:v>1421.38</c:v>
                </c:pt>
                <c:pt idx="177">
                  <c:v>15208.12</c:v>
                </c:pt>
                <c:pt idx="178">
                  <c:v>9129.6200000000008</c:v>
                </c:pt>
                <c:pt idx="180">
                  <c:v>11312.27</c:v>
                </c:pt>
                <c:pt idx="181">
                  <c:v>16441.41</c:v>
                </c:pt>
                <c:pt idx="182">
                  <c:v>6605.1399999999994</c:v>
                </c:pt>
              </c:numCache>
            </c:numRef>
          </c:val>
          <c:smooth val="0"/>
          <c:extLst>
            <c:ext xmlns:c16="http://schemas.microsoft.com/office/drawing/2014/chart" uri="{C3380CC4-5D6E-409C-BE32-E72D297353CC}">
              <c16:uniqueId val="{00000007-BFED-4E68-BF41-E5F2E273EAA6}"/>
            </c:ext>
          </c:extLst>
        </c:ser>
        <c:ser>
          <c:idx val="3"/>
          <c:order val="3"/>
          <c:tx>
            <c:strRef>
              <c:f>'Q11'!$E$3:$E$4</c:f>
              <c:strCache>
                <c:ptCount val="1"/>
                <c:pt idx="0">
                  <c:v>Grocery</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'Q11'!$A$5:$A$377</c:f>
              <c:multiLvlStrCache>
                <c:ptCount val="183"/>
                <c:lvl>
                  <c:pt idx="0">
                    <c:v>03-Jan-25</c:v>
                  </c:pt>
                  <c:pt idx="1">
                    <c:v>04-Jan-25</c:v>
                  </c:pt>
                  <c:pt idx="2">
                    <c:v>05-Jan-25</c:v>
                  </c:pt>
                  <c:pt idx="3">
                    <c:v>06-Jan-25</c:v>
                  </c:pt>
                  <c:pt idx="4">
                    <c:v>07-Jan-25</c:v>
                  </c:pt>
                  <c:pt idx="5">
                    <c:v>08-Jan-25</c:v>
                  </c:pt>
                  <c:pt idx="6">
                    <c:v>09-Jan-25</c:v>
                  </c:pt>
                  <c:pt idx="7">
                    <c:v>10-Jan-25</c:v>
                  </c:pt>
                  <c:pt idx="8">
                    <c:v>11-Jan-25</c:v>
                  </c:pt>
                  <c:pt idx="9">
                    <c:v>12-Jan-25</c:v>
                  </c:pt>
                  <c:pt idx="10">
                    <c:v>13-Jan-25</c:v>
                  </c:pt>
                  <c:pt idx="11">
                    <c:v>14-Jan-25</c:v>
                  </c:pt>
                  <c:pt idx="12">
                    <c:v>15-Jan-25</c:v>
                  </c:pt>
                  <c:pt idx="13">
                    <c:v>16-Jan-25</c:v>
                  </c:pt>
                  <c:pt idx="14">
                    <c:v>17-Jan-25</c:v>
                  </c:pt>
                  <c:pt idx="15">
                    <c:v>18-Jan-25</c:v>
                  </c:pt>
                  <c:pt idx="16">
                    <c:v>19-Jan-25</c:v>
                  </c:pt>
                  <c:pt idx="17">
                    <c:v>20-Jan-25</c:v>
                  </c:pt>
                  <c:pt idx="18">
                    <c:v>21-Jan-25</c:v>
                  </c:pt>
                  <c:pt idx="19">
                    <c:v>22-Jan-25</c:v>
                  </c:pt>
                  <c:pt idx="20">
                    <c:v>23-Jan-25</c:v>
                  </c:pt>
                  <c:pt idx="21">
                    <c:v>24-Jan-25</c:v>
                  </c:pt>
                  <c:pt idx="22">
                    <c:v>25-Jan-25</c:v>
                  </c:pt>
                  <c:pt idx="23">
                    <c:v>26-Jan-25</c:v>
                  </c:pt>
                  <c:pt idx="24">
                    <c:v>27-Jan-25</c:v>
                  </c:pt>
                  <c:pt idx="25">
                    <c:v>28-Jan-25</c:v>
                  </c:pt>
                  <c:pt idx="26">
                    <c:v>29-Jan-25</c:v>
                  </c:pt>
                  <c:pt idx="27">
                    <c:v>30-Jan-25</c:v>
                  </c:pt>
                  <c:pt idx="28">
                    <c:v>31-Jan-25</c:v>
                  </c:pt>
                  <c:pt idx="29">
                    <c:v>01-Feb-25</c:v>
                  </c:pt>
                  <c:pt idx="30">
                    <c:v>02-Feb-25</c:v>
                  </c:pt>
                  <c:pt idx="31">
                    <c:v>03-Feb-25</c:v>
                  </c:pt>
                  <c:pt idx="32">
                    <c:v>04-Feb-25</c:v>
                  </c:pt>
                  <c:pt idx="33">
                    <c:v>05-Feb-25</c:v>
                  </c:pt>
                  <c:pt idx="34">
                    <c:v>06-Feb-25</c:v>
                  </c:pt>
                  <c:pt idx="35">
                    <c:v>07-Feb-25</c:v>
                  </c:pt>
                  <c:pt idx="36">
                    <c:v>08-Feb-25</c:v>
                  </c:pt>
                  <c:pt idx="37">
                    <c:v>09-Feb-25</c:v>
                  </c:pt>
                  <c:pt idx="38">
                    <c:v>10-Feb-25</c:v>
                  </c:pt>
                  <c:pt idx="39">
                    <c:v>11-Feb-25</c:v>
                  </c:pt>
                  <c:pt idx="40">
                    <c:v>12-Feb-25</c:v>
                  </c:pt>
                  <c:pt idx="41">
                    <c:v>13-Feb-25</c:v>
                  </c:pt>
                  <c:pt idx="42">
                    <c:v>14-Feb-25</c:v>
                  </c:pt>
                  <c:pt idx="43">
                    <c:v>15-Feb-25</c:v>
                  </c:pt>
                  <c:pt idx="44">
                    <c:v>16-Feb-25</c:v>
                  </c:pt>
                  <c:pt idx="45">
                    <c:v>17-Feb-25</c:v>
                  </c:pt>
                  <c:pt idx="46">
                    <c:v>18-Feb-25</c:v>
                  </c:pt>
                  <c:pt idx="47">
                    <c:v>19-Feb-25</c:v>
                  </c:pt>
                  <c:pt idx="48">
                    <c:v>20-Feb-25</c:v>
                  </c:pt>
                  <c:pt idx="49">
                    <c:v>21-Feb-25</c:v>
                  </c:pt>
                  <c:pt idx="50">
                    <c:v>22-Feb-25</c:v>
                  </c:pt>
                  <c:pt idx="51">
                    <c:v>23-Feb-25</c:v>
                  </c:pt>
                  <c:pt idx="52">
                    <c:v>24-Feb-25</c:v>
                  </c:pt>
                  <c:pt idx="53">
                    <c:v>25-Feb-25</c:v>
                  </c:pt>
                  <c:pt idx="54">
                    <c:v>26-Feb-25</c:v>
                  </c:pt>
                  <c:pt idx="55">
                    <c:v>27-Feb-25</c:v>
                  </c:pt>
                  <c:pt idx="56">
                    <c:v>28-Feb-25</c:v>
                  </c:pt>
                  <c:pt idx="57">
                    <c:v>01-Mar-25</c:v>
                  </c:pt>
                  <c:pt idx="58">
                    <c:v>02-Mar-25</c:v>
                  </c:pt>
                  <c:pt idx="59">
                    <c:v>03-Mar-25</c:v>
                  </c:pt>
                  <c:pt idx="60">
                    <c:v>04-Mar-25</c:v>
                  </c:pt>
                  <c:pt idx="61">
                    <c:v>05-Mar-25</c:v>
                  </c:pt>
                  <c:pt idx="62">
                    <c:v>06-Mar-25</c:v>
                  </c:pt>
                  <c:pt idx="63">
                    <c:v>07-Mar-25</c:v>
                  </c:pt>
                  <c:pt idx="64">
                    <c:v>08-Mar-25</c:v>
                  </c:pt>
                  <c:pt idx="65">
                    <c:v>09-Mar-25</c:v>
                  </c:pt>
                  <c:pt idx="66">
                    <c:v>10-Mar-25</c:v>
                  </c:pt>
                  <c:pt idx="67">
                    <c:v>11-Mar-25</c:v>
                  </c:pt>
                  <c:pt idx="68">
                    <c:v>12-Mar-25</c:v>
                  </c:pt>
                  <c:pt idx="69">
                    <c:v>13-Mar-25</c:v>
                  </c:pt>
                  <c:pt idx="70">
                    <c:v>14-Mar-25</c:v>
                  </c:pt>
                  <c:pt idx="71">
                    <c:v>15-Mar-25</c:v>
                  </c:pt>
                  <c:pt idx="72">
                    <c:v>16-Mar-25</c:v>
                  </c:pt>
                  <c:pt idx="73">
                    <c:v>17-Mar-25</c:v>
                  </c:pt>
                  <c:pt idx="74">
                    <c:v>18-Mar-25</c:v>
                  </c:pt>
                  <c:pt idx="75">
                    <c:v>19-Mar-25</c:v>
                  </c:pt>
                  <c:pt idx="76">
                    <c:v>20-Mar-25</c:v>
                  </c:pt>
                  <c:pt idx="77">
                    <c:v>21-Mar-25</c:v>
                  </c:pt>
                  <c:pt idx="78">
                    <c:v>22-Mar-25</c:v>
                  </c:pt>
                  <c:pt idx="79">
                    <c:v>23-Mar-25</c:v>
                  </c:pt>
                  <c:pt idx="80">
                    <c:v>24-Mar-25</c:v>
                  </c:pt>
                  <c:pt idx="81">
                    <c:v>25-Mar-25</c:v>
                  </c:pt>
                  <c:pt idx="82">
                    <c:v>26-Mar-25</c:v>
                  </c:pt>
                  <c:pt idx="83">
                    <c:v>27-Mar-25</c:v>
                  </c:pt>
                  <c:pt idx="84">
                    <c:v>28-Mar-25</c:v>
                  </c:pt>
                  <c:pt idx="85">
                    <c:v>29-Mar-25</c:v>
                  </c:pt>
                  <c:pt idx="86">
                    <c:v>30-Mar-25</c:v>
                  </c:pt>
                  <c:pt idx="87">
                    <c:v>31-Mar-25</c:v>
                  </c:pt>
                  <c:pt idx="88">
                    <c:v>01-Apr-25</c:v>
                  </c:pt>
                  <c:pt idx="89">
                    <c:v>02-Apr-25</c:v>
                  </c:pt>
                  <c:pt idx="90">
                    <c:v>03-Apr-25</c:v>
                  </c:pt>
                  <c:pt idx="91">
                    <c:v>04-Apr-25</c:v>
                  </c:pt>
                  <c:pt idx="92">
                    <c:v>05-Apr-25</c:v>
                  </c:pt>
                  <c:pt idx="93">
                    <c:v>06-Apr-25</c:v>
                  </c:pt>
                  <c:pt idx="94">
                    <c:v>07-Apr-25</c:v>
                  </c:pt>
                  <c:pt idx="95">
                    <c:v>08-Apr-25</c:v>
                  </c:pt>
                  <c:pt idx="96">
                    <c:v>09-Apr-25</c:v>
                  </c:pt>
                  <c:pt idx="97">
                    <c:v>10-Apr-25</c:v>
                  </c:pt>
                  <c:pt idx="98">
                    <c:v>11-Apr-25</c:v>
                  </c:pt>
                  <c:pt idx="99">
                    <c:v>12-Apr-25</c:v>
                  </c:pt>
                  <c:pt idx="100">
                    <c:v>13-Apr-25</c:v>
                  </c:pt>
                  <c:pt idx="101">
                    <c:v>14-Apr-25</c:v>
                  </c:pt>
                  <c:pt idx="102">
                    <c:v>15-Apr-25</c:v>
                  </c:pt>
                  <c:pt idx="103">
                    <c:v>16-Apr-25</c:v>
                  </c:pt>
                  <c:pt idx="104">
                    <c:v>17-Apr-25</c:v>
                  </c:pt>
                  <c:pt idx="105">
                    <c:v>18-Apr-25</c:v>
                  </c:pt>
                  <c:pt idx="106">
                    <c:v>19-Apr-25</c:v>
                  </c:pt>
                  <c:pt idx="107">
                    <c:v>20-Apr-25</c:v>
                  </c:pt>
                  <c:pt idx="108">
                    <c:v>21-Apr-25</c:v>
                  </c:pt>
                  <c:pt idx="109">
                    <c:v>22-Apr-25</c:v>
                  </c:pt>
                  <c:pt idx="110">
                    <c:v>23-Apr-25</c:v>
                  </c:pt>
                  <c:pt idx="111">
                    <c:v>24-Apr-25</c:v>
                  </c:pt>
                  <c:pt idx="112">
                    <c:v>25-Apr-25</c:v>
                  </c:pt>
                  <c:pt idx="113">
                    <c:v>26-Apr-25</c:v>
                  </c:pt>
                  <c:pt idx="114">
                    <c:v>27-Apr-25</c:v>
                  </c:pt>
                  <c:pt idx="115">
                    <c:v>28-Apr-25</c:v>
                  </c:pt>
                  <c:pt idx="116">
                    <c:v>29-Apr-25</c:v>
                  </c:pt>
                  <c:pt idx="117">
                    <c:v>30-Apr-25</c:v>
                  </c:pt>
                  <c:pt idx="118">
                    <c:v>01-May-25</c:v>
                  </c:pt>
                  <c:pt idx="119">
                    <c:v>02-May-25</c:v>
                  </c:pt>
                  <c:pt idx="120">
                    <c:v>03-May-25</c:v>
                  </c:pt>
                  <c:pt idx="121">
                    <c:v>04-May-25</c:v>
                  </c:pt>
                  <c:pt idx="122">
                    <c:v>05-May-25</c:v>
                  </c:pt>
                  <c:pt idx="123">
                    <c:v>06-May-25</c:v>
                  </c:pt>
                  <c:pt idx="124">
                    <c:v>07-May-25</c:v>
                  </c:pt>
                  <c:pt idx="125">
                    <c:v>08-May-25</c:v>
                  </c:pt>
                  <c:pt idx="126">
                    <c:v>09-May-25</c:v>
                  </c:pt>
                  <c:pt idx="127">
                    <c:v>10-May-25</c:v>
                  </c:pt>
                  <c:pt idx="128">
                    <c:v>11-May-25</c:v>
                  </c:pt>
                  <c:pt idx="129">
                    <c:v>12-May-25</c:v>
                  </c:pt>
                  <c:pt idx="130">
                    <c:v>13-May-25</c:v>
                  </c:pt>
                  <c:pt idx="131">
                    <c:v>14-May-25</c:v>
                  </c:pt>
                  <c:pt idx="132">
                    <c:v>15-May-25</c:v>
                  </c:pt>
                  <c:pt idx="133">
                    <c:v>16-May-25</c:v>
                  </c:pt>
                  <c:pt idx="134">
                    <c:v>17-May-25</c:v>
                  </c:pt>
                  <c:pt idx="135">
                    <c:v>18-May-25</c:v>
                  </c:pt>
                  <c:pt idx="136">
                    <c:v>19-May-25</c:v>
                  </c:pt>
                  <c:pt idx="137">
                    <c:v>20-May-25</c:v>
                  </c:pt>
                  <c:pt idx="138">
                    <c:v>21-May-25</c:v>
                  </c:pt>
                  <c:pt idx="139">
                    <c:v>22-May-25</c:v>
                  </c:pt>
                  <c:pt idx="140">
                    <c:v>23-May-25</c:v>
                  </c:pt>
                  <c:pt idx="141">
                    <c:v>24-May-25</c:v>
                  </c:pt>
                  <c:pt idx="142">
                    <c:v>25-May-25</c:v>
                  </c:pt>
                  <c:pt idx="143">
                    <c:v>26-May-25</c:v>
                  </c:pt>
                  <c:pt idx="144">
                    <c:v>27-May-25</c:v>
                  </c:pt>
                  <c:pt idx="145">
                    <c:v>28-May-25</c:v>
                  </c:pt>
                  <c:pt idx="146">
                    <c:v>29-May-25</c:v>
                  </c:pt>
                  <c:pt idx="147">
                    <c:v>30-May-25</c:v>
                  </c:pt>
                  <c:pt idx="148">
                    <c:v>31-May-25</c:v>
                  </c:pt>
                  <c:pt idx="149">
                    <c:v>01-Jun-25</c:v>
                  </c:pt>
                  <c:pt idx="150">
                    <c:v>02-Jun-25</c:v>
                  </c:pt>
                  <c:pt idx="151">
                    <c:v>03-Jun-25</c:v>
                  </c:pt>
                  <c:pt idx="152">
                    <c:v>04-Jun-25</c:v>
                  </c:pt>
                  <c:pt idx="153">
                    <c:v>05-Jun-25</c:v>
                  </c:pt>
                  <c:pt idx="154">
                    <c:v>06-Jun-25</c:v>
                  </c:pt>
                  <c:pt idx="155">
                    <c:v>07-Jun-25</c:v>
                  </c:pt>
                  <c:pt idx="156">
                    <c:v>08-Jun-25</c:v>
                  </c:pt>
                  <c:pt idx="157">
                    <c:v>09-Jun-25</c:v>
                  </c:pt>
                  <c:pt idx="158">
                    <c:v>10-Jun-25</c:v>
                  </c:pt>
                  <c:pt idx="159">
                    <c:v>11-Jun-25</c:v>
                  </c:pt>
                  <c:pt idx="160">
                    <c:v>12-Jun-25</c:v>
                  </c:pt>
                  <c:pt idx="161">
                    <c:v>13-Jun-25</c:v>
                  </c:pt>
                  <c:pt idx="162">
                    <c:v>14-Jun-25</c:v>
                  </c:pt>
                  <c:pt idx="163">
                    <c:v>15-Jun-25</c:v>
                  </c:pt>
                  <c:pt idx="164">
                    <c:v>16-Jun-25</c:v>
                  </c:pt>
                  <c:pt idx="165">
                    <c:v>17-Jun-25</c:v>
                  </c:pt>
                  <c:pt idx="166">
                    <c:v>18-Jun-25</c:v>
                  </c:pt>
                  <c:pt idx="167">
                    <c:v>19-Jun-25</c:v>
                  </c:pt>
                  <c:pt idx="168">
                    <c:v>20-Jun-25</c:v>
                  </c:pt>
                  <c:pt idx="169">
                    <c:v>21-Jun-25</c:v>
                  </c:pt>
                  <c:pt idx="170">
                    <c:v>22-Jun-25</c:v>
                  </c:pt>
                  <c:pt idx="171">
                    <c:v>23-Jun-25</c:v>
                  </c:pt>
                  <c:pt idx="172">
                    <c:v>24-Jun-25</c:v>
                  </c:pt>
                  <c:pt idx="173">
                    <c:v>25-Jun-25</c:v>
                  </c:pt>
                  <c:pt idx="174">
                    <c:v>26-Jun-25</c:v>
                  </c:pt>
                  <c:pt idx="175">
                    <c:v>27-Jun-25</c:v>
                  </c:pt>
                  <c:pt idx="176">
                    <c:v>28-Jun-25</c:v>
                  </c:pt>
                  <c:pt idx="177">
                    <c:v>29-Jun-25</c:v>
                  </c:pt>
                  <c:pt idx="178">
                    <c:v>30-Jun-25</c:v>
                  </c:pt>
                  <c:pt idx="179">
                    <c:v>01-Jul-25</c:v>
                  </c:pt>
                  <c:pt idx="180">
                    <c:v>02-Jul-25</c:v>
                  </c:pt>
                  <c:pt idx="181">
                    <c:v>03-Jul-25</c:v>
                  </c:pt>
                  <c:pt idx="182">
                    <c:v>04-Jul-25</c:v>
                  </c:pt>
                </c:lvl>
                <c:lvl>
                  <c:pt idx="0">
                    <c:v>03-Jan</c:v>
                  </c:pt>
                  <c:pt idx="1">
                    <c:v>04-Jan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pt idx="20">
                    <c:v>23-Jan</c:v>
                  </c:pt>
                  <c:pt idx="21">
                    <c:v>24-Jan</c:v>
                  </c:pt>
                  <c:pt idx="22">
                    <c:v>25-Jan</c:v>
                  </c:pt>
                  <c:pt idx="23">
                    <c:v>26-Jan</c:v>
                  </c:pt>
                  <c:pt idx="24">
                    <c:v>27-Jan</c:v>
                  </c:pt>
                  <c:pt idx="25">
                    <c:v>28-Jan</c:v>
                  </c:pt>
                  <c:pt idx="26">
                    <c:v>29-Jan</c:v>
                  </c:pt>
                  <c:pt idx="27">
                    <c:v>30-Jan</c:v>
                  </c:pt>
                  <c:pt idx="28">
                    <c:v>31-Jan</c:v>
                  </c:pt>
                  <c:pt idx="29">
                    <c:v>01-Feb</c:v>
                  </c:pt>
                  <c:pt idx="30">
                    <c:v>02-Feb</c:v>
                  </c:pt>
                  <c:pt idx="31">
                    <c:v>03-Feb</c:v>
                  </c:pt>
                  <c:pt idx="32">
                    <c:v>04-Feb</c:v>
                  </c:pt>
                  <c:pt idx="33">
                    <c:v>05-Feb</c:v>
                  </c:pt>
                  <c:pt idx="34">
                    <c:v>06-Feb</c:v>
                  </c:pt>
                  <c:pt idx="35">
                    <c:v>07-Feb</c:v>
                  </c:pt>
                  <c:pt idx="36">
                    <c:v>08-Feb</c:v>
                  </c:pt>
                  <c:pt idx="37">
                    <c:v>09-Feb</c:v>
                  </c:pt>
                  <c:pt idx="38">
                    <c:v>10-Feb</c:v>
                  </c:pt>
                  <c:pt idx="39">
                    <c:v>11-Feb</c:v>
                  </c:pt>
                  <c:pt idx="40">
                    <c:v>12-Feb</c:v>
                  </c:pt>
                  <c:pt idx="41">
                    <c:v>13-Feb</c:v>
                  </c:pt>
                  <c:pt idx="42">
                    <c:v>14-Feb</c:v>
                  </c:pt>
                  <c:pt idx="43">
                    <c:v>15-Feb</c:v>
                  </c:pt>
                  <c:pt idx="44">
                    <c:v>16-Feb</c:v>
                  </c:pt>
                  <c:pt idx="45">
                    <c:v>17-Feb</c:v>
                  </c:pt>
                  <c:pt idx="46">
                    <c:v>18-Feb</c:v>
                  </c:pt>
                  <c:pt idx="47">
                    <c:v>19-Feb</c:v>
                  </c:pt>
                  <c:pt idx="48">
                    <c:v>20-Feb</c:v>
                  </c:pt>
                  <c:pt idx="49">
                    <c:v>21-Feb</c:v>
                  </c:pt>
                  <c:pt idx="50">
                    <c:v>22-Feb</c:v>
                  </c:pt>
                  <c:pt idx="51">
                    <c:v>23-Feb</c:v>
                  </c:pt>
                  <c:pt idx="52">
                    <c:v>24-Feb</c:v>
                  </c:pt>
                  <c:pt idx="53">
                    <c:v>25-Feb</c:v>
                  </c:pt>
                  <c:pt idx="54">
                    <c:v>26-Feb</c:v>
                  </c:pt>
                  <c:pt idx="55">
                    <c:v>27-Feb</c:v>
                  </c:pt>
                  <c:pt idx="56">
                    <c:v>28-Feb</c:v>
                  </c:pt>
                  <c:pt idx="57">
                    <c:v>01-Mar</c:v>
                  </c:pt>
                  <c:pt idx="58">
                    <c:v>02-Mar</c:v>
                  </c:pt>
                  <c:pt idx="59">
                    <c:v>03-Mar</c:v>
                  </c:pt>
                  <c:pt idx="60">
                    <c:v>04-Mar</c:v>
                  </c:pt>
                  <c:pt idx="61">
                    <c:v>05-Mar</c:v>
                  </c:pt>
                  <c:pt idx="62">
                    <c:v>06-Mar</c:v>
                  </c:pt>
                  <c:pt idx="63">
                    <c:v>07-Mar</c:v>
                  </c:pt>
                  <c:pt idx="64">
                    <c:v>08-Mar</c:v>
                  </c:pt>
                  <c:pt idx="65">
                    <c:v>09-Mar</c:v>
                  </c:pt>
                  <c:pt idx="66">
                    <c:v>10-Mar</c:v>
                  </c:pt>
                  <c:pt idx="67">
                    <c:v>11-Mar</c:v>
                  </c:pt>
                  <c:pt idx="68">
                    <c:v>12-Mar</c:v>
                  </c:pt>
                  <c:pt idx="69">
                    <c:v>13-Mar</c:v>
                  </c:pt>
                  <c:pt idx="70">
                    <c:v>14-Mar</c:v>
                  </c:pt>
                  <c:pt idx="71">
                    <c:v>15-Mar</c:v>
                  </c:pt>
                  <c:pt idx="72">
                    <c:v>16-Mar</c:v>
                  </c:pt>
                  <c:pt idx="73">
                    <c:v>17-Mar</c:v>
                  </c:pt>
                  <c:pt idx="74">
                    <c:v>18-Mar</c:v>
                  </c:pt>
                  <c:pt idx="75">
                    <c:v>19-Mar</c:v>
                  </c:pt>
                  <c:pt idx="76">
                    <c:v>20-Mar</c:v>
                  </c:pt>
                  <c:pt idx="77">
                    <c:v>21-Mar</c:v>
                  </c:pt>
                  <c:pt idx="78">
                    <c:v>22-Mar</c:v>
                  </c:pt>
                  <c:pt idx="79">
                    <c:v>23-Mar</c:v>
                  </c:pt>
                  <c:pt idx="80">
                    <c:v>24-Mar</c:v>
                  </c:pt>
                  <c:pt idx="81">
                    <c:v>25-Mar</c:v>
                  </c:pt>
                  <c:pt idx="82">
                    <c:v>26-Mar</c:v>
                  </c:pt>
                  <c:pt idx="83">
                    <c:v>27-Mar</c:v>
                  </c:pt>
                  <c:pt idx="84">
                    <c:v>28-Mar</c:v>
                  </c:pt>
                  <c:pt idx="85">
                    <c:v>29-Mar</c:v>
                  </c:pt>
                  <c:pt idx="86">
                    <c:v>30-Mar</c:v>
                  </c:pt>
                  <c:pt idx="87">
                    <c:v>31-Mar</c:v>
                  </c:pt>
                  <c:pt idx="88">
                    <c:v>01-Apr</c:v>
                  </c:pt>
                  <c:pt idx="89">
                    <c:v>02-Apr</c:v>
                  </c:pt>
                  <c:pt idx="90">
                    <c:v>03-Apr</c:v>
                  </c:pt>
                  <c:pt idx="91">
                    <c:v>04-Apr</c:v>
                  </c:pt>
                  <c:pt idx="92">
                    <c:v>05-Apr</c:v>
                  </c:pt>
                  <c:pt idx="93">
                    <c:v>06-Apr</c:v>
                  </c:pt>
                  <c:pt idx="94">
                    <c:v>07-Apr</c:v>
                  </c:pt>
                  <c:pt idx="95">
                    <c:v>08-Apr</c:v>
                  </c:pt>
                  <c:pt idx="96">
                    <c:v>09-Apr</c:v>
                  </c:pt>
                  <c:pt idx="97">
                    <c:v>10-Apr</c:v>
                  </c:pt>
                  <c:pt idx="98">
                    <c:v>11-Apr</c:v>
                  </c:pt>
                  <c:pt idx="99">
                    <c:v>12-Apr</c:v>
                  </c:pt>
                  <c:pt idx="100">
                    <c:v>13-Apr</c:v>
                  </c:pt>
                  <c:pt idx="101">
                    <c:v>14-Apr</c:v>
                  </c:pt>
                  <c:pt idx="102">
                    <c:v>15-Apr</c:v>
                  </c:pt>
                  <c:pt idx="103">
                    <c:v>16-Apr</c:v>
                  </c:pt>
                  <c:pt idx="104">
                    <c:v>17-Apr</c:v>
                  </c:pt>
                  <c:pt idx="105">
                    <c:v>18-Apr</c:v>
                  </c:pt>
                  <c:pt idx="106">
                    <c:v>19-Apr</c:v>
                  </c:pt>
                  <c:pt idx="107">
                    <c:v>20-Apr</c:v>
                  </c:pt>
                  <c:pt idx="108">
                    <c:v>21-Apr</c:v>
                  </c:pt>
                  <c:pt idx="109">
                    <c:v>22-Apr</c:v>
                  </c:pt>
                  <c:pt idx="110">
                    <c:v>23-Apr</c:v>
                  </c:pt>
                  <c:pt idx="111">
                    <c:v>24-Apr</c:v>
                  </c:pt>
                  <c:pt idx="112">
                    <c:v>25-Apr</c:v>
                  </c:pt>
                  <c:pt idx="113">
                    <c:v>26-Apr</c:v>
                  </c:pt>
                  <c:pt idx="114">
                    <c:v>27-Apr</c:v>
                  </c:pt>
                  <c:pt idx="115">
                    <c:v>28-Apr</c:v>
                  </c:pt>
                  <c:pt idx="116">
                    <c:v>29-Apr</c:v>
                  </c:pt>
                  <c:pt idx="117">
                    <c:v>30-Apr</c:v>
                  </c:pt>
                  <c:pt idx="118">
                    <c:v>01-May</c:v>
                  </c:pt>
                  <c:pt idx="119">
                    <c:v>02-May</c:v>
                  </c:pt>
                  <c:pt idx="120">
                    <c:v>03-May</c:v>
                  </c:pt>
                  <c:pt idx="121">
                    <c:v>04-May</c:v>
                  </c:pt>
                  <c:pt idx="122">
                    <c:v>05-May</c:v>
                  </c:pt>
                  <c:pt idx="123">
                    <c:v>06-May</c:v>
                  </c:pt>
                  <c:pt idx="124">
                    <c:v>07-May</c:v>
                  </c:pt>
                  <c:pt idx="125">
                    <c:v>08-May</c:v>
                  </c:pt>
                  <c:pt idx="126">
                    <c:v>09-May</c:v>
                  </c:pt>
                  <c:pt idx="127">
                    <c:v>10-May</c:v>
                  </c:pt>
                  <c:pt idx="128">
                    <c:v>11-May</c:v>
                  </c:pt>
                  <c:pt idx="129">
                    <c:v>12-May</c:v>
                  </c:pt>
                  <c:pt idx="130">
                    <c:v>13-May</c:v>
                  </c:pt>
                  <c:pt idx="131">
                    <c:v>14-May</c:v>
                  </c:pt>
                  <c:pt idx="132">
                    <c:v>15-May</c:v>
                  </c:pt>
                  <c:pt idx="133">
                    <c:v>16-May</c:v>
                  </c:pt>
                  <c:pt idx="134">
                    <c:v>17-May</c:v>
                  </c:pt>
                  <c:pt idx="135">
                    <c:v>18-May</c:v>
                  </c:pt>
                  <c:pt idx="136">
                    <c:v>19-May</c:v>
                  </c:pt>
                  <c:pt idx="137">
                    <c:v>20-May</c:v>
                  </c:pt>
                  <c:pt idx="138">
                    <c:v>21-May</c:v>
                  </c:pt>
                  <c:pt idx="139">
                    <c:v>22-May</c:v>
                  </c:pt>
                  <c:pt idx="140">
                    <c:v>23-May</c:v>
                  </c:pt>
                  <c:pt idx="141">
                    <c:v>24-May</c:v>
                  </c:pt>
                  <c:pt idx="142">
                    <c:v>25-May</c:v>
                  </c:pt>
                  <c:pt idx="143">
                    <c:v>26-May</c:v>
                  </c:pt>
                  <c:pt idx="144">
                    <c:v>27-May</c:v>
                  </c:pt>
                  <c:pt idx="145">
                    <c:v>28-May</c:v>
                  </c:pt>
                  <c:pt idx="146">
                    <c:v>29-May</c:v>
                  </c:pt>
                  <c:pt idx="147">
                    <c:v>30-May</c:v>
                  </c:pt>
                  <c:pt idx="148">
                    <c:v>31-May</c:v>
                  </c:pt>
                  <c:pt idx="149">
                    <c:v>01-Jun</c:v>
                  </c:pt>
                  <c:pt idx="150">
                    <c:v>02-Jun</c:v>
                  </c:pt>
                  <c:pt idx="151">
                    <c:v>03-Jun</c:v>
                  </c:pt>
                  <c:pt idx="152">
                    <c:v>04-Jun</c:v>
                  </c:pt>
                  <c:pt idx="153">
                    <c:v>05-Jun</c:v>
                  </c:pt>
                  <c:pt idx="154">
                    <c:v>06-Jun</c:v>
                  </c:pt>
                  <c:pt idx="155">
                    <c:v>07-Jun</c:v>
                  </c:pt>
                  <c:pt idx="156">
                    <c:v>08-Jun</c:v>
                  </c:pt>
                  <c:pt idx="157">
                    <c:v>09-Jun</c:v>
                  </c:pt>
                  <c:pt idx="158">
                    <c:v>10-Jun</c:v>
                  </c:pt>
                  <c:pt idx="159">
                    <c:v>11-Jun</c:v>
                  </c:pt>
                  <c:pt idx="160">
                    <c:v>12-Jun</c:v>
                  </c:pt>
                  <c:pt idx="161">
                    <c:v>13-Jun</c:v>
                  </c:pt>
                  <c:pt idx="162">
                    <c:v>14-Jun</c:v>
                  </c:pt>
                  <c:pt idx="163">
                    <c:v>15-Jun</c:v>
                  </c:pt>
                  <c:pt idx="164">
                    <c:v>16-Jun</c:v>
                  </c:pt>
                  <c:pt idx="165">
                    <c:v>17-Jun</c:v>
                  </c:pt>
                  <c:pt idx="166">
                    <c:v>18-Jun</c:v>
                  </c:pt>
                  <c:pt idx="167">
                    <c:v>19-Jun</c:v>
                  </c:pt>
                  <c:pt idx="168">
                    <c:v>20-Jun</c:v>
                  </c:pt>
                  <c:pt idx="169">
                    <c:v>21-Jun</c:v>
                  </c:pt>
                  <c:pt idx="170">
                    <c:v>22-Jun</c:v>
                  </c:pt>
                  <c:pt idx="171">
                    <c:v>23-Jun</c:v>
                  </c:pt>
                  <c:pt idx="172">
                    <c:v>24-Jun</c:v>
                  </c:pt>
                  <c:pt idx="173">
                    <c:v>25-Jun</c:v>
                  </c:pt>
                  <c:pt idx="174">
                    <c:v>26-Jun</c:v>
                  </c:pt>
                  <c:pt idx="175">
                    <c:v>27-Jun</c:v>
                  </c:pt>
                  <c:pt idx="176">
                    <c:v>28-Jun</c:v>
                  </c:pt>
                  <c:pt idx="177">
                    <c:v>29-Jun</c:v>
                  </c:pt>
                  <c:pt idx="178">
                    <c:v>30-Jun</c:v>
                  </c:pt>
                  <c:pt idx="179">
                    <c:v>01-Jul</c:v>
                  </c:pt>
                  <c:pt idx="180">
                    <c:v>02-Jul</c:v>
                  </c:pt>
                  <c:pt idx="181">
                    <c:v>03-Jul</c:v>
                  </c:pt>
                  <c:pt idx="182">
                    <c:v>04-Jul</c:v>
                  </c:pt>
                </c:lvl>
                <c:lvl>
                  <c:pt idx="0">
                    <c:v>Jan</c:v>
                  </c:pt>
                  <c:pt idx="29">
                    <c:v>Feb</c:v>
                  </c:pt>
                  <c:pt idx="57">
                    <c:v>Mar</c:v>
                  </c:pt>
                  <c:pt idx="88">
                    <c:v>Apr</c:v>
                  </c:pt>
                  <c:pt idx="118">
                    <c:v>May</c:v>
                  </c:pt>
                  <c:pt idx="149">
                    <c:v>Jun</c:v>
                  </c:pt>
                  <c:pt idx="179">
                    <c:v>Jul</c:v>
                  </c:pt>
                </c:lvl>
              </c:multiLvlStrCache>
            </c:multiLvlStrRef>
          </c:cat>
          <c:val>
            <c:numRef>
              <c:f>'Q11'!$E$5:$E$377</c:f>
              <c:numCache>
                <c:formatCode>0,"K"</c:formatCode>
                <c:ptCount val="183"/>
                <c:pt idx="0">
                  <c:v>4214.82</c:v>
                </c:pt>
                <c:pt idx="1">
                  <c:v>31999.62</c:v>
                </c:pt>
                <c:pt idx="3">
                  <c:v>9938.31</c:v>
                </c:pt>
                <c:pt idx="4">
                  <c:v>24675.67</c:v>
                </c:pt>
                <c:pt idx="5">
                  <c:v>3204.03</c:v>
                </c:pt>
                <c:pt idx="6">
                  <c:v>7271.21</c:v>
                </c:pt>
                <c:pt idx="7">
                  <c:v>14728.39</c:v>
                </c:pt>
                <c:pt idx="8">
                  <c:v>24951.1</c:v>
                </c:pt>
                <c:pt idx="9">
                  <c:v>18581.240000000002</c:v>
                </c:pt>
                <c:pt idx="10">
                  <c:v>10695.32</c:v>
                </c:pt>
                <c:pt idx="11">
                  <c:v>21862.080000000002</c:v>
                </c:pt>
                <c:pt idx="12">
                  <c:v>16421.150000000001</c:v>
                </c:pt>
                <c:pt idx="13">
                  <c:v>33353.360000000008</c:v>
                </c:pt>
                <c:pt idx="14">
                  <c:v>16654.54</c:v>
                </c:pt>
                <c:pt idx="15">
                  <c:v>11392.65</c:v>
                </c:pt>
                <c:pt idx="17">
                  <c:v>14362.59</c:v>
                </c:pt>
                <c:pt idx="18">
                  <c:v>1177.03</c:v>
                </c:pt>
                <c:pt idx="19">
                  <c:v>12588.88</c:v>
                </c:pt>
                <c:pt idx="20">
                  <c:v>2975.65</c:v>
                </c:pt>
                <c:pt idx="21">
                  <c:v>14935.720000000001</c:v>
                </c:pt>
                <c:pt idx="22">
                  <c:v>3487.34</c:v>
                </c:pt>
                <c:pt idx="23">
                  <c:v>866.94</c:v>
                </c:pt>
                <c:pt idx="24">
                  <c:v>54619.209999999992</c:v>
                </c:pt>
                <c:pt idx="25">
                  <c:v>4615.84</c:v>
                </c:pt>
                <c:pt idx="26">
                  <c:v>17169.009999999998</c:v>
                </c:pt>
                <c:pt idx="28">
                  <c:v>3923.65</c:v>
                </c:pt>
                <c:pt idx="29">
                  <c:v>5248.65</c:v>
                </c:pt>
                <c:pt idx="31">
                  <c:v>1275.97</c:v>
                </c:pt>
                <c:pt idx="35">
                  <c:v>5856.71</c:v>
                </c:pt>
                <c:pt idx="37">
                  <c:v>5879.09</c:v>
                </c:pt>
                <c:pt idx="38">
                  <c:v>6325.55</c:v>
                </c:pt>
                <c:pt idx="39">
                  <c:v>338.87</c:v>
                </c:pt>
                <c:pt idx="40">
                  <c:v>17676.88</c:v>
                </c:pt>
                <c:pt idx="41">
                  <c:v>19300.510000000002</c:v>
                </c:pt>
                <c:pt idx="42">
                  <c:v>4358.4799999999996</c:v>
                </c:pt>
                <c:pt idx="43">
                  <c:v>1717.48</c:v>
                </c:pt>
                <c:pt idx="44">
                  <c:v>442.96</c:v>
                </c:pt>
                <c:pt idx="45">
                  <c:v>19557.22</c:v>
                </c:pt>
                <c:pt idx="46">
                  <c:v>14085.42</c:v>
                </c:pt>
                <c:pt idx="47">
                  <c:v>11104.119999999999</c:v>
                </c:pt>
                <c:pt idx="48">
                  <c:v>1537.3600000000001</c:v>
                </c:pt>
                <c:pt idx="49">
                  <c:v>469.11</c:v>
                </c:pt>
                <c:pt idx="50">
                  <c:v>8603.93</c:v>
                </c:pt>
                <c:pt idx="51">
                  <c:v>30965.43</c:v>
                </c:pt>
                <c:pt idx="52">
                  <c:v>22077.510000000002</c:v>
                </c:pt>
                <c:pt idx="53">
                  <c:v>2918.16</c:v>
                </c:pt>
                <c:pt idx="54">
                  <c:v>4774.0200000000004</c:v>
                </c:pt>
                <c:pt idx="55">
                  <c:v>25603.62</c:v>
                </c:pt>
                <c:pt idx="56">
                  <c:v>10845.37</c:v>
                </c:pt>
                <c:pt idx="57">
                  <c:v>13583.35</c:v>
                </c:pt>
                <c:pt idx="58">
                  <c:v>17745.78</c:v>
                </c:pt>
                <c:pt idx="59">
                  <c:v>1191.67</c:v>
                </c:pt>
                <c:pt idx="60">
                  <c:v>22917.93</c:v>
                </c:pt>
                <c:pt idx="62">
                  <c:v>23100.58</c:v>
                </c:pt>
                <c:pt idx="63">
                  <c:v>12335.02</c:v>
                </c:pt>
                <c:pt idx="66">
                  <c:v>20793.060000000001</c:v>
                </c:pt>
                <c:pt idx="67">
                  <c:v>16133.01</c:v>
                </c:pt>
                <c:pt idx="68">
                  <c:v>6558.1299999999992</c:v>
                </c:pt>
                <c:pt idx="70">
                  <c:v>32658.74</c:v>
                </c:pt>
                <c:pt idx="71">
                  <c:v>20073.059999999998</c:v>
                </c:pt>
                <c:pt idx="72">
                  <c:v>3575.14</c:v>
                </c:pt>
                <c:pt idx="73">
                  <c:v>34039.71</c:v>
                </c:pt>
                <c:pt idx="74">
                  <c:v>18969.8</c:v>
                </c:pt>
                <c:pt idx="76">
                  <c:v>7197.48</c:v>
                </c:pt>
                <c:pt idx="77">
                  <c:v>17657.200000000004</c:v>
                </c:pt>
                <c:pt idx="78">
                  <c:v>28539.610000000004</c:v>
                </c:pt>
                <c:pt idx="79">
                  <c:v>3146.24</c:v>
                </c:pt>
                <c:pt idx="80">
                  <c:v>11332.63</c:v>
                </c:pt>
                <c:pt idx="81">
                  <c:v>15892.31</c:v>
                </c:pt>
                <c:pt idx="82">
                  <c:v>24975.19</c:v>
                </c:pt>
                <c:pt idx="83">
                  <c:v>4072.32</c:v>
                </c:pt>
                <c:pt idx="84">
                  <c:v>6435.41</c:v>
                </c:pt>
                <c:pt idx="85">
                  <c:v>43122.5</c:v>
                </c:pt>
                <c:pt idx="86">
                  <c:v>19623.97</c:v>
                </c:pt>
                <c:pt idx="87">
                  <c:v>19673.96</c:v>
                </c:pt>
                <c:pt idx="88">
                  <c:v>9976.84</c:v>
                </c:pt>
                <c:pt idx="89">
                  <c:v>3713.24</c:v>
                </c:pt>
                <c:pt idx="91">
                  <c:v>2125.61</c:v>
                </c:pt>
                <c:pt idx="93">
                  <c:v>7302.56</c:v>
                </c:pt>
                <c:pt idx="94">
                  <c:v>28813.789999999997</c:v>
                </c:pt>
                <c:pt idx="95">
                  <c:v>5180.95</c:v>
                </c:pt>
                <c:pt idx="96">
                  <c:v>4670.38</c:v>
                </c:pt>
                <c:pt idx="97">
                  <c:v>4389.58</c:v>
                </c:pt>
                <c:pt idx="98">
                  <c:v>24328.720000000001</c:v>
                </c:pt>
                <c:pt idx="99">
                  <c:v>18735.21</c:v>
                </c:pt>
                <c:pt idx="100">
                  <c:v>7543.24</c:v>
                </c:pt>
                <c:pt idx="101">
                  <c:v>4003.1</c:v>
                </c:pt>
                <c:pt idx="104">
                  <c:v>15881.08</c:v>
                </c:pt>
                <c:pt idx="106">
                  <c:v>5316.35</c:v>
                </c:pt>
                <c:pt idx="107">
                  <c:v>7416.68</c:v>
                </c:pt>
                <c:pt idx="109">
                  <c:v>32929.440000000002</c:v>
                </c:pt>
                <c:pt idx="110">
                  <c:v>2991.8599999999997</c:v>
                </c:pt>
                <c:pt idx="111">
                  <c:v>1863.63</c:v>
                </c:pt>
                <c:pt idx="112">
                  <c:v>3032.14</c:v>
                </c:pt>
                <c:pt idx="114">
                  <c:v>7674.1</c:v>
                </c:pt>
                <c:pt idx="115">
                  <c:v>26715.829999999998</c:v>
                </c:pt>
                <c:pt idx="117">
                  <c:v>12194.61</c:v>
                </c:pt>
                <c:pt idx="119">
                  <c:v>14059.7</c:v>
                </c:pt>
                <c:pt idx="120">
                  <c:v>28835.98</c:v>
                </c:pt>
                <c:pt idx="121">
                  <c:v>6037.27</c:v>
                </c:pt>
                <c:pt idx="124">
                  <c:v>6233.09</c:v>
                </c:pt>
                <c:pt idx="125">
                  <c:v>27894.36</c:v>
                </c:pt>
                <c:pt idx="126">
                  <c:v>17806.36</c:v>
                </c:pt>
                <c:pt idx="127">
                  <c:v>25462.550000000003</c:v>
                </c:pt>
                <c:pt idx="128">
                  <c:v>19126.71</c:v>
                </c:pt>
                <c:pt idx="129">
                  <c:v>5667.52</c:v>
                </c:pt>
                <c:pt idx="130">
                  <c:v>15883.47</c:v>
                </c:pt>
                <c:pt idx="133">
                  <c:v>10461.92</c:v>
                </c:pt>
                <c:pt idx="134">
                  <c:v>16754.669999999998</c:v>
                </c:pt>
                <c:pt idx="135">
                  <c:v>23546.92</c:v>
                </c:pt>
                <c:pt idx="136">
                  <c:v>14238.83</c:v>
                </c:pt>
                <c:pt idx="137">
                  <c:v>20523</c:v>
                </c:pt>
                <c:pt idx="139">
                  <c:v>6950.22</c:v>
                </c:pt>
                <c:pt idx="140">
                  <c:v>4628.59</c:v>
                </c:pt>
                <c:pt idx="141">
                  <c:v>12675.74</c:v>
                </c:pt>
                <c:pt idx="142">
                  <c:v>5498.29</c:v>
                </c:pt>
                <c:pt idx="143">
                  <c:v>3499.88</c:v>
                </c:pt>
                <c:pt idx="145">
                  <c:v>28596.550000000003</c:v>
                </c:pt>
                <c:pt idx="148">
                  <c:v>14104.27</c:v>
                </c:pt>
                <c:pt idx="149">
                  <c:v>18918.53</c:v>
                </c:pt>
                <c:pt idx="150">
                  <c:v>24609.33</c:v>
                </c:pt>
                <c:pt idx="151">
                  <c:v>11640.33</c:v>
                </c:pt>
                <c:pt idx="152">
                  <c:v>1717.46</c:v>
                </c:pt>
                <c:pt idx="153">
                  <c:v>7464.79</c:v>
                </c:pt>
                <c:pt idx="155">
                  <c:v>20057.53</c:v>
                </c:pt>
                <c:pt idx="156">
                  <c:v>7432.76</c:v>
                </c:pt>
                <c:pt idx="157">
                  <c:v>12976.78</c:v>
                </c:pt>
                <c:pt idx="158">
                  <c:v>6292.32</c:v>
                </c:pt>
                <c:pt idx="159">
                  <c:v>13725.39</c:v>
                </c:pt>
                <c:pt idx="161">
                  <c:v>36757.269999999997</c:v>
                </c:pt>
                <c:pt idx="162">
                  <c:v>4799.58</c:v>
                </c:pt>
                <c:pt idx="163">
                  <c:v>3460.73</c:v>
                </c:pt>
                <c:pt idx="164">
                  <c:v>738.44</c:v>
                </c:pt>
                <c:pt idx="165">
                  <c:v>6106.85</c:v>
                </c:pt>
                <c:pt idx="166">
                  <c:v>1467.25</c:v>
                </c:pt>
                <c:pt idx="167">
                  <c:v>19596.560000000001</c:v>
                </c:pt>
                <c:pt idx="169">
                  <c:v>26336.82</c:v>
                </c:pt>
                <c:pt idx="170">
                  <c:v>32617.34</c:v>
                </c:pt>
                <c:pt idx="171">
                  <c:v>16503.04</c:v>
                </c:pt>
                <c:pt idx="172">
                  <c:v>7701.82</c:v>
                </c:pt>
                <c:pt idx="173">
                  <c:v>13503.01</c:v>
                </c:pt>
                <c:pt idx="178">
                  <c:v>21684.010000000002</c:v>
                </c:pt>
                <c:pt idx="179">
                  <c:v>17034.39</c:v>
                </c:pt>
                <c:pt idx="180">
                  <c:v>18075.8</c:v>
                </c:pt>
                <c:pt idx="181">
                  <c:v>12301.26</c:v>
                </c:pt>
              </c:numCache>
            </c:numRef>
          </c:val>
          <c:smooth val="0"/>
          <c:extLst>
            <c:ext xmlns:c16="http://schemas.microsoft.com/office/drawing/2014/chart" uri="{C3380CC4-5D6E-409C-BE32-E72D297353CC}">
              <c16:uniqueId val="{00000008-BFED-4E68-BF41-E5F2E273EAA6}"/>
            </c:ext>
          </c:extLst>
        </c:ser>
        <c:ser>
          <c:idx val="4"/>
          <c:order val="4"/>
          <c:tx>
            <c:strRef>
              <c:f>'Q11'!$F$3:$F$4</c:f>
              <c:strCache>
                <c:ptCount val="1"/>
                <c:pt idx="0">
                  <c:v>Home Decor</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'Q11'!$A$5:$A$377</c:f>
              <c:multiLvlStrCache>
                <c:ptCount val="183"/>
                <c:lvl>
                  <c:pt idx="0">
                    <c:v>03-Jan-25</c:v>
                  </c:pt>
                  <c:pt idx="1">
                    <c:v>04-Jan-25</c:v>
                  </c:pt>
                  <c:pt idx="2">
                    <c:v>05-Jan-25</c:v>
                  </c:pt>
                  <c:pt idx="3">
                    <c:v>06-Jan-25</c:v>
                  </c:pt>
                  <c:pt idx="4">
                    <c:v>07-Jan-25</c:v>
                  </c:pt>
                  <c:pt idx="5">
                    <c:v>08-Jan-25</c:v>
                  </c:pt>
                  <c:pt idx="6">
                    <c:v>09-Jan-25</c:v>
                  </c:pt>
                  <c:pt idx="7">
                    <c:v>10-Jan-25</c:v>
                  </c:pt>
                  <c:pt idx="8">
                    <c:v>11-Jan-25</c:v>
                  </c:pt>
                  <c:pt idx="9">
                    <c:v>12-Jan-25</c:v>
                  </c:pt>
                  <c:pt idx="10">
                    <c:v>13-Jan-25</c:v>
                  </c:pt>
                  <c:pt idx="11">
                    <c:v>14-Jan-25</c:v>
                  </c:pt>
                  <c:pt idx="12">
                    <c:v>15-Jan-25</c:v>
                  </c:pt>
                  <c:pt idx="13">
                    <c:v>16-Jan-25</c:v>
                  </c:pt>
                  <c:pt idx="14">
                    <c:v>17-Jan-25</c:v>
                  </c:pt>
                  <c:pt idx="15">
                    <c:v>18-Jan-25</c:v>
                  </c:pt>
                  <c:pt idx="16">
                    <c:v>19-Jan-25</c:v>
                  </c:pt>
                  <c:pt idx="17">
                    <c:v>20-Jan-25</c:v>
                  </c:pt>
                  <c:pt idx="18">
                    <c:v>21-Jan-25</c:v>
                  </c:pt>
                  <c:pt idx="19">
                    <c:v>22-Jan-25</c:v>
                  </c:pt>
                  <c:pt idx="20">
                    <c:v>23-Jan-25</c:v>
                  </c:pt>
                  <c:pt idx="21">
                    <c:v>24-Jan-25</c:v>
                  </c:pt>
                  <c:pt idx="22">
                    <c:v>25-Jan-25</c:v>
                  </c:pt>
                  <c:pt idx="23">
                    <c:v>26-Jan-25</c:v>
                  </c:pt>
                  <c:pt idx="24">
                    <c:v>27-Jan-25</c:v>
                  </c:pt>
                  <c:pt idx="25">
                    <c:v>28-Jan-25</c:v>
                  </c:pt>
                  <c:pt idx="26">
                    <c:v>29-Jan-25</c:v>
                  </c:pt>
                  <c:pt idx="27">
                    <c:v>30-Jan-25</c:v>
                  </c:pt>
                  <c:pt idx="28">
                    <c:v>31-Jan-25</c:v>
                  </c:pt>
                  <c:pt idx="29">
                    <c:v>01-Feb-25</c:v>
                  </c:pt>
                  <c:pt idx="30">
                    <c:v>02-Feb-25</c:v>
                  </c:pt>
                  <c:pt idx="31">
                    <c:v>03-Feb-25</c:v>
                  </c:pt>
                  <c:pt idx="32">
                    <c:v>04-Feb-25</c:v>
                  </c:pt>
                  <c:pt idx="33">
                    <c:v>05-Feb-25</c:v>
                  </c:pt>
                  <c:pt idx="34">
                    <c:v>06-Feb-25</c:v>
                  </c:pt>
                  <c:pt idx="35">
                    <c:v>07-Feb-25</c:v>
                  </c:pt>
                  <c:pt idx="36">
                    <c:v>08-Feb-25</c:v>
                  </c:pt>
                  <c:pt idx="37">
                    <c:v>09-Feb-25</c:v>
                  </c:pt>
                  <c:pt idx="38">
                    <c:v>10-Feb-25</c:v>
                  </c:pt>
                  <c:pt idx="39">
                    <c:v>11-Feb-25</c:v>
                  </c:pt>
                  <c:pt idx="40">
                    <c:v>12-Feb-25</c:v>
                  </c:pt>
                  <c:pt idx="41">
                    <c:v>13-Feb-25</c:v>
                  </c:pt>
                  <c:pt idx="42">
                    <c:v>14-Feb-25</c:v>
                  </c:pt>
                  <c:pt idx="43">
                    <c:v>15-Feb-25</c:v>
                  </c:pt>
                  <c:pt idx="44">
                    <c:v>16-Feb-25</c:v>
                  </c:pt>
                  <c:pt idx="45">
                    <c:v>17-Feb-25</c:v>
                  </c:pt>
                  <c:pt idx="46">
                    <c:v>18-Feb-25</c:v>
                  </c:pt>
                  <c:pt idx="47">
                    <c:v>19-Feb-25</c:v>
                  </c:pt>
                  <c:pt idx="48">
                    <c:v>20-Feb-25</c:v>
                  </c:pt>
                  <c:pt idx="49">
                    <c:v>21-Feb-25</c:v>
                  </c:pt>
                  <c:pt idx="50">
                    <c:v>22-Feb-25</c:v>
                  </c:pt>
                  <c:pt idx="51">
                    <c:v>23-Feb-25</c:v>
                  </c:pt>
                  <c:pt idx="52">
                    <c:v>24-Feb-25</c:v>
                  </c:pt>
                  <c:pt idx="53">
                    <c:v>25-Feb-25</c:v>
                  </c:pt>
                  <c:pt idx="54">
                    <c:v>26-Feb-25</c:v>
                  </c:pt>
                  <c:pt idx="55">
                    <c:v>27-Feb-25</c:v>
                  </c:pt>
                  <c:pt idx="56">
                    <c:v>28-Feb-25</c:v>
                  </c:pt>
                  <c:pt idx="57">
                    <c:v>01-Mar-25</c:v>
                  </c:pt>
                  <c:pt idx="58">
                    <c:v>02-Mar-25</c:v>
                  </c:pt>
                  <c:pt idx="59">
                    <c:v>03-Mar-25</c:v>
                  </c:pt>
                  <c:pt idx="60">
                    <c:v>04-Mar-25</c:v>
                  </c:pt>
                  <c:pt idx="61">
                    <c:v>05-Mar-25</c:v>
                  </c:pt>
                  <c:pt idx="62">
                    <c:v>06-Mar-25</c:v>
                  </c:pt>
                  <c:pt idx="63">
                    <c:v>07-Mar-25</c:v>
                  </c:pt>
                  <c:pt idx="64">
                    <c:v>08-Mar-25</c:v>
                  </c:pt>
                  <c:pt idx="65">
                    <c:v>09-Mar-25</c:v>
                  </c:pt>
                  <c:pt idx="66">
                    <c:v>10-Mar-25</c:v>
                  </c:pt>
                  <c:pt idx="67">
                    <c:v>11-Mar-25</c:v>
                  </c:pt>
                  <c:pt idx="68">
                    <c:v>12-Mar-25</c:v>
                  </c:pt>
                  <c:pt idx="69">
                    <c:v>13-Mar-25</c:v>
                  </c:pt>
                  <c:pt idx="70">
                    <c:v>14-Mar-25</c:v>
                  </c:pt>
                  <c:pt idx="71">
                    <c:v>15-Mar-25</c:v>
                  </c:pt>
                  <c:pt idx="72">
                    <c:v>16-Mar-25</c:v>
                  </c:pt>
                  <c:pt idx="73">
                    <c:v>17-Mar-25</c:v>
                  </c:pt>
                  <c:pt idx="74">
                    <c:v>18-Mar-25</c:v>
                  </c:pt>
                  <c:pt idx="75">
                    <c:v>19-Mar-25</c:v>
                  </c:pt>
                  <c:pt idx="76">
                    <c:v>20-Mar-25</c:v>
                  </c:pt>
                  <c:pt idx="77">
                    <c:v>21-Mar-25</c:v>
                  </c:pt>
                  <c:pt idx="78">
                    <c:v>22-Mar-25</c:v>
                  </c:pt>
                  <c:pt idx="79">
                    <c:v>23-Mar-25</c:v>
                  </c:pt>
                  <c:pt idx="80">
                    <c:v>24-Mar-25</c:v>
                  </c:pt>
                  <c:pt idx="81">
                    <c:v>25-Mar-25</c:v>
                  </c:pt>
                  <c:pt idx="82">
                    <c:v>26-Mar-25</c:v>
                  </c:pt>
                  <c:pt idx="83">
                    <c:v>27-Mar-25</c:v>
                  </c:pt>
                  <c:pt idx="84">
                    <c:v>28-Mar-25</c:v>
                  </c:pt>
                  <c:pt idx="85">
                    <c:v>29-Mar-25</c:v>
                  </c:pt>
                  <c:pt idx="86">
                    <c:v>30-Mar-25</c:v>
                  </c:pt>
                  <c:pt idx="87">
                    <c:v>31-Mar-25</c:v>
                  </c:pt>
                  <c:pt idx="88">
                    <c:v>01-Apr-25</c:v>
                  </c:pt>
                  <c:pt idx="89">
                    <c:v>02-Apr-25</c:v>
                  </c:pt>
                  <c:pt idx="90">
                    <c:v>03-Apr-25</c:v>
                  </c:pt>
                  <c:pt idx="91">
                    <c:v>04-Apr-25</c:v>
                  </c:pt>
                  <c:pt idx="92">
                    <c:v>05-Apr-25</c:v>
                  </c:pt>
                  <c:pt idx="93">
                    <c:v>06-Apr-25</c:v>
                  </c:pt>
                  <c:pt idx="94">
                    <c:v>07-Apr-25</c:v>
                  </c:pt>
                  <c:pt idx="95">
                    <c:v>08-Apr-25</c:v>
                  </c:pt>
                  <c:pt idx="96">
                    <c:v>09-Apr-25</c:v>
                  </c:pt>
                  <c:pt idx="97">
                    <c:v>10-Apr-25</c:v>
                  </c:pt>
                  <c:pt idx="98">
                    <c:v>11-Apr-25</c:v>
                  </c:pt>
                  <c:pt idx="99">
                    <c:v>12-Apr-25</c:v>
                  </c:pt>
                  <c:pt idx="100">
                    <c:v>13-Apr-25</c:v>
                  </c:pt>
                  <c:pt idx="101">
                    <c:v>14-Apr-25</c:v>
                  </c:pt>
                  <c:pt idx="102">
                    <c:v>15-Apr-25</c:v>
                  </c:pt>
                  <c:pt idx="103">
                    <c:v>16-Apr-25</c:v>
                  </c:pt>
                  <c:pt idx="104">
                    <c:v>17-Apr-25</c:v>
                  </c:pt>
                  <c:pt idx="105">
                    <c:v>18-Apr-25</c:v>
                  </c:pt>
                  <c:pt idx="106">
                    <c:v>19-Apr-25</c:v>
                  </c:pt>
                  <c:pt idx="107">
                    <c:v>20-Apr-25</c:v>
                  </c:pt>
                  <c:pt idx="108">
                    <c:v>21-Apr-25</c:v>
                  </c:pt>
                  <c:pt idx="109">
                    <c:v>22-Apr-25</c:v>
                  </c:pt>
                  <c:pt idx="110">
                    <c:v>23-Apr-25</c:v>
                  </c:pt>
                  <c:pt idx="111">
                    <c:v>24-Apr-25</c:v>
                  </c:pt>
                  <c:pt idx="112">
                    <c:v>25-Apr-25</c:v>
                  </c:pt>
                  <c:pt idx="113">
                    <c:v>26-Apr-25</c:v>
                  </c:pt>
                  <c:pt idx="114">
                    <c:v>27-Apr-25</c:v>
                  </c:pt>
                  <c:pt idx="115">
                    <c:v>28-Apr-25</c:v>
                  </c:pt>
                  <c:pt idx="116">
                    <c:v>29-Apr-25</c:v>
                  </c:pt>
                  <c:pt idx="117">
                    <c:v>30-Apr-25</c:v>
                  </c:pt>
                  <c:pt idx="118">
                    <c:v>01-May-25</c:v>
                  </c:pt>
                  <c:pt idx="119">
                    <c:v>02-May-25</c:v>
                  </c:pt>
                  <c:pt idx="120">
                    <c:v>03-May-25</c:v>
                  </c:pt>
                  <c:pt idx="121">
                    <c:v>04-May-25</c:v>
                  </c:pt>
                  <c:pt idx="122">
                    <c:v>05-May-25</c:v>
                  </c:pt>
                  <c:pt idx="123">
                    <c:v>06-May-25</c:v>
                  </c:pt>
                  <c:pt idx="124">
                    <c:v>07-May-25</c:v>
                  </c:pt>
                  <c:pt idx="125">
                    <c:v>08-May-25</c:v>
                  </c:pt>
                  <c:pt idx="126">
                    <c:v>09-May-25</c:v>
                  </c:pt>
                  <c:pt idx="127">
                    <c:v>10-May-25</c:v>
                  </c:pt>
                  <c:pt idx="128">
                    <c:v>11-May-25</c:v>
                  </c:pt>
                  <c:pt idx="129">
                    <c:v>12-May-25</c:v>
                  </c:pt>
                  <c:pt idx="130">
                    <c:v>13-May-25</c:v>
                  </c:pt>
                  <c:pt idx="131">
                    <c:v>14-May-25</c:v>
                  </c:pt>
                  <c:pt idx="132">
                    <c:v>15-May-25</c:v>
                  </c:pt>
                  <c:pt idx="133">
                    <c:v>16-May-25</c:v>
                  </c:pt>
                  <c:pt idx="134">
                    <c:v>17-May-25</c:v>
                  </c:pt>
                  <c:pt idx="135">
                    <c:v>18-May-25</c:v>
                  </c:pt>
                  <c:pt idx="136">
                    <c:v>19-May-25</c:v>
                  </c:pt>
                  <c:pt idx="137">
                    <c:v>20-May-25</c:v>
                  </c:pt>
                  <c:pt idx="138">
                    <c:v>21-May-25</c:v>
                  </c:pt>
                  <c:pt idx="139">
                    <c:v>22-May-25</c:v>
                  </c:pt>
                  <c:pt idx="140">
                    <c:v>23-May-25</c:v>
                  </c:pt>
                  <c:pt idx="141">
                    <c:v>24-May-25</c:v>
                  </c:pt>
                  <c:pt idx="142">
                    <c:v>25-May-25</c:v>
                  </c:pt>
                  <c:pt idx="143">
                    <c:v>26-May-25</c:v>
                  </c:pt>
                  <c:pt idx="144">
                    <c:v>27-May-25</c:v>
                  </c:pt>
                  <c:pt idx="145">
                    <c:v>28-May-25</c:v>
                  </c:pt>
                  <c:pt idx="146">
                    <c:v>29-May-25</c:v>
                  </c:pt>
                  <c:pt idx="147">
                    <c:v>30-May-25</c:v>
                  </c:pt>
                  <c:pt idx="148">
                    <c:v>31-May-25</c:v>
                  </c:pt>
                  <c:pt idx="149">
                    <c:v>01-Jun-25</c:v>
                  </c:pt>
                  <c:pt idx="150">
                    <c:v>02-Jun-25</c:v>
                  </c:pt>
                  <c:pt idx="151">
                    <c:v>03-Jun-25</c:v>
                  </c:pt>
                  <c:pt idx="152">
                    <c:v>04-Jun-25</c:v>
                  </c:pt>
                  <c:pt idx="153">
                    <c:v>05-Jun-25</c:v>
                  </c:pt>
                  <c:pt idx="154">
                    <c:v>06-Jun-25</c:v>
                  </c:pt>
                  <c:pt idx="155">
                    <c:v>07-Jun-25</c:v>
                  </c:pt>
                  <c:pt idx="156">
                    <c:v>08-Jun-25</c:v>
                  </c:pt>
                  <c:pt idx="157">
                    <c:v>09-Jun-25</c:v>
                  </c:pt>
                  <c:pt idx="158">
                    <c:v>10-Jun-25</c:v>
                  </c:pt>
                  <c:pt idx="159">
                    <c:v>11-Jun-25</c:v>
                  </c:pt>
                  <c:pt idx="160">
                    <c:v>12-Jun-25</c:v>
                  </c:pt>
                  <c:pt idx="161">
                    <c:v>13-Jun-25</c:v>
                  </c:pt>
                  <c:pt idx="162">
                    <c:v>14-Jun-25</c:v>
                  </c:pt>
                  <c:pt idx="163">
                    <c:v>15-Jun-25</c:v>
                  </c:pt>
                  <c:pt idx="164">
                    <c:v>16-Jun-25</c:v>
                  </c:pt>
                  <c:pt idx="165">
                    <c:v>17-Jun-25</c:v>
                  </c:pt>
                  <c:pt idx="166">
                    <c:v>18-Jun-25</c:v>
                  </c:pt>
                  <c:pt idx="167">
                    <c:v>19-Jun-25</c:v>
                  </c:pt>
                  <c:pt idx="168">
                    <c:v>20-Jun-25</c:v>
                  </c:pt>
                  <c:pt idx="169">
                    <c:v>21-Jun-25</c:v>
                  </c:pt>
                  <c:pt idx="170">
                    <c:v>22-Jun-25</c:v>
                  </c:pt>
                  <c:pt idx="171">
                    <c:v>23-Jun-25</c:v>
                  </c:pt>
                  <c:pt idx="172">
                    <c:v>24-Jun-25</c:v>
                  </c:pt>
                  <c:pt idx="173">
                    <c:v>25-Jun-25</c:v>
                  </c:pt>
                  <c:pt idx="174">
                    <c:v>26-Jun-25</c:v>
                  </c:pt>
                  <c:pt idx="175">
                    <c:v>27-Jun-25</c:v>
                  </c:pt>
                  <c:pt idx="176">
                    <c:v>28-Jun-25</c:v>
                  </c:pt>
                  <c:pt idx="177">
                    <c:v>29-Jun-25</c:v>
                  </c:pt>
                  <c:pt idx="178">
                    <c:v>30-Jun-25</c:v>
                  </c:pt>
                  <c:pt idx="179">
                    <c:v>01-Jul-25</c:v>
                  </c:pt>
                  <c:pt idx="180">
                    <c:v>02-Jul-25</c:v>
                  </c:pt>
                  <c:pt idx="181">
                    <c:v>03-Jul-25</c:v>
                  </c:pt>
                  <c:pt idx="182">
                    <c:v>04-Jul-25</c:v>
                  </c:pt>
                </c:lvl>
                <c:lvl>
                  <c:pt idx="0">
                    <c:v>03-Jan</c:v>
                  </c:pt>
                  <c:pt idx="1">
                    <c:v>04-Jan</c:v>
                  </c:pt>
                  <c:pt idx="2">
                    <c:v>05-Jan</c:v>
                  </c:pt>
                  <c:pt idx="3">
                    <c:v>06-Jan</c:v>
                  </c:pt>
                  <c:pt idx="4">
                    <c:v>07-Jan</c:v>
                  </c:pt>
                  <c:pt idx="5">
                    <c:v>08-Jan</c:v>
                  </c:pt>
                  <c:pt idx="6">
                    <c:v>09-Jan</c:v>
                  </c:pt>
                  <c:pt idx="7">
                    <c:v>10-Jan</c:v>
                  </c:pt>
                  <c:pt idx="8">
                    <c:v>11-Jan</c:v>
                  </c:pt>
                  <c:pt idx="9">
                    <c:v>12-Jan</c:v>
                  </c:pt>
                  <c:pt idx="10">
                    <c:v>13-Jan</c:v>
                  </c:pt>
                  <c:pt idx="11">
                    <c:v>14-Jan</c:v>
                  </c:pt>
                  <c:pt idx="12">
                    <c:v>15-Jan</c:v>
                  </c:pt>
                  <c:pt idx="13">
                    <c:v>16-Jan</c:v>
                  </c:pt>
                  <c:pt idx="14">
                    <c:v>17-Jan</c:v>
                  </c:pt>
                  <c:pt idx="15">
                    <c:v>18-Jan</c:v>
                  </c:pt>
                  <c:pt idx="16">
                    <c:v>19-Jan</c:v>
                  </c:pt>
                  <c:pt idx="17">
                    <c:v>20-Jan</c:v>
                  </c:pt>
                  <c:pt idx="18">
                    <c:v>21-Jan</c:v>
                  </c:pt>
                  <c:pt idx="19">
                    <c:v>22-Jan</c:v>
                  </c:pt>
                  <c:pt idx="20">
                    <c:v>23-Jan</c:v>
                  </c:pt>
                  <c:pt idx="21">
                    <c:v>24-Jan</c:v>
                  </c:pt>
                  <c:pt idx="22">
                    <c:v>25-Jan</c:v>
                  </c:pt>
                  <c:pt idx="23">
                    <c:v>26-Jan</c:v>
                  </c:pt>
                  <c:pt idx="24">
                    <c:v>27-Jan</c:v>
                  </c:pt>
                  <c:pt idx="25">
                    <c:v>28-Jan</c:v>
                  </c:pt>
                  <c:pt idx="26">
                    <c:v>29-Jan</c:v>
                  </c:pt>
                  <c:pt idx="27">
                    <c:v>30-Jan</c:v>
                  </c:pt>
                  <c:pt idx="28">
                    <c:v>31-Jan</c:v>
                  </c:pt>
                  <c:pt idx="29">
                    <c:v>01-Feb</c:v>
                  </c:pt>
                  <c:pt idx="30">
                    <c:v>02-Feb</c:v>
                  </c:pt>
                  <c:pt idx="31">
                    <c:v>03-Feb</c:v>
                  </c:pt>
                  <c:pt idx="32">
                    <c:v>04-Feb</c:v>
                  </c:pt>
                  <c:pt idx="33">
                    <c:v>05-Feb</c:v>
                  </c:pt>
                  <c:pt idx="34">
                    <c:v>06-Feb</c:v>
                  </c:pt>
                  <c:pt idx="35">
                    <c:v>07-Feb</c:v>
                  </c:pt>
                  <c:pt idx="36">
                    <c:v>08-Feb</c:v>
                  </c:pt>
                  <c:pt idx="37">
                    <c:v>09-Feb</c:v>
                  </c:pt>
                  <c:pt idx="38">
                    <c:v>10-Feb</c:v>
                  </c:pt>
                  <c:pt idx="39">
                    <c:v>11-Feb</c:v>
                  </c:pt>
                  <c:pt idx="40">
                    <c:v>12-Feb</c:v>
                  </c:pt>
                  <c:pt idx="41">
                    <c:v>13-Feb</c:v>
                  </c:pt>
                  <c:pt idx="42">
                    <c:v>14-Feb</c:v>
                  </c:pt>
                  <c:pt idx="43">
                    <c:v>15-Feb</c:v>
                  </c:pt>
                  <c:pt idx="44">
                    <c:v>16-Feb</c:v>
                  </c:pt>
                  <c:pt idx="45">
                    <c:v>17-Feb</c:v>
                  </c:pt>
                  <c:pt idx="46">
                    <c:v>18-Feb</c:v>
                  </c:pt>
                  <c:pt idx="47">
                    <c:v>19-Feb</c:v>
                  </c:pt>
                  <c:pt idx="48">
                    <c:v>20-Feb</c:v>
                  </c:pt>
                  <c:pt idx="49">
                    <c:v>21-Feb</c:v>
                  </c:pt>
                  <c:pt idx="50">
                    <c:v>22-Feb</c:v>
                  </c:pt>
                  <c:pt idx="51">
                    <c:v>23-Feb</c:v>
                  </c:pt>
                  <c:pt idx="52">
                    <c:v>24-Feb</c:v>
                  </c:pt>
                  <c:pt idx="53">
                    <c:v>25-Feb</c:v>
                  </c:pt>
                  <c:pt idx="54">
                    <c:v>26-Feb</c:v>
                  </c:pt>
                  <c:pt idx="55">
                    <c:v>27-Feb</c:v>
                  </c:pt>
                  <c:pt idx="56">
                    <c:v>28-Feb</c:v>
                  </c:pt>
                  <c:pt idx="57">
                    <c:v>01-Mar</c:v>
                  </c:pt>
                  <c:pt idx="58">
                    <c:v>02-Mar</c:v>
                  </c:pt>
                  <c:pt idx="59">
                    <c:v>03-Mar</c:v>
                  </c:pt>
                  <c:pt idx="60">
                    <c:v>04-Mar</c:v>
                  </c:pt>
                  <c:pt idx="61">
                    <c:v>05-Mar</c:v>
                  </c:pt>
                  <c:pt idx="62">
                    <c:v>06-Mar</c:v>
                  </c:pt>
                  <c:pt idx="63">
                    <c:v>07-Mar</c:v>
                  </c:pt>
                  <c:pt idx="64">
                    <c:v>08-Mar</c:v>
                  </c:pt>
                  <c:pt idx="65">
                    <c:v>09-Mar</c:v>
                  </c:pt>
                  <c:pt idx="66">
                    <c:v>10-Mar</c:v>
                  </c:pt>
                  <c:pt idx="67">
                    <c:v>11-Mar</c:v>
                  </c:pt>
                  <c:pt idx="68">
                    <c:v>12-Mar</c:v>
                  </c:pt>
                  <c:pt idx="69">
                    <c:v>13-Mar</c:v>
                  </c:pt>
                  <c:pt idx="70">
                    <c:v>14-Mar</c:v>
                  </c:pt>
                  <c:pt idx="71">
                    <c:v>15-Mar</c:v>
                  </c:pt>
                  <c:pt idx="72">
                    <c:v>16-Mar</c:v>
                  </c:pt>
                  <c:pt idx="73">
                    <c:v>17-Mar</c:v>
                  </c:pt>
                  <c:pt idx="74">
                    <c:v>18-Mar</c:v>
                  </c:pt>
                  <c:pt idx="75">
                    <c:v>19-Mar</c:v>
                  </c:pt>
                  <c:pt idx="76">
                    <c:v>20-Mar</c:v>
                  </c:pt>
                  <c:pt idx="77">
                    <c:v>21-Mar</c:v>
                  </c:pt>
                  <c:pt idx="78">
                    <c:v>22-Mar</c:v>
                  </c:pt>
                  <c:pt idx="79">
                    <c:v>23-Mar</c:v>
                  </c:pt>
                  <c:pt idx="80">
                    <c:v>24-Mar</c:v>
                  </c:pt>
                  <c:pt idx="81">
                    <c:v>25-Mar</c:v>
                  </c:pt>
                  <c:pt idx="82">
                    <c:v>26-Mar</c:v>
                  </c:pt>
                  <c:pt idx="83">
                    <c:v>27-Mar</c:v>
                  </c:pt>
                  <c:pt idx="84">
                    <c:v>28-Mar</c:v>
                  </c:pt>
                  <c:pt idx="85">
                    <c:v>29-Mar</c:v>
                  </c:pt>
                  <c:pt idx="86">
                    <c:v>30-Mar</c:v>
                  </c:pt>
                  <c:pt idx="87">
                    <c:v>31-Mar</c:v>
                  </c:pt>
                  <c:pt idx="88">
                    <c:v>01-Apr</c:v>
                  </c:pt>
                  <c:pt idx="89">
                    <c:v>02-Apr</c:v>
                  </c:pt>
                  <c:pt idx="90">
                    <c:v>03-Apr</c:v>
                  </c:pt>
                  <c:pt idx="91">
                    <c:v>04-Apr</c:v>
                  </c:pt>
                  <c:pt idx="92">
                    <c:v>05-Apr</c:v>
                  </c:pt>
                  <c:pt idx="93">
                    <c:v>06-Apr</c:v>
                  </c:pt>
                  <c:pt idx="94">
                    <c:v>07-Apr</c:v>
                  </c:pt>
                  <c:pt idx="95">
                    <c:v>08-Apr</c:v>
                  </c:pt>
                  <c:pt idx="96">
                    <c:v>09-Apr</c:v>
                  </c:pt>
                  <c:pt idx="97">
                    <c:v>10-Apr</c:v>
                  </c:pt>
                  <c:pt idx="98">
                    <c:v>11-Apr</c:v>
                  </c:pt>
                  <c:pt idx="99">
                    <c:v>12-Apr</c:v>
                  </c:pt>
                  <c:pt idx="100">
                    <c:v>13-Apr</c:v>
                  </c:pt>
                  <c:pt idx="101">
                    <c:v>14-Apr</c:v>
                  </c:pt>
                  <c:pt idx="102">
                    <c:v>15-Apr</c:v>
                  </c:pt>
                  <c:pt idx="103">
                    <c:v>16-Apr</c:v>
                  </c:pt>
                  <c:pt idx="104">
                    <c:v>17-Apr</c:v>
                  </c:pt>
                  <c:pt idx="105">
                    <c:v>18-Apr</c:v>
                  </c:pt>
                  <c:pt idx="106">
                    <c:v>19-Apr</c:v>
                  </c:pt>
                  <c:pt idx="107">
                    <c:v>20-Apr</c:v>
                  </c:pt>
                  <c:pt idx="108">
                    <c:v>21-Apr</c:v>
                  </c:pt>
                  <c:pt idx="109">
                    <c:v>22-Apr</c:v>
                  </c:pt>
                  <c:pt idx="110">
                    <c:v>23-Apr</c:v>
                  </c:pt>
                  <c:pt idx="111">
                    <c:v>24-Apr</c:v>
                  </c:pt>
                  <c:pt idx="112">
                    <c:v>25-Apr</c:v>
                  </c:pt>
                  <c:pt idx="113">
                    <c:v>26-Apr</c:v>
                  </c:pt>
                  <c:pt idx="114">
                    <c:v>27-Apr</c:v>
                  </c:pt>
                  <c:pt idx="115">
                    <c:v>28-Apr</c:v>
                  </c:pt>
                  <c:pt idx="116">
                    <c:v>29-Apr</c:v>
                  </c:pt>
                  <c:pt idx="117">
                    <c:v>30-Apr</c:v>
                  </c:pt>
                  <c:pt idx="118">
                    <c:v>01-May</c:v>
                  </c:pt>
                  <c:pt idx="119">
                    <c:v>02-May</c:v>
                  </c:pt>
                  <c:pt idx="120">
                    <c:v>03-May</c:v>
                  </c:pt>
                  <c:pt idx="121">
                    <c:v>04-May</c:v>
                  </c:pt>
                  <c:pt idx="122">
                    <c:v>05-May</c:v>
                  </c:pt>
                  <c:pt idx="123">
                    <c:v>06-May</c:v>
                  </c:pt>
                  <c:pt idx="124">
                    <c:v>07-May</c:v>
                  </c:pt>
                  <c:pt idx="125">
                    <c:v>08-May</c:v>
                  </c:pt>
                  <c:pt idx="126">
                    <c:v>09-May</c:v>
                  </c:pt>
                  <c:pt idx="127">
                    <c:v>10-May</c:v>
                  </c:pt>
                  <c:pt idx="128">
                    <c:v>11-May</c:v>
                  </c:pt>
                  <c:pt idx="129">
                    <c:v>12-May</c:v>
                  </c:pt>
                  <c:pt idx="130">
                    <c:v>13-May</c:v>
                  </c:pt>
                  <c:pt idx="131">
                    <c:v>14-May</c:v>
                  </c:pt>
                  <c:pt idx="132">
                    <c:v>15-May</c:v>
                  </c:pt>
                  <c:pt idx="133">
                    <c:v>16-May</c:v>
                  </c:pt>
                  <c:pt idx="134">
                    <c:v>17-May</c:v>
                  </c:pt>
                  <c:pt idx="135">
                    <c:v>18-May</c:v>
                  </c:pt>
                  <c:pt idx="136">
                    <c:v>19-May</c:v>
                  </c:pt>
                  <c:pt idx="137">
                    <c:v>20-May</c:v>
                  </c:pt>
                  <c:pt idx="138">
                    <c:v>21-May</c:v>
                  </c:pt>
                  <c:pt idx="139">
                    <c:v>22-May</c:v>
                  </c:pt>
                  <c:pt idx="140">
                    <c:v>23-May</c:v>
                  </c:pt>
                  <c:pt idx="141">
                    <c:v>24-May</c:v>
                  </c:pt>
                  <c:pt idx="142">
                    <c:v>25-May</c:v>
                  </c:pt>
                  <c:pt idx="143">
                    <c:v>26-May</c:v>
                  </c:pt>
                  <c:pt idx="144">
                    <c:v>27-May</c:v>
                  </c:pt>
                  <c:pt idx="145">
                    <c:v>28-May</c:v>
                  </c:pt>
                  <c:pt idx="146">
                    <c:v>29-May</c:v>
                  </c:pt>
                  <c:pt idx="147">
                    <c:v>30-May</c:v>
                  </c:pt>
                  <c:pt idx="148">
                    <c:v>31-May</c:v>
                  </c:pt>
                  <c:pt idx="149">
                    <c:v>01-Jun</c:v>
                  </c:pt>
                  <c:pt idx="150">
                    <c:v>02-Jun</c:v>
                  </c:pt>
                  <c:pt idx="151">
                    <c:v>03-Jun</c:v>
                  </c:pt>
                  <c:pt idx="152">
                    <c:v>04-Jun</c:v>
                  </c:pt>
                  <c:pt idx="153">
                    <c:v>05-Jun</c:v>
                  </c:pt>
                  <c:pt idx="154">
                    <c:v>06-Jun</c:v>
                  </c:pt>
                  <c:pt idx="155">
                    <c:v>07-Jun</c:v>
                  </c:pt>
                  <c:pt idx="156">
                    <c:v>08-Jun</c:v>
                  </c:pt>
                  <c:pt idx="157">
                    <c:v>09-Jun</c:v>
                  </c:pt>
                  <c:pt idx="158">
                    <c:v>10-Jun</c:v>
                  </c:pt>
                  <c:pt idx="159">
                    <c:v>11-Jun</c:v>
                  </c:pt>
                  <c:pt idx="160">
                    <c:v>12-Jun</c:v>
                  </c:pt>
                  <c:pt idx="161">
                    <c:v>13-Jun</c:v>
                  </c:pt>
                  <c:pt idx="162">
                    <c:v>14-Jun</c:v>
                  </c:pt>
                  <c:pt idx="163">
                    <c:v>15-Jun</c:v>
                  </c:pt>
                  <c:pt idx="164">
                    <c:v>16-Jun</c:v>
                  </c:pt>
                  <c:pt idx="165">
                    <c:v>17-Jun</c:v>
                  </c:pt>
                  <c:pt idx="166">
                    <c:v>18-Jun</c:v>
                  </c:pt>
                  <c:pt idx="167">
                    <c:v>19-Jun</c:v>
                  </c:pt>
                  <c:pt idx="168">
                    <c:v>20-Jun</c:v>
                  </c:pt>
                  <c:pt idx="169">
                    <c:v>21-Jun</c:v>
                  </c:pt>
                  <c:pt idx="170">
                    <c:v>22-Jun</c:v>
                  </c:pt>
                  <c:pt idx="171">
                    <c:v>23-Jun</c:v>
                  </c:pt>
                  <c:pt idx="172">
                    <c:v>24-Jun</c:v>
                  </c:pt>
                  <c:pt idx="173">
                    <c:v>25-Jun</c:v>
                  </c:pt>
                  <c:pt idx="174">
                    <c:v>26-Jun</c:v>
                  </c:pt>
                  <c:pt idx="175">
                    <c:v>27-Jun</c:v>
                  </c:pt>
                  <c:pt idx="176">
                    <c:v>28-Jun</c:v>
                  </c:pt>
                  <c:pt idx="177">
                    <c:v>29-Jun</c:v>
                  </c:pt>
                  <c:pt idx="178">
                    <c:v>30-Jun</c:v>
                  </c:pt>
                  <c:pt idx="179">
                    <c:v>01-Jul</c:v>
                  </c:pt>
                  <c:pt idx="180">
                    <c:v>02-Jul</c:v>
                  </c:pt>
                  <c:pt idx="181">
                    <c:v>03-Jul</c:v>
                  </c:pt>
                  <c:pt idx="182">
                    <c:v>04-Jul</c:v>
                  </c:pt>
                </c:lvl>
                <c:lvl>
                  <c:pt idx="0">
                    <c:v>Jan</c:v>
                  </c:pt>
                  <c:pt idx="29">
                    <c:v>Feb</c:v>
                  </c:pt>
                  <c:pt idx="57">
                    <c:v>Mar</c:v>
                  </c:pt>
                  <c:pt idx="88">
                    <c:v>Apr</c:v>
                  </c:pt>
                  <c:pt idx="118">
                    <c:v>May</c:v>
                  </c:pt>
                  <c:pt idx="149">
                    <c:v>Jun</c:v>
                  </c:pt>
                  <c:pt idx="179">
                    <c:v>Jul</c:v>
                  </c:pt>
                </c:lvl>
              </c:multiLvlStrCache>
            </c:multiLvlStrRef>
          </c:cat>
          <c:val>
            <c:numRef>
              <c:f>'Q11'!$F$5:$F$377</c:f>
              <c:numCache>
                <c:formatCode>0,"K"</c:formatCode>
                <c:ptCount val="183"/>
                <c:pt idx="0">
                  <c:v>25479.48</c:v>
                </c:pt>
                <c:pt idx="1">
                  <c:v>6266.4</c:v>
                </c:pt>
                <c:pt idx="2">
                  <c:v>8586.82</c:v>
                </c:pt>
                <c:pt idx="3">
                  <c:v>10560.84</c:v>
                </c:pt>
                <c:pt idx="4">
                  <c:v>11801.42</c:v>
                </c:pt>
                <c:pt idx="5">
                  <c:v>28353.34</c:v>
                </c:pt>
                <c:pt idx="7">
                  <c:v>6387.43</c:v>
                </c:pt>
                <c:pt idx="8">
                  <c:v>1911.55</c:v>
                </c:pt>
                <c:pt idx="9">
                  <c:v>2210.52</c:v>
                </c:pt>
                <c:pt idx="10">
                  <c:v>11524.52</c:v>
                </c:pt>
                <c:pt idx="11">
                  <c:v>2625.26</c:v>
                </c:pt>
                <c:pt idx="12">
                  <c:v>11744.83</c:v>
                </c:pt>
                <c:pt idx="13">
                  <c:v>12531.550000000001</c:v>
                </c:pt>
                <c:pt idx="14">
                  <c:v>10242.220000000001</c:v>
                </c:pt>
                <c:pt idx="15">
                  <c:v>8705.130000000001</c:v>
                </c:pt>
                <c:pt idx="16">
                  <c:v>25723.980000000003</c:v>
                </c:pt>
                <c:pt idx="17">
                  <c:v>10625.880000000001</c:v>
                </c:pt>
                <c:pt idx="18">
                  <c:v>12801.63</c:v>
                </c:pt>
                <c:pt idx="19">
                  <c:v>15675.47</c:v>
                </c:pt>
                <c:pt idx="20">
                  <c:v>10080.759999999998</c:v>
                </c:pt>
                <c:pt idx="21">
                  <c:v>6893.31</c:v>
                </c:pt>
                <c:pt idx="22">
                  <c:v>37522.39</c:v>
                </c:pt>
                <c:pt idx="23">
                  <c:v>20940.759999999998</c:v>
                </c:pt>
                <c:pt idx="25">
                  <c:v>12290.74</c:v>
                </c:pt>
                <c:pt idx="27">
                  <c:v>15369.8</c:v>
                </c:pt>
                <c:pt idx="28">
                  <c:v>5862.02</c:v>
                </c:pt>
                <c:pt idx="29">
                  <c:v>14518.31</c:v>
                </c:pt>
                <c:pt idx="30">
                  <c:v>27008.28</c:v>
                </c:pt>
                <c:pt idx="31">
                  <c:v>6422.63</c:v>
                </c:pt>
                <c:pt idx="32">
                  <c:v>17107.48</c:v>
                </c:pt>
                <c:pt idx="33">
                  <c:v>379.16</c:v>
                </c:pt>
                <c:pt idx="34">
                  <c:v>11319.5</c:v>
                </c:pt>
                <c:pt idx="35">
                  <c:v>5560.89</c:v>
                </c:pt>
                <c:pt idx="36">
                  <c:v>14580.45</c:v>
                </c:pt>
                <c:pt idx="37">
                  <c:v>9522.59</c:v>
                </c:pt>
                <c:pt idx="38">
                  <c:v>29649.73</c:v>
                </c:pt>
                <c:pt idx="39">
                  <c:v>2383.44</c:v>
                </c:pt>
                <c:pt idx="40">
                  <c:v>10366.36</c:v>
                </c:pt>
                <c:pt idx="41">
                  <c:v>18055.03</c:v>
                </c:pt>
                <c:pt idx="42">
                  <c:v>6973.67</c:v>
                </c:pt>
                <c:pt idx="44">
                  <c:v>3010.18</c:v>
                </c:pt>
                <c:pt idx="45">
                  <c:v>1739.3</c:v>
                </c:pt>
                <c:pt idx="46">
                  <c:v>1323.65</c:v>
                </c:pt>
                <c:pt idx="47">
                  <c:v>16626.660000000003</c:v>
                </c:pt>
                <c:pt idx="48">
                  <c:v>27332.370000000003</c:v>
                </c:pt>
                <c:pt idx="49">
                  <c:v>8337.5400000000009</c:v>
                </c:pt>
                <c:pt idx="50">
                  <c:v>29959.010000000002</c:v>
                </c:pt>
                <c:pt idx="51">
                  <c:v>25572.38</c:v>
                </c:pt>
                <c:pt idx="52">
                  <c:v>16557.3</c:v>
                </c:pt>
                <c:pt idx="53">
                  <c:v>9212.56</c:v>
                </c:pt>
                <c:pt idx="54">
                  <c:v>30533.920000000002</c:v>
                </c:pt>
                <c:pt idx="55">
                  <c:v>21266.65</c:v>
                </c:pt>
                <c:pt idx="56">
                  <c:v>9827.07</c:v>
                </c:pt>
                <c:pt idx="57">
                  <c:v>21571.97</c:v>
                </c:pt>
                <c:pt idx="58">
                  <c:v>21131.71</c:v>
                </c:pt>
                <c:pt idx="59">
                  <c:v>17696.900000000001</c:v>
                </c:pt>
                <c:pt idx="60">
                  <c:v>14606.57</c:v>
                </c:pt>
                <c:pt idx="62">
                  <c:v>25056.98</c:v>
                </c:pt>
                <c:pt idx="63">
                  <c:v>8051.65</c:v>
                </c:pt>
                <c:pt idx="64">
                  <c:v>32204.729999999996</c:v>
                </c:pt>
                <c:pt idx="65">
                  <c:v>34270.550000000003</c:v>
                </c:pt>
                <c:pt idx="66">
                  <c:v>35106.93</c:v>
                </c:pt>
                <c:pt idx="67">
                  <c:v>3018.49</c:v>
                </c:pt>
                <c:pt idx="68">
                  <c:v>4181.45</c:v>
                </c:pt>
                <c:pt idx="70">
                  <c:v>33120.86</c:v>
                </c:pt>
                <c:pt idx="71">
                  <c:v>1817.66</c:v>
                </c:pt>
                <c:pt idx="73">
                  <c:v>23578.02</c:v>
                </c:pt>
                <c:pt idx="75">
                  <c:v>990.58</c:v>
                </c:pt>
                <c:pt idx="78">
                  <c:v>20605.59</c:v>
                </c:pt>
                <c:pt idx="79">
                  <c:v>12506.62</c:v>
                </c:pt>
                <c:pt idx="80">
                  <c:v>58251.08</c:v>
                </c:pt>
                <c:pt idx="81">
                  <c:v>3111.73</c:v>
                </c:pt>
                <c:pt idx="83">
                  <c:v>3445.01</c:v>
                </c:pt>
                <c:pt idx="84">
                  <c:v>6489.03</c:v>
                </c:pt>
                <c:pt idx="85">
                  <c:v>315.43</c:v>
                </c:pt>
                <c:pt idx="87">
                  <c:v>15081.91</c:v>
                </c:pt>
                <c:pt idx="88">
                  <c:v>16874.349999999999</c:v>
                </c:pt>
                <c:pt idx="89">
                  <c:v>15563.099999999999</c:v>
                </c:pt>
                <c:pt idx="90">
                  <c:v>11695.2</c:v>
                </c:pt>
                <c:pt idx="91">
                  <c:v>3037.84</c:v>
                </c:pt>
                <c:pt idx="92">
                  <c:v>4142.03</c:v>
                </c:pt>
                <c:pt idx="94">
                  <c:v>2311.1999999999998</c:v>
                </c:pt>
                <c:pt idx="96">
                  <c:v>11657.55</c:v>
                </c:pt>
                <c:pt idx="98">
                  <c:v>43524</c:v>
                </c:pt>
                <c:pt idx="101">
                  <c:v>1598.81</c:v>
                </c:pt>
                <c:pt idx="102">
                  <c:v>9160.9399999999987</c:v>
                </c:pt>
                <c:pt idx="104">
                  <c:v>5710.38</c:v>
                </c:pt>
                <c:pt idx="105">
                  <c:v>13394.519999999999</c:v>
                </c:pt>
                <c:pt idx="107">
                  <c:v>64356.81</c:v>
                </c:pt>
                <c:pt idx="108">
                  <c:v>36020.129999999997</c:v>
                </c:pt>
                <c:pt idx="109">
                  <c:v>8222.02</c:v>
                </c:pt>
                <c:pt idx="111">
                  <c:v>3907.1900000000005</c:v>
                </c:pt>
                <c:pt idx="112">
                  <c:v>38514.25</c:v>
                </c:pt>
                <c:pt idx="113">
                  <c:v>6532.62</c:v>
                </c:pt>
                <c:pt idx="115">
                  <c:v>37735.22</c:v>
                </c:pt>
                <c:pt idx="116">
                  <c:v>18577.88</c:v>
                </c:pt>
                <c:pt idx="117">
                  <c:v>14804.25</c:v>
                </c:pt>
                <c:pt idx="118">
                  <c:v>11217.28</c:v>
                </c:pt>
                <c:pt idx="120">
                  <c:v>3142.6</c:v>
                </c:pt>
                <c:pt idx="121">
                  <c:v>6755.08</c:v>
                </c:pt>
                <c:pt idx="122">
                  <c:v>26919.950000000004</c:v>
                </c:pt>
                <c:pt idx="124">
                  <c:v>13449.17</c:v>
                </c:pt>
                <c:pt idx="125">
                  <c:v>14100.54</c:v>
                </c:pt>
                <c:pt idx="126">
                  <c:v>31116.15</c:v>
                </c:pt>
                <c:pt idx="127">
                  <c:v>3928.42</c:v>
                </c:pt>
                <c:pt idx="128">
                  <c:v>34116.730000000003</c:v>
                </c:pt>
                <c:pt idx="130">
                  <c:v>20538.8</c:v>
                </c:pt>
                <c:pt idx="131">
                  <c:v>6454.01</c:v>
                </c:pt>
                <c:pt idx="132">
                  <c:v>19655.150000000001</c:v>
                </c:pt>
                <c:pt idx="133">
                  <c:v>8524.9600000000009</c:v>
                </c:pt>
                <c:pt idx="135">
                  <c:v>23193.05</c:v>
                </c:pt>
                <c:pt idx="136">
                  <c:v>2275.09</c:v>
                </c:pt>
                <c:pt idx="137">
                  <c:v>4953.07</c:v>
                </c:pt>
                <c:pt idx="138">
                  <c:v>4468.6400000000003</c:v>
                </c:pt>
                <c:pt idx="139">
                  <c:v>46200.71</c:v>
                </c:pt>
                <c:pt idx="141">
                  <c:v>7369.02</c:v>
                </c:pt>
                <c:pt idx="143">
                  <c:v>12135.8</c:v>
                </c:pt>
                <c:pt idx="144">
                  <c:v>6692.13</c:v>
                </c:pt>
                <c:pt idx="145">
                  <c:v>2377.7399999999998</c:v>
                </c:pt>
                <c:pt idx="146">
                  <c:v>10685.89</c:v>
                </c:pt>
                <c:pt idx="147">
                  <c:v>24988.39</c:v>
                </c:pt>
                <c:pt idx="149">
                  <c:v>1260.46</c:v>
                </c:pt>
                <c:pt idx="150">
                  <c:v>1402.79</c:v>
                </c:pt>
                <c:pt idx="151">
                  <c:v>5639.55</c:v>
                </c:pt>
                <c:pt idx="152">
                  <c:v>15916.380000000001</c:v>
                </c:pt>
                <c:pt idx="154">
                  <c:v>2952.98</c:v>
                </c:pt>
                <c:pt idx="155">
                  <c:v>18167.419999999998</c:v>
                </c:pt>
                <c:pt idx="156">
                  <c:v>27943.51</c:v>
                </c:pt>
                <c:pt idx="158">
                  <c:v>15557.599999999999</c:v>
                </c:pt>
                <c:pt idx="159">
                  <c:v>16342.359999999999</c:v>
                </c:pt>
                <c:pt idx="160">
                  <c:v>9567.32</c:v>
                </c:pt>
                <c:pt idx="161">
                  <c:v>26420.22</c:v>
                </c:pt>
                <c:pt idx="162">
                  <c:v>12018.94</c:v>
                </c:pt>
                <c:pt idx="164">
                  <c:v>16984.010000000002</c:v>
                </c:pt>
                <c:pt idx="165">
                  <c:v>15889.35</c:v>
                </c:pt>
                <c:pt idx="167">
                  <c:v>44892.03</c:v>
                </c:pt>
                <c:pt idx="169">
                  <c:v>92.68</c:v>
                </c:pt>
                <c:pt idx="170">
                  <c:v>8864.49</c:v>
                </c:pt>
                <c:pt idx="171">
                  <c:v>18384.419999999998</c:v>
                </c:pt>
                <c:pt idx="175">
                  <c:v>16416.37</c:v>
                </c:pt>
                <c:pt idx="176">
                  <c:v>11298.11</c:v>
                </c:pt>
                <c:pt idx="177">
                  <c:v>8947.93</c:v>
                </c:pt>
                <c:pt idx="178">
                  <c:v>16168.92</c:v>
                </c:pt>
                <c:pt idx="179">
                  <c:v>5266.81</c:v>
                </c:pt>
                <c:pt idx="180">
                  <c:v>28556.1</c:v>
                </c:pt>
                <c:pt idx="182">
                  <c:v>27977.019999999997</c:v>
                </c:pt>
              </c:numCache>
            </c:numRef>
          </c:val>
          <c:smooth val="0"/>
          <c:extLst>
            <c:ext xmlns:c16="http://schemas.microsoft.com/office/drawing/2014/chart" uri="{C3380CC4-5D6E-409C-BE32-E72D297353CC}">
              <c16:uniqueId val="{00000009-BFED-4E68-BF41-E5F2E273EAA6}"/>
            </c:ext>
          </c:extLst>
        </c:ser>
        <c:dLbls>
          <c:dLblPos val="t"/>
          <c:showLegendKey val="0"/>
          <c:showVal val="1"/>
          <c:showCatName val="0"/>
          <c:showSerName val="0"/>
          <c:showPercent val="0"/>
          <c:showBubbleSize val="0"/>
        </c:dLbls>
        <c:marker val="1"/>
        <c:smooth val="0"/>
        <c:axId val="1198768479"/>
        <c:axId val="1198770399"/>
      </c:lineChart>
      <c:catAx>
        <c:axId val="1198768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70399"/>
        <c:crosses val="autoZero"/>
        <c:auto val="1"/>
        <c:lblAlgn val="ctr"/>
        <c:lblOffset val="100"/>
        <c:noMultiLvlLbl val="0"/>
      </c:catAx>
      <c:valAx>
        <c:axId val="119877039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76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83820</xdr:colOff>
      <xdr:row>0</xdr:row>
      <xdr:rowOff>175260</xdr:rowOff>
    </xdr:from>
    <xdr:to>
      <xdr:col>13</xdr:col>
      <xdr:colOff>243840</xdr:colOff>
      <xdr:row>15</xdr:row>
      <xdr:rowOff>175260</xdr:rowOff>
    </xdr:to>
    <xdr:graphicFrame macro="">
      <xdr:nvGraphicFramePr>
        <xdr:cNvPr id="2" name="Chart 1">
          <a:extLst>
            <a:ext uri="{FF2B5EF4-FFF2-40B4-BE49-F238E27FC236}">
              <a16:creationId xmlns:a16="http://schemas.microsoft.com/office/drawing/2014/main" id="{BC16F871-75AF-E3DE-F7F4-701BEA1B3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259080</xdr:colOff>
      <xdr:row>1</xdr:row>
      <xdr:rowOff>175261</xdr:rowOff>
    </xdr:from>
    <xdr:to>
      <xdr:col>16</xdr:col>
      <xdr:colOff>259080</xdr:colOff>
      <xdr:row>11</xdr:row>
      <xdr:rowOff>167641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162D206-F9D8-4788-37B2-95B4FF6AD8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47860" y="358141"/>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refreshedDate="46034.839732986111" createdVersion="8" refreshedVersion="8" minRefreshableVersion="3" recordCount="1500" xr:uid="{A4C93735-A021-429F-AF34-C6FAB7DC38CD}">
  <cacheSource type="worksheet">
    <worksheetSource ref="A1:Q1501" sheet="E-Commerce"/>
  </cacheSource>
  <cacheFields count="19">
    <cacheField name="Order ID" numFmtId="0">
      <sharedItems count="15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haredItems>
    </cacheField>
    <cacheField name="Order Date" numFmtId="15">
      <sharedItems containsSemiMixedTypes="0" containsNonDate="0" containsDate="1" containsString="0" minDate="2025-01-03T00:00:00" maxDate="2025-07-05T00:00:00" count="183">
        <d v="2025-05-07T00:00:00"/>
        <d v="2025-01-24T00:00:00"/>
        <d v="2025-01-07T00:00:00"/>
        <d v="2025-05-26T00:00:00"/>
        <d v="2025-02-25T00:00:00"/>
        <d v="2025-02-19T00:00:00"/>
        <d v="2025-02-15T00:00:00"/>
        <d v="2025-01-30T00:00:00"/>
        <d v="2025-01-22T00:00:00"/>
        <d v="2025-05-14T00:00:00"/>
        <d v="2025-06-25T00:00:00"/>
        <d v="2025-04-18T00:00:00"/>
        <d v="2025-01-19T00:00:00"/>
        <d v="2025-04-27T00:00:00"/>
        <d v="2025-03-25T00:00:00"/>
        <d v="2025-01-09T00:00:00"/>
        <d v="2025-01-08T00:00:00"/>
        <d v="2025-01-21T00:00:00"/>
        <d v="2025-02-14T00:00:00"/>
        <d v="2025-02-17T00:00:00"/>
        <d v="2025-04-11T00:00:00"/>
        <d v="2025-04-29T00:00:00"/>
        <d v="2025-04-21T00:00:00"/>
        <d v="2025-02-10T00:00:00"/>
        <d v="2025-05-22T00:00:00"/>
        <d v="2025-05-09T00:00:00"/>
        <d v="2025-05-19T00:00:00"/>
        <d v="2025-03-31T00:00:00"/>
        <d v="2025-02-26T00:00:00"/>
        <d v="2025-06-09T00:00:00"/>
        <d v="2025-06-20T00:00:00"/>
        <d v="2025-01-04T00:00:00"/>
        <d v="2025-05-30T00:00:00"/>
        <d v="2025-06-08T00:00:00"/>
        <d v="2025-02-03T00:00:00"/>
        <d v="2025-05-18T00:00:00"/>
        <d v="2025-03-26T00:00:00"/>
        <d v="2025-03-10T00:00:00"/>
        <d v="2025-02-02T00:00:00"/>
        <d v="2025-02-13T00:00:00"/>
        <d v="2025-05-31T00:00:00"/>
        <d v="2025-03-09T00:00:00"/>
        <d v="2025-03-17T00:00:00"/>
        <d v="2025-03-13T00:00:00"/>
        <d v="2025-06-16T00:00:00"/>
        <d v="2025-04-30T00:00:00"/>
        <d v="2025-02-23T00:00:00"/>
        <d v="2025-01-11T00:00:00"/>
        <d v="2025-05-24T00:00:00"/>
        <d v="2025-04-02T00:00:00"/>
        <d v="2025-04-17T00:00:00"/>
        <d v="2025-01-27T00:00:00"/>
        <d v="2025-07-01T00:00:00"/>
        <d v="2025-01-18T00:00:00"/>
        <d v="2025-04-20T00:00:00"/>
        <d v="2025-02-28T00:00:00"/>
        <d v="2025-06-13T00:00:00"/>
        <d v="2025-05-05T00:00:00"/>
        <d v="2025-05-03T00:00:00"/>
        <d v="2025-06-23T00:00:00"/>
        <d v="2025-06-19T00:00:00"/>
        <d v="2025-03-14T00:00:00"/>
        <d v="2025-04-25T00:00:00"/>
        <d v="2025-02-09T00:00:00"/>
        <d v="2025-01-16T00:00:00"/>
        <d v="2025-05-11T00:00:00"/>
        <d v="2025-02-16T00:00:00"/>
        <d v="2025-06-02T00:00:00"/>
        <d v="2025-06-18T00:00:00"/>
        <d v="2025-04-01T00:00:00"/>
        <d v="2025-05-06T00:00:00"/>
        <d v="2025-03-15T00:00:00"/>
        <d v="2025-03-12T00:00:00"/>
        <d v="2025-02-12T00:00:00"/>
        <d v="2025-05-13T00:00:00"/>
        <d v="2025-07-03T00:00:00"/>
        <d v="2025-05-15T00:00:00"/>
        <d v="2025-05-08T00:00:00"/>
        <d v="2025-05-01T00:00:00"/>
        <d v="2025-02-05T00:00:00"/>
        <d v="2025-04-16T00:00:00"/>
        <d v="2025-02-24T00:00:00"/>
        <d v="2025-05-16T00:00:00"/>
        <d v="2025-03-06T00:00:00"/>
        <d v="2025-06-15T00:00:00"/>
        <d v="2025-06-01T00:00:00"/>
        <d v="2025-01-13T00:00:00"/>
        <d v="2025-06-11T00:00:00"/>
        <d v="2025-03-05T00:00:00"/>
        <d v="2025-03-21T00:00:00"/>
        <d v="2025-01-15T00:00:00"/>
        <d v="2025-06-29T00:00:00"/>
        <d v="2025-04-23T00:00:00"/>
        <d v="2025-06-22T00:00:00"/>
        <d v="2025-05-10T00:00:00"/>
        <d v="2025-04-09T00:00:00"/>
        <d v="2025-03-20T00:00:00"/>
        <d v="2025-05-27T00:00:00"/>
        <d v="2025-04-22T00:00:00"/>
        <d v="2025-05-28T00:00:00"/>
        <d v="2025-04-26T00:00:00"/>
        <d v="2025-03-27T00:00:00"/>
        <d v="2025-06-26T00:00:00"/>
        <d v="2025-01-29T00:00:00"/>
        <d v="2025-04-08T00:00:00"/>
        <d v="2025-01-20T00:00:00"/>
        <d v="2025-05-29T00:00:00"/>
        <d v="2025-01-12T00:00:00"/>
        <d v="2025-02-01T00:00:00"/>
        <d v="2025-05-04T00:00:00"/>
        <d v="2025-06-05T00:00:00"/>
        <d v="2025-04-28T00:00:00"/>
        <d v="2025-03-18T00:00:00"/>
        <d v="2025-04-03T00:00:00"/>
        <d v="2025-04-15T00:00:00"/>
        <d v="2025-02-20T00:00:00"/>
        <d v="2025-01-05T00:00:00"/>
        <d v="2025-01-25T00:00:00"/>
        <d v="2025-03-28T00:00:00"/>
        <d v="2025-01-03T00:00:00"/>
        <d v="2025-05-23T00:00:00"/>
        <d v="2025-04-10T00:00:00"/>
        <d v="2025-02-06T00:00:00"/>
        <d v="2025-01-23T00:00:00"/>
        <d v="2025-06-21T00:00:00"/>
        <d v="2025-03-01T00:00:00"/>
        <d v="2025-03-16T00:00:00"/>
        <d v="2025-06-03T00:00:00"/>
        <d v="2025-06-30T00:00:00"/>
        <d v="2025-04-07T00:00:00"/>
        <d v="2025-01-06T00:00:00"/>
        <d v="2025-07-02T00:00:00"/>
        <d v="2025-03-03T00:00:00"/>
        <d v="2025-02-18T00:00:00"/>
        <d v="2025-01-14T00:00:00"/>
        <d v="2025-05-25T00:00:00"/>
        <d v="2025-06-10T00:00:00"/>
        <d v="2025-04-05T00:00:00"/>
        <d v="2025-04-19T00:00:00"/>
        <d v="2025-02-04T00:00:00"/>
        <d v="2025-02-11T00:00:00"/>
        <d v="2025-05-21T00:00:00"/>
        <d v="2025-03-04T00:00:00"/>
        <d v="2025-03-29T00:00:00"/>
        <d v="2025-04-13T00:00:00"/>
        <d v="2025-01-26T00:00:00"/>
        <d v="2025-05-20T00:00:00"/>
        <d v="2025-06-27T00:00:00"/>
        <d v="2025-03-08T00:00:00"/>
        <d v="2025-04-12T00:00:00"/>
        <d v="2025-05-12T00:00:00"/>
        <d v="2025-01-28T00:00:00"/>
        <d v="2025-04-24T00:00:00"/>
        <d v="2025-04-04T00:00:00"/>
        <d v="2025-06-04T00:00:00"/>
        <d v="2025-03-23T00:00:00"/>
        <d v="2025-02-08T00:00:00"/>
        <d v="2025-03-22T00:00:00"/>
        <d v="2025-06-07T00:00:00"/>
        <d v="2025-02-07T00:00:00"/>
        <d v="2025-01-17T00:00:00"/>
        <d v="2025-03-30T00:00:00"/>
        <d v="2025-06-14T00:00:00"/>
        <d v="2025-04-06T00:00:00"/>
        <d v="2025-03-19T00:00:00"/>
        <d v="2025-02-27T00:00:00"/>
        <d v="2025-06-17T00:00:00"/>
        <d v="2025-07-04T00:00:00"/>
        <d v="2025-06-24T00:00:00"/>
        <d v="2025-01-10T00:00:00"/>
        <d v="2025-04-14T00:00:00"/>
        <d v="2025-02-22T00:00:00"/>
        <d v="2025-03-02T00:00:00"/>
        <d v="2025-03-11T00:00:00"/>
        <d v="2025-06-28T00:00:00"/>
        <d v="2025-05-17T00:00:00"/>
        <d v="2025-01-31T00:00:00"/>
        <d v="2025-06-06T00:00:00"/>
        <d v="2025-03-24T00:00:00"/>
        <d v="2025-03-07T00:00:00"/>
        <d v="2025-02-21T00:00:00"/>
        <d v="2025-05-02T00:00:00"/>
        <d v="2025-06-12T00:00:00"/>
      </sharedItems>
      <fieldGroup par="18"/>
    </cacheField>
    <cacheField name="State" numFmtId="0">
      <sharedItems/>
    </cacheField>
    <cacheField name="Region" numFmtId="0">
      <sharedItems count="4">
        <s v="North"/>
        <s v="West"/>
        <s v="East"/>
        <s v="South"/>
      </sharedItems>
    </cacheField>
    <cacheField name="Category" numFmtId="0">
      <sharedItems count="5">
        <s v="Electronics"/>
        <s v="Grocery"/>
        <s v="Books"/>
        <s v="Clothing"/>
        <s v="Home Decor"/>
      </sharedItems>
    </cacheField>
    <cacheField name="Product" numFmtId="0">
      <sharedItems count="20">
        <s v="Smartphone"/>
        <s v="Milk"/>
        <s v="Headphones"/>
        <s v="Smartwatch"/>
        <s v="Laptop"/>
        <s v="Biography"/>
        <s v="Comics"/>
        <s v="Novel"/>
        <s v="T-shirt"/>
        <s v="Dress"/>
        <s v="Oil"/>
        <s v="Textbook"/>
        <s v="Jeans"/>
        <s v="Rice"/>
        <s v="Biscuits"/>
        <s v="Jacket"/>
        <s v="Sofa"/>
        <s v="Curtain"/>
        <s v="Table"/>
        <s v="Lamp"/>
      </sharedItems>
    </cacheField>
    <cacheField name="Quantity" numFmtId="0">
      <sharedItems containsSemiMixedTypes="0" containsString="0" containsNumber="1" containsInteger="1" minValue="1" maxValue="5"/>
    </cacheField>
    <cacheField name="Unit Price (?)" numFmtId="0">
      <sharedItems containsSemiMixedTypes="0" containsString="0" containsNumber="1" minValue="103.31" maxValue="4997.28"/>
    </cacheField>
    <cacheField name="Discount Rate" numFmtId="0">
      <sharedItems containsSemiMixedTypes="0" containsString="0" containsNumber="1" minValue="0" maxValue="0.25"/>
    </cacheField>
    <cacheField name="Total Price (?)" numFmtId="0">
      <sharedItems containsSemiMixedTypes="0" containsString="0" containsNumber="1" minValue="92.68" maxValue="24951.1"/>
    </cacheField>
    <cacheField name="Gross Revenue" numFmtId="0">
      <sharedItems containsSemiMixedTypes="0" containsString="0" containsNumber="1" minValue="105.32" maxValue="24973.3"/>
    </cacheField>
    <cacheField name="Discount Amount" numFmtId="0">
      <sharedItems containsSemiMixedTypes="0" containsString="0" containsNumber="1" minValue="0" maxValue="5944.6000000000022"/>
    </cacheField>
    <cacheField name="Net Revnue " numFmtId="0">
      <sharedItems containsSemiMixedTypes="0" containsString="0" containsNumber="1" minValue="92.68" maxValue="24951.100000000002"/>
    </cacheField>
    <cacheField name="Payment Type" numFmtId="0">
      <sharedItems/>
    </cacheField>
    <cacheField name="Customer Segment" numFmtId="0">
      <sharedItems count="3">
        <s v="Regular"/>
        <s v="First-Time"/>
        <s v="Prime"/>
      </sharedItems>
    </cacheField>
    <cacheField name="Shipping Method" numFmtId="0">
      <sharedItems count="3">
        <s v="Same-Day"/>
        <s v="Express"/>
        <s v="Standard"/>
      </sharedItems>
    </cacheField>
    <cacheField name="Delivery Status" numFmtId="0">
      <sharedItems count="4">
        <s v="Delivered"/>
        <s v="Returned"/>
        <s v="In Transit"/>
        <s v="Cancelled"/>
      </sharedItems>
    </cacheField>
    <cacheField name="Days (Order Date)" numFmtId="0" databaseField="0">
      <fieldGroup base="1">
        <rangePr groupBy="days" startDate="2025-01-03T00:00:00" endDate="2025-07-05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7-2025"/>
        </groupItems>
      </fieldGroup>
    </cacheField>
    <cacheField name="Months (Order Date)" numFmtId="0" databaseField="0">
      <fieldGroup base="1">
        <rangePr groupBy="months" startDate="2025-01-03T00:00:00" endDate="2025-07-05T00:00:00"/>
        <groupItems count="14">
          <s v="&lt;03-01-2025"/>
          <s v="Jan"/>
          <s v="Feb"/>
          <s v="Mar"/>
          <s v="Apr"/>
          <s v="May"/>
          <s v="Jun"/>
          <s v="Jul"/>
          <s v="Aug"/>
          <s v="Sep"/>
          <s v="Oct"/>
          <s v="Nov"/>
          <s v="Dec"/>
          <s v="&gt;05-07-2025"/>
        </groupItems>
      </fieldGroup>
    </cacheField>
  </cacheFields>
  <extLst>
    <ext xmlns:x14="http://schemas.microsoft.com/office/spreadsheetml/2009/9/main" uri="{725AE2AE-9491-48be-B2B4-4EB974FC3084}">
      <x14:pivotCacheDefinition pivotCacheId="916830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s v="Karnataka"/>
    <x v="0"/>
    <x v="0"/>
    <x v="0"/>
    <n v="2"/>
    <n v="3708.71"/>
    <n v="0.17"/>
    <n v="6156.46"/>
    <n v="7417.42"/>
    <n v="1260.96"/>
    <n v="6156.46"/>
    <s v="Debit Card"/>
    <x v="0"/>
    <x v="0"/>
    <x v="0"/>
  </r>
  <r>
    <x v="1"/>
    <x v="1"/>
    <s v="Maharashtra"/>
    <x v="1"/>
    <x v="0"/>
    <x v="0"/>
    <n v="5"/>
    <n v="3049.89"/>
    <n v="0.14000000000000001"/>
    <n v="13114.53"/>
    <n v="15249.449999999999"/>
    <n v="2134.9199999999983"/>
    <n v="13114.53"/>
    <s v="Debit Card"/>
    <x v="0"/>
    <x v="0"/>
    <x v="0"/>
  </r>
  <r>
    <x v="2"/>
    <x v="2"/>
    <s v="Maharashtra"/>
    <x v="0"/>
    <x v="1"/>
    <x v="1"/>
    <n v="4"/>
    <n v="1767.23"/>
    <n v="0.04"/>
    <n v="6786.16"/>
    <n v="7068.92"/>
    <n v="282.76000000000022"/>
    <n v="6786.16"/>
    <s v="Debit Card"/>
    <x v="1"/>
    <x v="1"/>
    <x v="0"/>
  </r>
  <r>
    <x v="3"/>
    <x v="3"/>
    <s v="Karnataka"/>
    <x v="0"/>
    <x v="0"/>
    <x v="2"/>
    <n v="1"/>
    <n v="3675.69"/>
    <n v="0.13"/>
    <n v="3197.85"/>
    <n v="3675.69"/>
    <n v="477.84000000000015"/>
    <n v="3197.85"/>
    <s v="COD"/>
    <x v="2"/>
    <x v="1"/>
    <x v="0"/>
  </r>
  <r>
    <x v="4"/>
    <x v="4"/>
    <s v="Gujarat"/>
    <x v="0"/>
    <x v="1"/>
    <x v="1"/>
    <n v="1"/>
    <n v="324.54000000000002"/>
    <n v="0.06"/>
    <n v="305.07"/>
    <n v="324.54000000000002"/>
    <n v="19.470000000000027"/>
    <n v="305.07"/>
    <s v="Debit Card"/>
    <x v="1"/>
    <x v="1"/>
    <x v="1"/>
  </r>
  <r>
    <x v="5"/>
    <x v="5"/>
    <s v="Karnataka"/>
    <x v="2"/>
    <x v="0"/>
    <x v="3"/>
    <n v="3"/>
    <n v="897.01"/>
    <n v="0.09"/>
    <n v="2448.84"/>
    <n v="2691.0299999999997"/>
    <n v="242.1899999999996"/>
    <n v="2448.84"/>
    <s v="Net Banking"/>
    <x v="1"/>
    <x v="0"/>
    <x v="0"/>
  </r>
  <r>
    <x v="6"/>
    <x v="6"/>
    <s v="Gujarat"/>
    <x v="3"/>
    <x v="0"/>
    <x v="4"/>
    <n v="4"/>
    <n v="1959.33"/>
    <n v="0.25"/>
    <n v="5877.99"/>
    <n v="7837.32"/>
    <n v="1959.33"/>
    <n v="5877.99"/>
    <s v="Debit Card"/>
    <x v="0"/>
    <x v="0"/>
    <x v="0"/>
  </r>
  <r>
    <x v="7"/>
    <x v="7"/>
    <s v="Maharashtra"/>
    <x v="2"/>
    <x v="0"/>
    <x v="4"/>
    <n v="3"/>
    <n v="424.32"/>
    <n v="0.23"/>
    <n v="980.18"/>
    <n v="1272.96"/>
    <n v="292.78000000000009"/>
    <n v="980.18"/>
    <s v="UPI"/>
    <x v="2"/>
    <x v="0"/>
    <x v="0"/>
  </r>
  <r>
    <x v="8"/>
    <x v="3"/>
    <s v="Tamil Nadu"/>
    <x v="1"/>
    <x v="2"/>
    <x v="5"/>
    <n v="2"/>
    <n v="1308.47"/>
    <n v="0.14000000000000001"/>
    <n v="2250.5700000000002"/>
    <n v="2616.94"/>
    <n v="366.36999999999989"/>
    <n v="2250.5700000000002"/>
    <s v="Debit Card"/>
    <x v="2"/>
    <x v="1"/>
    <x v="1"/>
  </r>
  <r>
    <x v="9"/>
    <x v="8"/>
    <s v="Delhi"/>
    <x v="3"/>
    <x v="2"/>
    <x v="6"/>
    <n v="4"/>
    <n v="545.46"/>
    <n v="0.01"/>
    <n v="2160.02"/>
    <n v="2181.84"/>
    <n v="21.820000000000164"/>
    <n v="2160.02"/>
    <s v="Debit Card"/>
    <x v="1"/>
    <x v="2"/>
    <x v="0"/>
  </r>
  <r>
    <x v="10"/>
    <x v="9"/>
    <s v="Tamil Nadu"/>
    <x v="0"/>
    <x v="2"/>
    <x v="7"/>
    <n v="4"/>
    <n v="2692.66"/>
    <n v="0.24"/>
    <n v="8185.69"/>
    <n v="10770.64"/>
    <n v="2584.9499999999998"/>
    <n v="8185.69"/>
    <s v="Net Banking"/>
    <x v="1"/>
    <x v="2"/>
    <x v="0"/>
  </r>
  <r>
    <x v="11"/>
    <x v="3"/>
    <s v="Karnataka"/>
    <x v="2"/>
    <x v="1"/>
    <x v="1"/>
    <n v="4"/>
    <n v="874.97"/>
    <n v="0"/>
    <n v="3499.88"/>
    <n v="3499.88"/>
    <n v="0"/>
    <n v="3499.88"/>
    <s v="Credit Card"/>
    <x v="2"/>
    <x v="0"/>
    <x v="2"/>
  </r>
  <r>
    <x v="12"/>
    <x v="10"/>
    <s v="Karnataka"/>
    <x v="0"/>
    <x v="3"/>
    <x v="8"/>
    <n v="2"/>
    <n v="848.91"/>
    <n v="0.19"/>
    <n v="1375.23"/>
    <n v="1697.82"/>
    <n v="322.58999999999992"/>
    <n v="1375.23"/>
    <s v="COD"/>
    <x v="1"/>
    <x v="0"/>
    <x v="0"/>
  </r>
  <r>
    <x v="13"/>
    <x v="11"/>
    <s v="Maharashtra"/>
    <x v="0"/>
    <x v="2"/>
    <x v="7"/>
    <n v="2"/>
    <n v="383.83"/>
    <n v="0.22"/>
    <n v="598.77"/>
    <n v="767.66"/>
    <n v="168.89"/>
    <n v="598.77"/>
    <s v="UPI"/>
    <x v="2"/>
    <x v="2"/>
    <x v="0"/>
  </r>
  <r>
    <x v="14"/>
    <x v="12"/>
    <s v="Delhi"/>
    <x v="3"/>
    <x v="0"/>
    <x v="4"/>
    <n v="2"/>
    <n v="1398.78"/>
    <n v="0.22"/>
    <n v="2182.1"/>
    <n v="2797.56"/>
    <n v="615.46"/>
    <n v="2182.1"/>
    <s v="Net Banking"/>
    <x v="1"/>
    <x v="1"/>
    <x v="1"/>
  </r>
  <r>
    <x v="15"/>
    <x v="13"/>
    <s v="Tamil Nadu"/>
    <x v="2"/>
    <x v="3"/>
    <x v="9"/>
    <n v="5"/>
    <n v="2312.2800000000002"/>
    <n v="0.06"/>
    <n v="10867.72"/>
    <n v="11561.400000000001"/>
    <n v="693.68000000000211"/>
    <n v="10867.72"/>
    <s v="UPI"/>
    <x v="2"/>
    <x v="2"/>
    <x v="0"/>
  </r>
  <r>
    <x v="16"/>
    <x v="14"/>
    <s v="Gujarat"/>
    <x v="0"/>
    <x v="1"/>
    <x v="10"/>
    <n v="1"/>
    <n v="3568.42"/>
    <n v="0.01"/>
    <n v="3532.74"/>
    <n v="3568.42"/>
    <n v="35.680000000000291"/>
    <n v="3532.74"/>
    <s v="Debit Card"/>
    <x v="0"/>
    <x v="2"/>
    <x v="1"/>
  </r>
  <r>
    <x v="17"/>
    <x v="15"/>
    <s v="Karnataka"/>
    <x v="1"/>
    <x v="0"/>
    <x v="4"/>
    <n v="5"/>
    <n v="748.33"/>
    <n v="0.23"/>
    <n v="2881.07"/>
    <n v="3741.65"/>
    <n v="860.57999999999993"/>
    <n v="2881.07"/>
    <s v="Net Banking"/>
    <x v="0"/>
    <x v="0"/>
    <x v="0"/>
  </r>
  <r>
    <x v="18"/>
    <x v="16"/>
    <s v="Delhi"/>
    <x v="0"/>
    <x v="2"/>
    <x v="5"/>
    <n v="4"/>
    <n v="1836.06"/>
    <n v="0.1"/>
    <n v="6609.82"/>
    <n v="7344.24"/>
    <n v="734.42000000000007"/>
    <n v="6609.82"/>
    <s v="Credit Card"/>
    <x v="0"/>
    <x v="0"/>
    <x v="0"/>
  </r>
  <r>
    <x v="19"/>
    <x v="17"/>
    <s v="Tamil Nadu"/>
    <x v="1"/>
    <x v="0"/>
    <x v="0"/>
    <n v="2"/>
    <n v="1038.79"/>
    <n v="0.13"/>
    <n v="1807.49"/>
    <n v="2077.58"/>
    <n v="270.08999999999992"/>
    <n v="1807.49"/>
    <s v="UPI"/>
    <x v="0"/>
    <x v="2"/>
    <x v="0"/>
  </r>
  <r>
    <x v="20"/>
    <x v="18"/>
    <s v="Maharashtra"/>
    <x v="0"/>
    <x v="2"/>
    <x v="11"/>
    <n v="1"/>
    <n v="347.88"/>
    <n v="0.25"/>
    <n v="260.91000000000003"/>
    <n v="347.88"/>
    <n v="86.96999999999997"/>
    <n v="260.91000000000003"/>
    <s v="Net Banking"/>
    <x v="1"/>
    <x v="2"/>
    <x v="1"/>
  </r>
  <r>
    <x v="21"/>
    <x v="19"/>
    <s v="Tamil Nadu"/>
    <x v="1"/>
    <x v="3"/>
    <x v="12"/>
    <n v="2"/>
    <n v="4336.79"/>
    <n v="0.23"/>
    <n v="6678.66"/>
    <n v="8673.58"/>
    <n v="1994.92"/>
    <n v="6678.66"/>
    <s v="Net Banking"/>
    <x v="2"/>
    <x v="2"/>
    <x v="0"/>
  </r>
  <r>
    <x v="22"/>
    <x v="20"/>
    <s v="Tamil Nadu"/>
    <x v="2"/>
    <x v="2"/>
    <x v="6"/>
    <n v="5"/>
    <n v="3343.17"/>
    <n v="0.12"/>
    <n v="14709.95"/>
    <n v="16715.849999999999"/>
    <n v="2005.8999999999978"/>
    <n v="14709.95"/>
    <s v="UPI"/>
    <x v="2"/>
    <x v="2"/>
    <x v="0"/>
  </r>
  <r>
    <x v="23"/>
    <x v="21"/>
    <s v="Karnataka"/>
    <x v="3"/>
    <x v="0"/>
    <x v="0"/>
    <n v="5"/>
    <n v="2436.2600000000002"/>
    <n v="0.23"/>
    <n v="9379.6"/>
    <n v="12181.300000000001"/>
    <n v="2801.7000000000007"/>
    <n v="9379.6"/>
    <s v="Credit Card"/>
    <x v="0"/>
    <x v="0"/>
    <x v="0"/>
  </r>
  <r>
    <x v="24"/>
    <x v="16"/>
    <s v="Delhi"/>
    <x v="3"/>
    <x v="1"/>
    <x v="13"/>
    <n v="1"/>
    <n v="3408.54"/>
    <n v="0.06"/>
    <n v="3204.03"/>
    <n v="3408.54"/>
    <n v="204.50999999999976"/>
    <n v="3204.03"/>
    <s v="Credit Card"/>
    <x v="1"/>
    <x v="2"/>
    <x v="0"/>
  </r>
  <r>
    <x v="25"/>
    <x v="22"/>
    <s v="Tamil Nadu"/>
    <x v="2"/>
    <x v="0"/>
    <x v="0"/>
    <n v="5"/>
    <n v="1650.21"/>
    <n v="7.0000000000000007E-2"/>
    <n v="7673.48"/>
    <n v="8251.0499999999993"/>
    <n v="577.56999999999971"/>
    <n v="7673.48"/>
    <s v="COD"/>
    <x v="1"/>
    <x v="0"/>
    <x v="0"/>
  </r>
  <r>
    <x v="26"/>
    <x v="23"/>
    <s v="Karnataka"/>
    <x v="0"/>
    <x v="2"/>
    <x v="11"/>
    <n v="1"/>
    <n v="145.65"/>
    <n v="0.16"/>
    <n v="122.35"/>
    <n v="145.65"/>
    <n v="23.300000000000011"/>
    <n v="122.35"/>
    <s v="Net Banking"/>
    <x v="2"/>
    <x v="0"/>
    <x v="0"/>
  </r>
  <r>
    <x v="27"/>
    <x v="24"/>
    <s v="Delhi"/>
    <x v="2"/>
    <x v="3"/>
    <x v="9"/>
    <n v="2"/>
    <n v="1910.68"/>
    <n v="0.04"/>
    <n v="3668.51"/>
    <n v="3821.36"/>
    <n v="152.84999999999991"/>
    <n v="3668.51"/>
    <s v="UPI"/>
    <x v="0"/>
    <x v="0"/>
    <x v="0"/>
  </r>
  <r>
    <x v="28"/>
    <x v="25"/>
    <s v="Gujarat"/>
    <x v="0"/>
    <x v="1"/>
    <x v="13"/>
    <n v="1"/>
    <n v="4700.76"/>
    <n v="0.03"/>
    <n v="4559.74"/>
    <n v="4700.76"/>
    <n v="141.02000000000044"/>
    <n v="4559.74"/>
    <s v="UPI"/>
    <x v="1"/>
    <x v="2"/>
    <x v="0"/>
  </r>
  <r>
    <x v="29"/>
    <x v="26"/>
    <s v="Karnataka"/>
    <x v="1"/>
    <x v="3"/>
    <x v="9"/>
    <n v="3"/>
    <n v="1097.6300000000001"/>
    <n v="0.16"/>
    <n v="2766.03"/>
    <n v="3292.8900000000003"/>
    <n v="526.86000000000013"/>
    <n v="2766.03"/>
    <s v="COD"/>
    <x v="0"/>
    <x v="1"/>
    <x v="0"/>
  </r>
  <r>
    <x v="30"/>
    <x v="11"/>
    <s v="Tamil Nadu"/>
    <x v="3"/>
    <x v="0"/>
    <x v="0"/>
    <n v="1"/>
    <n v="1734.43"/>
    <n v="0.03"/>
    <n v="1682.4"/>
    <n v="1734.43"/>
    <n v="52.029999999999973"/>
    <n v="1682.4"/>
    <s v="UPI"/>
    <x v="0"/>
    <x v="1"/>
    <x v="0"/>
  </r>
  <r>
    <x v="31"/>
    <x v="14"/>
    <s v="Gujarat"/>
    <x v="0"/>
    <x v="1"/>
    <x v="14"/>
    <n v="1"/>
    <n v="4730.75"/>
    <n v="0.17"/>
    <n v="3926.52"/>
    <n v="4730.75"/>
    <n v="804.23"/>
    <n v="3926.52"/>
    <s v="Credit Card"/>
    <x v="0"/>
    <x v="2"/>
    <x v="3"/>
  </r>
  <r>
    <x v="32"/>
    <x v="18"/>
    <s v="Tamil Nadu"/>
    <x v="2"/>
    <x v="1"/>
    <x v="10"/>
    <n v="3"/>
    <n v="1886.79"/>
    <n v="0.23"/>
    <n v="4358.4799999999996"/>
    <n v="5660.37"/>
    <n v="1301.8900000000003"/>
    <n v="4358.4799999999996"/>
    <s v="Debit Card"/>
    <x v="0"/>
    <x v="2"/>
    <x v="0"/>
  </r>
  <r>
    <x v="33"/>
    <x v="27"/>
    <s v="Karnataka"/>
    <x v="3"/>
    <x v="3"/>
    <x v="8"/>
    <n v="5"/>
    <n v="3772.44"/>
    <n v="0.23"/>
    <n v="14523.89"/>
    <n v="18862.2"/>
    <n v="4338.3100000000013"/>
    <n v="14523.89"/>
    <s v="COD"/>
    <x v="2"/>
    <x v="2"/>
    <x v="2"/>
  </r>
  <r>
    <x v="34"/>
    <x v="13"/>
    <s v="Maharashtra"/>
    <x v="3"/>
    <x v="3"/>
    <x v="15"/>
    <n v="3"/>
    <n v="3933.69"/>
    <n v="0.1"/>
    <n v="10620.96"/>
    <n v="11801.07"/>
    <n v="1180.1100000000006"/>
    <n v="10620.96"/>
    <s v="Debit Card"/>
    <x v="1"/>
    <x v="0"/>
    <x v="0"/>
  </r>
  <r>
    <x v="35"/>
    <x v="28"/>
    <s v="Maharashtra"/>
    <x v="3"/>
    <x v="0"/>
    <x v="3"/>
    <n v="2"/>
    <n v="4101.2700000000004"/>
    <n v="0.12"/>
    <n v="7218.24"/>
    <n v="8202.5400000000009"/>
    <n v="984.30000000000109"/>
    <n v="7218.24"/>
    <s v="Net Banking"/>
    <x v="0"/>
    <x v="1"/>
    <x v="0"/>
  </r>
  <r>
    <x v="36"/>
    <x v="29"/>
    <s v="Karnataka"/>
    <x v="2"/>
    <x v="3"/>
    <x v="15"/>
    <n v="3"/>
    <n v="1820.62"/>
    <n v="0.13"/>
    <n v="4751.82"/>
    <n v="5461.86"/>
    <n v="710.04"/>
    <n v="4751.82"/>
    <s v="UPI"/>
    <x v="0"/>
    <x v="0"/>
    <x v="1"/>
  </r>
  <r>
    <x v="37"/>
    <x v="30"/>
    <s v="Delhi"/>
    <x v="2"/>
    <x v="0"/>
    <x v="2"/>
    <n v="1"/>
    <n v="631.16999999999996"/>
    <n v="0.11"/>
    <n v="561.74"/>
    <n v="631.16999999999996"/>
    <n v="69.42999999999995"/>
    <n v="561.74"/>
    <s v="COD"/>
    <x v="2"/>
    <x v="0"/>
    <x v="0"/>
  </r>
  <r>
    <x v="38"/>
    <x v="31"/>
    <s v="Tamil Nadu"/>
    <x v="3"/>
    <x v="1"/>
    <x v="13"/>
    <n v="3"/>
    <n v="317.49"/>
    <n v="0.11"/>
    <n v="847.7"/>
    <n v="952.47"/>
    <n v="104.76999999999998"/>
    <n v="847.7"/>
    <s v="COD"/>
    <x v="0"/>
    <x v="0"/>
    <x v="0"/>
  </r>
  <r>
    <x v="39"/>
    <x v="32"/>
    <s v="Gujarat"/>
    <x v="1"/>
    <x v="0"/>
    <x v="2"/>
    <n v="1"/>
    <n v="3626.8"/>
    <n v="0.08"/>
    <n v="3336.66"/>
    <n v="3626.8"/>
    <n v="290.14000000000033"/>
    <n v="3336.66"/>
    <s v="UPI"/>
    <x v="1"/>
    <x v="1"/>
    <x v="0"/>
  </r>
  <r>
    <x v="40"/>
    <x v="33"/>
    <s v="Delhi"/>
    <x v="2"/>
    <x v="4"/>
    <x v="16"/>
    <n v="4"/>
    <n v="3418.86"/>
    <n v="0.23"/>
    <n v="10530.09"/>
    <n v="13675.44"/>
    <n v="3145.3500000000004"/>
    <n v="10530.09"/>
    <s v="Net Banking"/>
    <x v="1"/>
    <x v="0"/>
    <x v="0"/>
  </r>
  <r>
    <x v="41"/>
    <x v="34"/>
    <s v="Karnataka"/>
    <x v="1"/>
    <x v="0"/>
    <x v="2"/>
    <n v="5"/>
    <n v="3072.64"/>
    <n v="0.08"/>
    <n v="14134.14"/>
    <n v="15363.199999999999"/>
    <n v="1229.0599999999995"/>
    <n v="14134.14"/>
    <s v="Debit Card"/>
    <x v="2"/>
    <x v="1"/>
    <x v="0"/>
  </r>
  <r>
    <x v="42"/>
    <x v="35"/>
    <s v="Delhi"/>
    <x v="3"/>
    <x v="1"/>
    <x v="14"/>
    <n v="5"/>
    <n v="3352.88"/>
    <n v="0.15"/>
    <n v="14249.74"/>
    <n v="16764.400000000001"/>
    <n v="2514.6600000000017"/>
    <n v="14249.74"/>
    <s v="Credit Card"/>
    <x v="2"/>
    <x v="2"/>
    <x v="0"/>
  </r>
  <r>
    <x v="43"/>
    <x v="36"/>
    <s v="Delhi"/>
    <x v="1"/>
    <x v="3"/>
    <x v="12"/>
    <n v="2"/>
    <n v="4921.29"/>
    <n v="0.15"/>
    <n v="8366.19"/>
    <n v="9842.58"/>
    <n v="1476.3899999999994"/>
    <n v="8366.19"/>
    <s v="Credit Card"/>
    <x v="0"/>
    <x v="2"/>
    <x v="0"/>
  </r>
  <r>
    <x v="44"/>
    <x v="37"/>
    <s v="Tamil Nadu"/>
    <x v="1"/>
    <x v="1"/>
    <x v="10"/>
    <n v="2"/>
    <n v="823.1"/>
    <n v="0.17"/>
    <n v="1366.35"/>
    <n v="1646.2"/>
    <n v="279.85000000000014"/>
    <n v="1366.35"/>
    <s v="Net Banking"/>
    <x v="2"/>
    <x v="2"/>
    <x v="0"/>
  </r>
  <r>
    <x v="45"/>
    <x v="4"/>
    <s v="Maharashtra"/>
    <x v="2"/>
    <x v="1"/>
    <x v="14"/>
    <n v="1"/>
    <n v="2336.66"/>
    <n v="0.2"/>
    <n v="1869.33"/>
    <n v="2336.66"/>
    <n v="467.32999999999993"/>
    <n v="1869.33"/>
    <s v="COD"/>
    <x v="0"/>
    <x v="0"/>
    <x v="2"/>
  </r>
  <r>
    <x v="46"/>
    <x v="38"/>
    <s v="Gujarat"/>
    <x v="2"/>
    <x v="2"/>
    <x v="5"/>
    <n v="4"/>
    <n v="2305.34"/>
    <n v="0.19"/>
    <n v="7469.3"/>
    <n v="9221.36"/>
    <n v="1752.0600000000004"/>
    <n v="7469.3"/>
    <s v="Net Banking"/>
    <x v="0"/>
    <x v="0"/>
    <x v="3"/>
  </r>
  <r>
    <x v="47"/>
    <x v="39"/>
    <s v="Delhi"/>
    <x v="2"/>
    <x v="1"/>
    <x v="14"/>
    <n v="1"/>
    <n v="3596.37"/>
    <n v="0.06"/>
    <n v="3380.59"/>
    <n v="3596.37"/>
    <n v="215.77999999999975"/>
    <n v="3380.59"/>
    <s v="UPI"/>
    <x v="2"/>
    <x v="1"/>
    <x v="1"/>
  </r>
  <r>
    <x v="48"/>
    <x v="40"/>
    <s v="Delhi"/>
    <x v="2"/>
    <x v="0"/>
    <x v="4"/>
    <n v="2"/>
    <n v="3561.45"/>
    <n v="0.02"/>
    <n v="6980.44"/>
    <n v="7122.9"/>
    <n v="142.46000000000004"/>
    <n v="6980.44"/>
    <s v="Debit Card"/>
    <x v="2"/>
    <x v="1"/>
    <x v="0"/>
  </r>
  <r>
    <x v="49"/>
    <x v="41"/>
    <s v="Delhi"/>
    <x v="1"/>
    <x v="2"/>
    <x v="7"/>
    <n v="5"/>
    <n v="4735.7"/>
    <n v="0"/>
    <n v="23678.5"/>
    <n v="23678.5"/>
    <n v="0"/>
    <n v="23678.5"/>
    <s v="Net Banking"/>
    <x v="2"/>
    <x v="0"/>
    <x v="0"/>
  </r>
  <r>
    <x v="50"/>
    <x v="8"/>
    <s v="Tamil Nadu"/>
    <x v="3"/>
    <x v="4"/>
    <x v="17"/>
    <n v="5"/>
    <n v="4019.35"/>
    <n v="0.22"/>
    <n v="15675.47"/>
    <n v="20096.75"/>
    <n v="4421.2800000000007"/>
    <n v="15675.47"/>
    <s v="Net Banking"/>
    <x v="1"/>
    <x v="1"/>
    <x v="0"/>
  </r>
  <r>
    <x v="51"/>
    <x v="17"/>
    <s v="Tamil Nadu"/>
    <x v="0"/>
    <x v="2"/>
    <x v="7"/>
    <n v="4"/>
    <n v="3648.49"/>
    <n v="0.21"/>
    <n v="11529.23"/>
    <n v="14593.96"/>
    <n v="3064.7299999999996"/>
    <n v="11529.23"/>
    <s v="UPI"/>
    <x v="1"/>
    <x v="2"/>
    <x v="1"/>
  </r>
  <r>
    <x v="52"/>
    <x v="42"/>
    <s v="Maharashtra"/>
    <x v="3"/>
    <x v="1"/>
    <x v="13"/>
    <n v="4"/>
    <n v="990.47"/>
    <n v="7.0000000000000007E-2"/>
    <n v="3684.55"/>
    <n v="3961.88"/>
    <n v="277.32999999999993"/>
    <n v="3684.55"/>
    <s v="Net Banking"/>
    <x v="0"/>
    <x v="1"/>
    <x v="0"/>
  </r>
  <r>
    <x v="53"/>
    <x v="17"/>
    <s v="Karnataka"/>
    <x v="2"/>
    <x v="4"/>
    <x v="18"/>
    <n v="1"/>
    <n v="2404.5"/>
    <n v="0.19"/>
    <n v="1947.65"/>
    <n v="2404.5"/>
    <n v="456.84999999999991"/>
    <n v="1947.65"/>
    <s v="Net Banking"/>
    <x v="2"/>
    <x v="2"/>
    <x v="0"/>
  </r>
  <r>
    <x v="54"/>
    <x v="43"/>
    <s v="Maharashtra"/>
    <x v="0"/>
    <x v="0"/>
    <x v="0"/>
    <n v="1"/>
    <n v="3144.54"/>
    <n v="0.06"/>
    <n v="2955.87"/>
    <n v="3144.54"/>
    <n v="188.67000000000007"/>
    <n v="2955.87"/>
    <s v="Debit Card"/>
    <x v="0"/>
    <x v="1"/>
    <x v="0"/>
  </r>
  <r>
    <x v="55"/>
    <x v="44"/>
    <s v="Karnataka"/>
    <x v="3"/>
    <x v="3"/>
    <x v="15"/>
    <n v="5"/>
    <n v="3075.51"/>
    <n v="0.19"/>
    <n v="12455.82"/>
    <n v="15377.550000000001"/>
    <n v="2921.7300000000014"/>
    <n v="12455.82"/>
    <s v="UPI"/>
    <x v="0"/>
    <x v="2"/>
    <x v="2"/>
  </r>
  <r>
    <x v="56"/>
    <x v="37"/>
    <s v="Karnataka"/>
    <x v="3"/>
    <x v="0"/>
    <x v="0"/>
    <n v="4"/>
    <n v="2043.61"/>
    <n v="0.18"/>
    <n v="6703.04"/>
    <n v="8174.44"/>
    <n v="1471.3999999999996"/>
    <n v="6703.04"/>
    <s v="COD"/>
    <x v="1"/>
    <x v="2"/>
    <x v="0"/>
  </r>
  <r>
    <x v="57"/>
    <x v="45"/>
    <s v="Gujarat"/>
    <x v="2"/>
    <x v="4"/>
    <x v="19"/>
    <n v="5"/>
    <n v="2199.0500000000002"/>
    <n v="0.09"/>
    <n v="10005.68"/>
    <n v="10995.25"/>
    <n v="989.56999999999971"/>
    <n v="10005.68"/>
    <s v="Credit Card"/>
    <x v="2"/>
    <x v="0"/>
    <x v="0"/>
  </r>
  <r>
    <x v="58"/>
    <x v="46"/>
    <s v="Maharashtra"/>
    <x v="2"/>
    <x v="2"/>
    <x v="5"/>
    <n v="4"/>
    <n v="3565.81"/>
    <n v="0.11"/>
    <n v="12694.28"/>
    <n v="14263.24"/>
    <n v="1568.9599999999991"/>
    <n v="12694.28"/>
    <s v="Net Banking"/>
    <x v="2"/>
    <x v="0"/>
    <x v="0"/>
  </r>
  <r>
    <x v="59"/>
    <x v="33"/>
    <s v="Tamil Nadu"/>
    <x v="2"/>
    <x v="1"/>
    <x v="14"/>
    <n v="5"/>
    <n v="1415.14"/>
    <n v="0.21"/>
    <n v="5589.8"/>
    <n v="7075.7000000000007"/>
    <n v="1485.9000000000005"/>
    <n v="5589.8"/>
    <s v="Net Banking"/>
    <x v="1"/>
    <x v="2"/>
    <x v="1"/>
  </r>
  <r>
    <x v="60"/>
    <x v="47"/>
    <s v="Gujarat"/>
    <x v="3"/>
    <x v="3"/>
    <x v="15"/>
    <n v="4"/>
    <n v="1748.34"/>
    <n v="0.12"/>
    <n v="6154.16"/>
    <n v="6993.36"/>
    <n v="839.19999999999982"/>
    <n v="6154.16"/>
    <s v="COD"/>
    <x v="1"/>
    <x v="1"/>
    <x v="0"/>
  </r>
  <r>
    <x v="61"/>
    <x v="48"/>
    <s v="Karnataka"/>
    <x v="0"/>
    <x v="4"/>
    <x v="17"/>
    <n v="3"/>
    <n v="2823.38"/>
    <n v="0.13"/>
    <n v="7369.02"/>
    <n v="8470.14"/>
    <n v="1101.119999999999"/>
    <n v="7369.02"/>
    <s v="UPI"/>
    <x v="1"/>
    <x v="2"/>
    <x v="0"/>
  </r>
  <r>
    <x v="62"/>
    <x v="49"/>
    <s v="Gujarat"/>
    <x v="0"/>
    <x v="2"/>
    <x v="5"/>
    <n v="4"/>
    <n v="3264.92"/>
    <n v="0.12"/>
    <n v="11492.52"/>
    <n v="13059.68"/>
    <n v="1567.1599999999999"/>
    <n v="11492.52"/>
    <s v="Debit Card"/>
    <x v="1"/>
    <x v="2"/>
    <x v="0"/>
  </r>
  <r>
    <x v="63"/>
    <x v="50"/>
    <s v="Karnataka"/>
    <x v="2"/>
    <x v="2"/>
    <x v="11"/>
    <n v="4"/>
    <n v="2812.02"/>
    <n v="0.09"/>
    <n v="10235.75"/>
    <n v="11248.08"/>
    <n v="1012.3299999999999"/>
    <n v="10235.75"/>
    <s v="COD"/>
    <x v="2"/>
    <x v="0"/>
    <x v="0"/>
  </r>
  <r>
    <x v="64"/>
    <x v="51"/>
    <s v="Karnataka"/>
    <x v="3"/>
    <x v="2"/>
    <x v="6"/>
    <n v="1"/>
    <n v="3634.29"/>
    <n v="0.08"/>
    <n v="3343.55"/>
    <n v="3634.29"/>
    <n v="290.73999999999978"/>
    <n v="3343.55"/>
    <s v="UPI"/>
    <x v="0"/>
    <x v="0"/>
    <x v="0"/>
  </r>
  <r>
    <x v="65"/>
    <x v="52"/>
    <s v="Gujarat"/>
    <x v="3"/>
    <x v="2"/>
    <x v="6"/>
    <n v="3"/>
    <n v="4904.5"/>
    <n v="0.21"/>
    <n v="11623.67"/>
    <n v="14713.5"/>
    <n v="3089.83"/>
    <n v="11623.67"/>
    <s v="COD"/>
    <x v="1"/>
    <x v="1"/>
    <x v="0"/>
  </r>
  <r>
    <x v="66"/>
    <x v="42"/>
    <s v="Gujarat"/>
    <x v="3"/>
    <x v="4"/>
    <x v="19"/>
    <n v="1"/>
    <n v="4874.05"/>
    <n v="0.14000000000000001"/>
    <n v="4191.68"/>
    <n v="4874.05"/>
    <n v="682.36999999999989"/>
    <n v="4191.68"/>
    <s v="Debit Card"/>
    <x v="2"/>
    <x v="0"/>
    <x v="0"/>
  </r>
  <r>
    <x v="67"/>
    <x v="53"/>
    <s v="Maharashtra"/>
    <x v="2"/>
    <x v="2"/>
    <x v="7"/>
    <n v="4"/>
    <n v="2445.6999999999998"/>
    <n v="0.09"/>
    <n v="8902.35"/>
    <n v="9782.7999999999993"/>
    <n v="880.44999999999891"/>
    <n v="8902.35"/>
    <s v="COD"/>
    <x v="2"/>
    <x v="2"/>
    <x v="1"/>
  </r>
  <r>
    <x v="68"/>
    <x v="54"/>
    <s v="Maharashtra"/>
    <x v="3"/>
    <x v="2"/>
    <x v="7"/>
    <n v="1"/>
    <n v="2927.4"/>
    <n v="0.17"/>
    <n v="2429.7399999999998"/>
    <n v="2927.4"/>
    <n v="497.66000000000031"/>
    <n v="2429.7399999999998"/>
    <s v="Net Banking"/>
    <x v="2"/>
    <x v="2"/>
    <x v="3"/>
  </r>
  <r>
    <x v="69"/>
    <x v="55"/>
    <s v="Delhi"/>
    <x v="1"/>
    <x v="4"/>
    <x v="19"/>
    <n v="4"/>
    <n v="3070.96"/>
    <n v="0.2"/>
    <n v="9827.07"/>
    <n v="12283.84"/>
    <n v="2456.7700000000004"/>
    <n v="9827.07"/>
    <s v="Credit Card"/>
    <x v="1"/>
    <x v="2"/>
    <x v="0"/>
  </r>
  <r>
    <x v="70"/>
    <x v="56"/>
    <s v="Gujarat"/>
    <x v="0"/>
    <x v="2"/>
    <x v="6"/>
    <n v="5"/>
    <n v="3143.03"/>
    <n v="0.15"/>
    <n v="13357.88"/>
    <n v="15715.150000000001"/>
    <n v="2357.2700000000023"/>
    <n v="13357.88"/>
    <s v="Net Banking"/>
    <x v="2"/>
    <x v="0"/>
    <x v="1"/>
  </r>
  <r>
    <x v="71"/>
    <x v="57"/>
    <s v="Karnataka"/>
    <x v="1"/>
    <x v="3"/>
    <x v="12"/>
    <n v="2"/>
    <n v="951.69"/>
    <n v="0.02"/>
    <n v="1865.31"/>
    <n v="1903.38"/>
    <n v="38.070000000000164"/>
    <n v="1865.31"/>
    <s v="Credit Card"/>
    <x v="0"/>
    <x v="2"/>
    <x v="0"/>
  </r>
  <r>
    <x v="72"/>
    <x v="58"/>
    <s v="Karnataka"/>
    <x v="0"/>
    <x v="1"/>
    <x v="14"/>
    <n v="3"/>
    <n v="3564.08"/>
    <n v="0.18"/>
    <n v="8767.64"/>
    <n v="10692.24"/>
    <n v="1924.6000000000004"/>
    <n v="8767.64"/>
    <s v="Credit Card"/>
    <x v="0"/>
    <x v="1"/>
    <x v="0"/>
  </r>
  <r>
    <x v="73"/>
    <x v="59"/>
    <s v="Tamil Nadu"/>
    <x v="0"/>
    <x v="4"/>
    <x v="16"/>
    <n v="2"/>
    <n v="3273.41"/>
    <n v="0.23"/>
    <n v="5041.05"/>
    <n v="6546.82"/>
    <n v="1505.7699999999995"/>
    <n v="5041.05"/>
    <s v="Credit Card"/>
    <x v="1"/>
    <x v="2"/>
    <x v="0"/>
  </r>
  <r>
    <x v="74"/>
    <x v="60"/>
    <s v="Tamil Nadu"/>
    <x v="1"/>
    <x v="4"/>
    <x v="17"/>
    <n v="3"/>
    <n v="3528.7"/>
    <n v="0.24"/>
    <n v="8045.44"/>
    <n v="10586.099999999999"/>
    <n v="2540.6599999999989"/>
    <n v="8045.44"/>
    <s v="Credit Card"/>
    <x v="2"/>
    <x v="0"/>
    <x v="0"/>
  </r>
  <r>
    <x v="75"/>
    <x v="61"/>
    <s v="Tamil Nadu"/>
    <x v="0"/>
    <x v="1"/>
    <x v="13"/>
    <n v="3"/>
    <n v="226.74"/>
    <n v="0.06"/>
    <n v="639.41"/>
    <n v="680.22"/>
    <n v="40.810000000000059"/>
    <n v="639.41"/>
    <s v="UPI"/>
    <x v="1"/>
    <x v="0"/>
    <x v="2"/>
  </r>
  <r>
    <x v="76"/>
    <x v="62"/>
    <s v="Delhi"/>
    <x v="1"/>
    <x v="4"/>
    <x v="19"/>
    <n v="4"/>
    <n v="4588.76"/>
    <n v="0.05"/>
    <n v="17437.29"/>
    <n v="18355.04"/>
    <n v="917.75"/>
    <n v="17437.29"/>
    <s v="Net Banking"/>
    <x v="1"/>
    <x v="0"/>
    <x v="0"/>
  </r>
  <r>
    <x v="77"/>
    <x v="63"/>
    <s v="Tamil Nadu"/>
    <x v="2"/>
    <x v="2"/>
    <x v="7"/>
    <n v="3"/>
    <n v="1673.19"/>
    <n v="0.03"/>
    <n v="4868.9799999999996"/>
    <n v="5019.57"/>
    <n v="150.59000000000015"/>
    <n v="4868.9799999999996"/>
    <s v="UPI"/>
    <x v="2"/>
    <x v="2"/>
    <x v="0"/>
  </r>
  <r>
    <x v="78"/>
    <x v="26"/>
    <s v="Tamil Nadu"/>
    <x v="1"/>
    <x v="2"/>
    <x v="6"/>
    <n v="4"/>
    <n v="531.49"/>
    <n v="0.06"/>
    <n v="1998.4"/>
    <n v="2125.96"/>
    <n v="127.55999999999995"/>
    <n v="1998.4"/>
    <s v="COD"/>
    <x v="0"/>
    <x v="2"/>
    <x v="1"/>
  </r>
  <r>
    <x v="79"/>
    <x v="64"/>
    <s v="Tamil Nadu"/>
    <x v="1"/>
    <x v="0"/>
    <x v="3"/>
    <n v="5"/>
    <n v="1872.72"/>
    <n v="0.19"/>
    <n v="7584.52"/>
    <n v="9363.6"/>
    <n v="1779.08"/>
    <n v="7584.52"/>
    <s v="Credit Card"/>
    <x v="0"/>
    <x v="0"/>
    <x v="3"/>
  </r>
  <r>
    <x v="80"/>
    <x v="47"/>
    <s v="Gujarat"/>
    <x v="3"/>
    <x v="3"/>
    <x v="9"/>
    <n v="4"/>
    <n v="4416.1499999999996"/>
    <n v="0.12"/>
    <n v="15544.85"/>
    <n v="17664.599999999999"/>
    <n v="2119.7499999999982"/>
    <n v="15544.85"/>
    <s v="Debit Card"/>
    <x v="2"/>
    <x v="2"/>
    <x v="0"/>
  </r>
  <r>
    <x v="81"/>
    <x v="65"/>
    <s v="Gujarat"/>
    <x v="0"/>
    <x v="4"/>
    <x v="19"/>
    <n v="2"/>
    <n v="4962.0600000000004"/>
    <n v="0.23"/>
    <n v="7641.57"/>
    <n v="9924.1200000000008"/>
    <n v="2282.5500000000011"/>
    <n v="7641.57"/>
    <s v="Net Banking"/>
    <x v="0"/>
    <x v="1"/>
    <x v="0"/>
  </r>
  <r>
    <x v="82"/>
    <x v="66"/>
    <s v="Karnataka"/>
    <x v="3"/>
    <x v="3"/>
    <x v="15"/>
    <n v="3"/>
    <n v="2135.9"/>
    <n v="0.12"/>
    <n v="5638.78"/>
    <n v="6407.7000000000007"/>
    <n v="768.92000000000098"/>
    <n v="5638.78"/>
    <s v="COD"/>
    <x v="1"/>
    <x v="1"/>
    <x v="0"/>
  </r>
  <r>
    <x v="83"/>
    <x v="67"/>
    <s v="Delhi"/>
    <x v="2"/>
    <x v="3"/>
    <x v="15"/>
    <n v="2"/>
    <n v="4333.7299999999996"/>
    <n v="7.0000000000000007E-2"/>
    <n v="8060.74"/>
    <n v="8667.4599999999991"/>
    <n v="606.71999999999935"/>
    <n v="8060.74"/>
    <s v="COD"/>
    <x v="1"/>
    <x v="1"/>
    <x v="1"/>
  </r>
  <r>
    <x v="84"/>
    <x v="55"/>
    <s v="Maharashtra"/>
    <x v="1"/>
    <x v="1"/>
    <x v="1"/>
    <n v="3"/>
    <n v="4203.63"/>
    <n v="0.14000000000000001"/>
    <n v="10845.37"/>
    <n v="12610.89"/>
    <n v="1765.5199999999986"/>
    <n v="10845.37"/>
    <s v="UPI"/>
    <x v="1"/>
    <x v="0"/>
    <x v="1"/>
  </r>
  <r>
    <x v="85"/>
    <x v="53"/>
    <s v="Karnataka"/>
    <x v="3"/>
    <x v="2"/>
    <x v="5"/>
    <n v="5"/>
    <n v="1948.33"/>
    <n v="0.23"/>
    <n v="7501.07"/>
    <n v="9741.65"/>
    <n v="2240.58"/>
    <n v="7501.07"/>
    <s v="UPI"/>
    <x v="1"/>
    <x v="2"/>
    <x v="0"/>
  </r>
  <r>
    <x v="86"/>
    <x v="68"/>
    <s v="Maharashtra"/>
    <x v="3"/>
    <x v="3"/>
    <x v="15"/>
    <n v="4"/>
    <n v="3555.62"/>
    <n v="0.2"/>
    <n v="11377.98"/>
    <n v="14222.48"/>
    <n v="2844.5"/>
    <n v="11377.98"/>
    <s v="UPI"/>
    <x v="1"/>
    <x v="1"/>
    <x v="0"/>
  </r>
  <r>
    <x v="87"/>
    <x v="19"/>
    <s v="Gujarat"/>
    <x v="1"/>
    <x v="0"/>
    <x v="4"/>
    <n v="1"/>
    <n v="4383.53"/>
    <n v="0.11"/>
    <n v="3901.34"/>
    <n v="4383.53"/>
    <n v="482.1899999999996"/>
    <n v="3901.34"/>
    <s v="COD"/>
    <x v="2"/>
    <x v="0"/>
    <x v="0"/>
  </r>
  <r>
    <x v="88"/>
    <x v="30"/>
    <s v="Delhi"/>
    <x v="0"/>
    <x v="3"/>
    <x v="15"/>
    <n v="3"/>
    <n v="1758.95"/>
    <n v="0.17"/>
    <n v="4379.79"/>
    <n v="5276.85"/>
    <n v="897.0600000000004"/>
    <n v="4379.79"/>
    <s v="Credit Card"/>
    <x v="2"/>
    <x v="0"/>
    <x v="1"/>
  </r>
  <r>
    <x v="89"/>
    <x v="8"/>
    <s v="Karnataka"/>
    <x v="2"/>
    <x v="1"/>
    <x v="14"/>
    <n v="1"/>
    <n v="3125.55"/>
    <n v="0.06"/>
    <n v="2938.02"/>
    <n v="3125.55"/>
    <n v="187.5300000000002"/>
    <n v="2938.02"/>
    <s v="Net Banking"/>
    <x v="1"/>
    <x v="0"/>
    <x v="2"/>
  </r>
  <r>
    <x v="90"/>
    <x v="42"/>
    <s v="Maharashtra"/>
    <x v="2"/>
    <x v="0"/>
    <x v="3"/>
    <n v="2"/>
    <n v="3500.61"/>
    <n v="0.23"/>
    <n v="5390.94"/>
    <n v="7001.22"/>
    <n v="1610.2800000000007"/>
    <n v="5390.94"/>
    <s v="Credit Card"/>
    <x v="2"/>
    <x v="2"/>
    <x v="3"/>
  </r>
  <r>
    <x v="91"/>
    <x v="4"/>
    <s v="Karnataka"/>
    <x v="3"/>
    <x v="4"/>
    <x v="17"/>
    <n v="2"/>
    <n v="2702.71"/>
    <n v="0.14000000000000001"/>
    <n v="4648.66"/>
    <n v="5405.42"/>
    <n v="756.76000000000022"/>
    <n v="4648.66"/>
    <s v="Net Banking"/>
    <x v="0"/>
    <x v="2"/>
    <x v="0"/>
  </r>
  <r>
    <x v="92"/>
    <x v="69"/>
    <s v="Gujarat"/>
    <x v="1"/>
    <x v="1"/>
    <x v="14"/>
    <n v="5"/>
    <n v="801.28"/>
    <n v="0.12"/>
    <n v="3525.63"/>
    <n v="4006.3999999999996"/>
    <n v="480.76999999999953"/>
    <n v="3525.63"/>
    <s v="Debit Card"/>
    <x v="2"/>
    <x v="1"/>
    <x v="0"/>
  </r>
  <r>
    <x v="93"/>
    <x v="70"/>
    <s v="Karnataka"/>
    <x v="2"/>
    <x v="0"/>
    <x v="3"/>
    <n v="1"/>
    <n v="2264.48"/>
    <n v="0.09"/>
    <n v="2060.6799999999998"/>
    <n v="2264.48"/>
    <n v="203.80000000000018"/>
    <n v="2060.6799999999998"/>
    <s v="COD"/>
    <x v="0"/>
    <x v="0"/>
    <x v="0"/>
  </r>
  <r>
    <x v="94"/>
    <x v="56"/>
    <s v="Tamil Nadu"/>
    <x v="2"/>
    <x v="2"/>
    <x v="6"/>
    <n v="4"/>
    <n v="4281.34"/>
    <n v="0.03"/>
    <n v="16611.599999999999"/>
    <n v="17125.36"/>
    <n v="513.76000000000204"/>
    <n v="16611.599999999999"/>
    <s v="UPI"/>
    <x v="0"/>
    <x v="1"/>
    <x v="0"/>
  </r>
  <r>
    <x v="95"/>
    <x v="61"/>
    <s v="Tamil Nadu"/>
    <x v="1"/>
    <x v="4"/>
    <x v="19"/>
    <n v="5"/>
    <n v="4338.83"/>
    <n v="0.19"/>
    <n v="17572.259999999998"/>
    <n v="21694.15"/>
    <n v="4121.8900000000031"/>
    <n v="17572.259999999998"/>
    <s v="UPI"/>
    <x v="0"/>
    <x v="2"/>
    <x v="3"/>
  </r>
  <r>
    <x v="96"/>
    <x v="34"/>
    <s v="Gujarat"/>
    <x v="3"/>
    <x v="4"/>
    <x v="16"/>
    <n v="2"/>
    <n v="3142.37"/>
    <n v="0.17"/>
    <n v="5216.33"/>
    <n v="6284.74"/>
    <n v="1068.4099999999999"/>
    <n v="5216.33"/>
    <s v="UPI"/>
    <x v="0"/>
    <x v="0"/>
    <x v="0"/>
  </r>
  <r>
    <x v="97"/>
    <x v="71"/>
    <s v="Tamil Nadu"/>
    <x v="2"/>
    <x v="0"/>
    <x v="2"/>
    <n v="3"/>
    <n v="3688.56"/>
    <n v="0.02"/>
    <n v="10844.37"/>
    <n v="11065.68"/>
    <n v="221.30999999999949"/>
    <n v="10844.37"/>
    <s v="Credit Card"/>
    <x v="1"/>
    <x v="1"/>
    <x v="0"/>
  </r>
  <r>
    <x v="98"/>
    <x v="72"/>
    <s v="Delhi"/>
    <x v="2"/>
    <x v="3"/>
    <x v="12"/>
    <n v="5"/>
    <n v="2558.79"/>
    <n v="7.0000000000000007E-2"/>
    <n v="11898.37"/>
    <n v="12793.95"/>
    <n v="895.57999999999993"/>
    <n v="11898.37"/>
    <s v="COD"/>
    <x v="2"/>
    <x v="2"/>
    <x v="1"/>
  </r>
  <r>
    <x v="99"/>
    <x v="73"/>
    <s v="Karnataka"/>
    <x v="1"/>
    <x v="2"/>
    <x v="6"/>
    <n v="1"/>
    <n v="789.71"/>
    <n v="0.24"/>
    <n v="600.17999999999995"/>
    <n v="789.71"/>
    <n v="189.53000000000009"/>
    <n v="600.17999999999995"/>
    <s v="Credit Card"/>
    <x v="2"/>
    <x v="0"/>
    <x v="2"/>
  </r>
  <r>
    <x v="100"/>
    <x v="74"/>
    <s v="Maharashtra"/>
    <x v="2"/>
    <x v="1"/>
    <x v="1"/>
    <n v="3"/>
    <n v="2729.2"/>
    <n v="0.11"/>
    <n v="7286.96"/>
    <n v="8187.5999999999995"/>
    <n v="900.63999999999942"/>
    <n v="7286.96"/>
    <s v="Net Banking"/>
    <x v="0"/>
    <x v="0"/>
    <x v="0"/>
  </r>
  <r>
    <x v="101"/>
    <x v="46"/>
    <s v="Delhi"/>
    <x v="3"/>
    <x v="4"/>
    <x v="19"/>
    <n v="5"/>
    <n v="4432.75"/>
    <n v="0.14000000000000001"/>
    <n v="19060.830000000002"/>
    <n v="22163.75"/>
    <n v="3102.9199999999983"/>
    <n v="19060.830000000002"/>
    <s v="Net Banking"/>
    <x v="0"/>
    <x v="0"/>
    <x v="0"/>
  </r>
  <r>
    <x v="102"/>
    <x v="26"/>
    <s v="Tamil Nadu"/>
    <x v="0"/>
    <x v="2"/>
    <x v="6"/>
    <n v="1"/>
    <n v="4736.68"/>
    <n v="0.08"/>
    <n v="4357.75"/>
    <n v="4736.68"/>
    <n v="378.93000000000029"/>
    <n v="4357.75"/>
    <s v="Credit Card"/>
    <x v="0"/>
    <x v="1"/>
    <x v="0"/>
  </r>
  <r>
    <x v="103"/>
    <x v="75"/>
    <s v="Tamil Nadu"/>
    <x v="1"/>
    <x v="1"/>
    <x v="10"/>
    <n v="5"/>
    <n v="2153.7199999999998"/>
    <n v="0.19"/>
    <n v="8722.57"/>
    <n v="10768.599999999999"/>
    <n v="2046.0299999999988"/>
    <n v="8722.57"/>
    <s v="Net Banking"/>
    <x v="2"/>
    <x v="2"/>
    <x v="0"/>
  </r>
  <r>
    <x v="104"/>
    <x v="76"/>
    <s v="Karnataka"/>
    <x v="2"/>
    <x v="2"/>
    <x v="5"/>
    <n v="3"/>
    <n v="1164.6199999999999"/>
    <n v="0.11"/>
    <n v="3109.54"/>
    <n v="3493.8599999999997"/>
    <n v="384.31999999999971"/>
    <n v="3109.54"/>
    <s v="Credit Card"/>
    <x v="1"/>
    <x v="2"/>
    <x v="0"/>
  </r>
  <r>
    <x v="105"/>
    <x v="77"/>
    <s v="Maharashtra"/>
    <x v="0"/>
    <x v="4"/>
    <x v="17"/>
    <n v="2"/>
    <n v="4844.21"/>
    <n v="0.24"/>
    <n v="7363.2"/>
    <n v="9688.42"/>
    <n v="2325.2200000000003"/>
    <n v="7363.2"/>
    <s v="Net Banking"/>
    <x v="2"/>
    <x v="1"/>
    <x v="0"/>
  </r>
  <r>
    <x v="106"/>
    <x v="64"/>
    <s v="Maharashtra"/>
    <x v="3"/>
    <x v="1"/>
    <x v="13"/>
    <n v="2"/>
    <n v="3956.19"/>
    <n v="0.05"/>
    <n v="7516.76"/>
    <n v="7912.38"/>
    <n v="395.61999999999989"/>
    <n v="7516.76"/>
    <s v="UPI"/>
    <x v="0"/>
    <x v="0"/>
    <x v="0"/>
  </r>
  <r>
    <x v="107"/>
    <x v="78"/>
    <s v="Delhi"/>
    <x v="2"/>
    <x v="3"/>
    <x v="9"/>
    <n v="3"/>
    <n v="4306.1899999999996"/>
    <n v="0.04"/>
    <n v="12401.83"/>
    <n v="12918.57"/>
    <n v="516.73999999999978"/>
    <n v="12401.83"/>
    <s v="COD"/>
    <x v="0"/>
    <x v="2"/>
    <x v="3"/>
  </r>
  <r>
    <x v="108"/>
    <x v="70"/>
    <s v="Delhi"/>
    <x v="0"/>
    <x v="0"/>
    <x v="0"/>
    <n v="2"/>
    <n v="2985.38"/>
    <n v="0"/>
    <n v="5970.76"/>
    <n v="5970.76"/>
    <n v="0"/>
    <n v="5970.76"/>
    <s v="Credit Card"/>
    <x v="2"/>
    <x v="1"/>
    <x v="0"/>
  </r>
  <r>
    <x v="109"/>
    <x v="79"/>
    <s v="Maharashtra"/>
    <x v="3"/>
    <x v="2"/>
    <x v="7"/>
    <n v="3"/>
    <n v="2614.87"/>
    <n v="0.03"/>
    <n v="7609.27"/>
    <n v="7844.61"/>
    <n v="235.33999999999924"/>
    <n v="7609.27"/>
    <s v="Net Banking"/>
    <x v="2"/>
    <x v="0"/>
    <x v="1"/>
  </r>
  <r>
    <x v="110"/>
    <x v="80"/>
    <s v="Tamil Nadu"/>
    <x v="1"/>
    <x v="0"/>
    <x v="2"/>
    <n v="4"/>
    <n v="4251.76"/>
    <n v="0.11"/>
    <n v="15136.27"/>
    <n v="17007.04"/>
    <n v="1870.7700000000004"/>
    <n v="15136.27"/>
    <s v="Credit Card"/>
    <x v="0"/>
    <x v="2"/>
    <x v="0"/>
  </r>
  <r>
    <x v="111"/>
    <x v="48"/>
    <s v="Maharashtra"/>
    <x v="2"/>
    <x v="2"/>
    <x v="7"/>
    <n v="2"/>
    <n v="421.84"/>
    <n v="7.0000000000000007E-2"/>
    <n v="784.62"/>
    <n v="843.68"/>
    <n v="59.059999999999945"/>
    <n v="784.62"/>
    <s v="UPI"/>
    <x v="1"/>
    <x v="0"/>
    <x v="0"/>
  </r>
  <r>
    <x v="112"/>
    <x v="5"/>
    <s v="Tamil Nadu"/>
    <x v="3"/>
    <x v="1"/>
    <x v="1"/>
    <n v="4"/>
    <n v="585.97"/>
    <n v="0.18"/>
    <n v="1921.98"/>
    <n v="2343.88"/>
    <n v="421.90000000000009"/>
    <n v="1921.98"/>
    <s v="COD"/>
    <x v="1"/>
    <x v="0"/>
    <x v="0"/>
  </r>
  <r>
    <x v="113"/>
    <x v="34"/>
    <s v="Karnataka"/>
    <x v="2"/>
    <x v="3"/>
    <x v="15"/>
    <n v="4"/>
    <n v="3675.1"/>
    <n v="0.08"/>
    <n v="13524.37"/>
    <n v="14700.4"/>
    <n v="1176.0299999999988"/>
    <n v="13524.37"/>
    <s v="Net Banking"/>
    <x v="2"/>
    <x v="1"/>
    <x v="0"/>
  </r>
  <r>
    <x v="114"/>
    <x v="49"/>
    <s v="Maharashtra"/>
    <x v="3"/>
    <x v="3"/>
    <x v="15"/>
    <n v="1"/>
    <n v="2216.19"/>
    <n v="0.19"/>
    <n v="1795.11"/>
    <n v="2216.19"/>
    <n v="421.08000000000015"/>
    <n v="1795.11"/>
    <s v="Credit Card"/>
    <x v="0"/>
    <x v="1"/>
    <x v="0"/>
  </r>
  <r>
    <x v="115"/>
    <x v="42"/>
    <s v="Maharashtra"/>
    <x v="2"/>
    <x v="1"/>
    <x v="1"/>
    <n v="4"/>
    <n v="4353.6499999999996"/>
    <n v="0.18"/>
    <n v="14279.97"/>
    <n v="17414.599999999999"/>
    <n v="3134.6299999999992"/>
    <n v="14279.97"/>
    <s v="Net Banking"/>
    <x v="2"/>
    <x v="1"/>
    <x v="0"/>
  </r>
  <r>
    <x v="116"/>
    <x v="81"/>
    <s v="Delhi"/>
    <x v="2"/>
    <x v="1"/>
    <x v="10"/>
    <n v="1"/>
    <n v="1815.56"/>
    <n v="0.14000000000000001"/>
    <n v="1561.38"/>
    <n v="1815.56"/>
    <n v="254.17999999999984"/>
    <n v="1561.38"/>
    <s v="Net Banking"/>
    <x v="0"/>
    <x v="2"/>
    <x v="0"/>
  </r>
  <r>
    <x v="117"/>
    <x v="52"/>
    <s v="Gujarat"/>
    <x v="2"/>
    <x v="2"/>
    <x v="7"/>
    <n v="2"/>
    <n v="1439.02"/>
    <n v="0.19"/>
    <n v="2331.21"/>
    <n v="2878.04"/>
    <n v="546.82999999999993"/>
    <n v="2331.21"/>
    <s v="UPI"/>
    <x v="0"/>
    <x v="1"/>
    <x v="0"/>
  </r>
  <r>
    <x v="118"/>
    <x v="0"/>
    <s v="Maharashtra"/>
    <x v="1"/>
    <x v="3"/>
    <x v="15"/>
    <n v="1"/>
    <n v="549.61"/>
    <n v="0.13"/>
    <n v="478.16"/>
    <n v="549.61"/>
    <n v="71.449999999999989"/>
    <n v="478.16"/>
    <s v="Debit Card"/>
    <x v="1"/>
    <x v="1"/>
    <x v="0"/>
  </r>
  <r>
    <x v="119"/>
    <x v="82"/>
    <s v="Karnataka"/>
    <x v="0"/>
    <x v="3"/>
    <x v="9"/>
    <n v="5"/>
    <n v="516.29"/>
    <n v="0.01"/>
    <n v="2555.64"/>
    <n v="2581.4499999999998"/>
    <n v="25.809999999999945"/>
    <n v="2555.64"/>
    <s v="UPI"/>
    <x v="1"/>
    <x v="2"/>
    <x v="0"/>
  </r>
  <r>
    <x v="120"/>
    <x v="22"/>
    <s v="Tamil Nadu"/>
    <x v="0"/>
    <x v="4"/>
    <x v="18"/>
    <n v="4"/>
    <n v="2129.5"/>
    <n v="0.05"/>
    <n v="8092.1"/>
    <n v="8518"/>
    <n v="425.89999999999964"/>
    <n v="8092.1"/>
    <s v="Net Banking"/>
    <x v="1"/>
    <x v="0"/>
    <x v="0"/>
  </r>
  <r>
    <x v="121"/>
    <x v="18"/>
    <s v="Gujarat"/>
    <x v="0"/>
    <x v="0"/>
    <x v="2"/>
    <n v="3"/>
    <n v="322.55"/>
    <n v="0.1"/>
    <n v="870.89"/>
    <n v="967.65000000000009"/>
    <n v="96.760000000000105"/>
    <n v="870.89"/>
    <s v="Net Banking"/>
    <x v="1"/>
    <x v="0"/>
    <x v="0"/>
  </r>
  <r>
    <x v="122"/>
    <x v="76"/>
    <s v="Delhi"/>
    <x v="3"/>
    <x v="4"/>
    <x v="16"/>
    <n v="3"/>
    <n v="687.92"/>
    <n v="0.12"/>
    <n v="1816.11"/>
    <n v="2063.7599999999998"/>
    <n v="247.64999999999986"/>
    <n v="1816.11"/>
    <s v="UPI"/>
    <x v="2"/>
    <x v="1"/>
    <x v="0"/>
  </r>
  <r>
    <x v="123"/>
    <x v="83"/>
    <s v="Gujarat"/>
    <x v="1"/>
    <x v="1"/>
    <x v="10"/>
    <n v="3"/>
    <n v="453.17"/>
    <n v="0.22"/>
    <n v="1060.42"/>
    <n v="1359.51"/>
    <n v="299.08999999999992"/>
    <n v="1060.42"/>
    <s v="COD"/>
    <x v="1"/>
    <x v="2"/>
    <x v="0"/>
  </r>
  <r>
    <x v="124"/>
    <x v="84"/>
    <s v="Gujarat"/>
    <x v="1"/>
    <x v="0"/>
    <x v="2"/>
    <n v="4"/>
    <n v="3576.54"/>
    <n v="0.1"/>
    <n v="12875.54"/>
    <n v="14306.16"/>
    <n v="1430.619999999999"/>
    <n v="12875.54"/>
    <s v="Net Banking"/>
    <x v="1"/>
    <x v="2"/>
    <x v="0"/>
  </r>
  <r>
    <x v="125"/>
    <x v="85"/>
    <s v="Gujarat"/>
    <x v="1"/>
    <x v="4"/>
    <x v="16"/>
    <n v="3"/>
    <n v="531.84"/>
    <n v="0.21"/>
    <n v="1260.46"/>
    <n v="1595.52"/>
    <n v="335.05999999999995"/>
    <n v="1260.46"/>
    <s v="Net Banking"/>
    <x v="1"/>
    <x v="2"/>
    <x v="0"/>
  </r>
  <r>
    <x v="126"/>
    <x v="67"/>
    <s v="Tamil Nadu"/>
    <x v="0"/>
    <x v="1"/>
    <x v="13"/>
    <n v="3"/>
    <n v="1185.7"/>
    <n v="0.19"/>
    <n v="2881.25"/>
    <n v="3557.1000000000004"/>
    <n v="675.85000000000036"/>
    <n v="2881.25"/>
    <s v="UPI"/>
    <x v="1"/>
    <x v="2"/>
    <x v="0"/>
  </r>
  <r>
    <x v="127"/>
    <x v="86"/>
    <s v="Karnataka"/>
    <x v="3"/>
    <x v="3"/>
    <x v="9"/>
    <n v="1"/>
    <n v="817.58"/>
    <n v="0.05"/>
    <n v="776.7"/>
    <n v="817.58"/>
    <n v="40.879999999999995"/>
    <n v="776.7"/>
    <s v="Debit Card"/>
    <x v="0"/>
    <x v="0"/>
    <x v="3"/>
  </r>
  <r>
    <x v="128"/>
    <x v="66"/>
    <s v="Tamil Nadu"/>
    <x v="2"/>
    <x v="0"/>
    <x v="4"/>
    <n v="5"/>
    <n v="2299.64"/>
    <n v="0.23"/>
    <n v="8853.61"/>
    <n v="11498.199999999999"/>
    <n v="2644.5899999999983"/>
    <n v="8853.61"/>
    <s v="Net Banking"/>
    <x v="1"/>
    <x v="0"/>
    <x v="1"/>
  </r>
  <r>
    <x v="129"/>
    <x v="87"/>
    <s v="Tamil Nadu"/>
    <x v="0"/>
    <x v="4"/>
    <x v="16"/>
    <n v="4"/>
    <n v="3193.79"/>
    <n v="0.2"/>
    <n v="10220.129999999999"/>
    <n v="12775.16"/>
    <n v="2555.0300000000007"/>
    <n v="10220.129999999999"/>
    <s v="Credit Card"/>
    <x v="2"/>
    <x v="0"/>
    <x v="0"/>
  </r>
  <r>
    <x v="130"/>
    <x v="15"/>
    <s v="Tamil Nadu"/>
    <x v="0"/>
    <x v="0"/>
    <x v="2"/>
    <n v="1"/>
    <n v="1906.81"/>
    <n v="7.0000000000000007E-2"/>
    <n v="1773.33"/>
    <n v="1906.81"/>
    <n v="133.48000000000002"/>
    <n v="1773.33"/>
    <s v="Net Banking"/>
    <x v="0"/>
    <x v="0"/>
    <x v="0"/>
  </r>
  <r>
    <x v="131"/>
    <x v="33"/>
    <s v="Tamil Nadu"/>
    <x v="3"/>
    <x v="1"/>
    <x v="14"/>
    <n v="1"/>
    <n v="2303.6999999999998"/>
    <n v="0.2"/>
    <n v="1842.96"/>
    <n v="2303.6999999999998"/>
    <n v="460.73999999999978"/>
    <n v="1842.96"/>
    <s v="COD"/>
    <x v="1"/>
    <x v="0"/>
    <x v="0"/>
  </r>
  <r>
    <x v="132"/>
    <x v="88"/>
    <s v="Maharashtra"/>
    <x v="3"/>
    <x v="2"/>
    <x v="11"/>
    <n v="3"/>
    <n v="4913.6899999999996"/>
    <n v="0.02"/>
    <n v="14446.25"/>
    <n v="14741.07"/>
    <n v="294.81999999999971"/>
    <n v="14446.25"/>
    <s v="Net Banking"/>
    <x v="0"/>
    <x v="0"/>
    <x v="0"/>
  </r>
  <r>
    <x v="133"/>
    <x v="89"/>
    <s v="Gujarat"/>
    <x v="1"/>
    <x v="2"/>
    <x v="5"/>
    <n v="2"/>
    <n v="1883.1"/>
    <n v="0.23"/>
    <n v="2899.97"/>
    <n v="3766.2"/>
    <n v="866.23"/>
    <n v="2899.97"/>
    <s v="COD"/>
    <x v="1"/>
    <x v="1"/>
    <x v="3"/>
  </r>
  <r>
    <x v="134"/>
    <x v="46"/>
    <s v="Karnataka"/>
    <x v="3"/>
    <x v="1"/>
    <x v="13"/>
    <n v="1"/>
    <n v="2834.02"/>
    <n v="0.1"/>
    <n v="2550.62"/>
    <n v="2834.02"/>
    <n v="283.40000000000009"/>
    <n v="2550.62"/>
    <s v="Credit Card"/>
    <x v="2"/>
    <x v="1"/>
    <x v="0"/>
  </r>
  <r>
    <x v="135"/>
    <x v="90"/>
    <s v="Karnataka"/>
    <x v="2"/>
    <x v="1"/>
    <x v="10"/>
    <n v="4"/>
    <n v="731.86"/>
    <n v="0.18"/>
    <n v="2400.5"/>
    <n v="2927.44"/>
    <n v="526.94000000000005"/>
    <n v="2400.5"/>
    <s v="UPI"/>
    <x v="1"/>
    <x v="2"/>
    <x v="0"/>
  </r>
  <r>
    <x v="136"/>
    <x v="73"/>
    <s v="Gujarat"/>
    <x v="3"/>
    <x v="4"/>
    <x v="16"/>
    <n v="4"/>
    <n v="2591.59"/>
    <n v="0"/>
    <n v="10366.36"/>
    <n v="10366.36"/>
    <n v="0"/>
    <n v="10366.36"/>
    <s v="Credit Card"/>
    <x v="1"/>
    <x v="1"/>
    <x v="2"/>
  </r>
  <r>
    <x v="137"/>
    <x v="91"/>
    <s v="Delhi"/>
    <x v="0"/>
    <x v="4"/>
    <x v="18"/>
    <n v="2"/>
    <n v="478.11"/>
    <n v="0.21"/>
    <n v="755.41"/>
    <n v="956.22"/>
    <n v="200.81000000000006"/>
    <n v="755.41"/>
    <s v="Debit Card"/>
    <x v="0"/>
    <x v="2"/>
    <x v="0"/>
  </r>
  <r>
    <x v="138"/>
    <x v="92"/>
    <s v="Gujarat"/>
    <x v="3"/>
    <x v="1"/>
    <x v="10"/>
    <n v="2"/>
    <n v="986.15"/>
    <n v="0.17"/>
    <n v="1637.01"/>
    <n v="1972.3"/>
    <n v="335.28999999999996"/>
    <n v="1637.01"/>
    <s v="Net Banking"/>
    <x v="0"/>
    <x v="0"/>
    <x v="0"/>
  </r>
  <r>
    <x v="139"/>
    <x v="93"/>
    <s v="Karnataka"/>
    <x v="3"/>
    <x v="0"/>
    <x v="3"/>
    <n v="5"/>
    <n v="1496.15"/>
    <n v="0.19"/>
    <n v="6059.41"/>
    <n v="7480.75"/>
    <n v="1421.3400000000001"/>
    <n v="6059.41"/>
    <s v="Debit Card"/>
    <x v="2"/>
    <x v="1"/>
    <x v="0"/>
  </r>
  <r>
    <x v="140"/>
    <x v="24"/>
    <s v="Delhi"/>
    <x v="1"/>
    <x v="4"/>
    <x v="18"/>
    <n v="5"/>
    <n v="4923.75"/>
    <n v="0.12"/>
    <n v="21664.5"/>
    <n v="24618.75"/>
    <n v="2954.25"/>
    <n v="21664.5"/>
    <s v="UPI"/>
    <x v="1"/>
    <x v="1"/>
    <x v="0"/>
  </r>
  <r>
    <x v="141"/>
    <x v="88"/>
    <s v="Delhi"/>
    <x v="0"/>
    <x v="2"/>
    <x v="11"/>
    <n v="3"/>
    <n v="355.68"/>
    <n v="0.12"/>
    <n v="939"/>
    <n v="1067.04"/>
    <n v="128.03999999999996"/>
    <n v="939"/>
    <s v="COD"/>
    <x v="0"/>
    <x v="1"/>
    <x v="0"/>
  </r>
  <r>
    <x v="142"/>
    <x v="39"/>
    <s v="Karnataka"/>
    <x v="0"/>
    <x v="1"/>
    <x v="13"/>
    <n v="3"/>
    <n v="2301.66"/>
    <n v="0.13"/>
    <n v="6007.33"/>
    <n v="6904.98"/>
    <n v="897.64999999999964"/>
    <n v="6007.33"/>
    <s v="Credit Card"/>
    <x v="0"/>
    <x v="1"/>
    <x v="1"/>
  </r>
  <r>
    <x v="143"/>
    <x v="94"/>
    <s v="Karnataka"/>
    <x v="0"/>
    <x v="3"/>
    <x v="15"/>
    <n v="1"/>
    <n v="2042.62"/>
    <n v="0.09"/>
    <n v="1858.78"/>
    <n v="2042.62"/>
    <n v="183.83999999999992"/>
    <n v="1858.78"/>
    <s v="Credit Card"/>
    <x v="2"/>
    <x v="1"/>
    <x v="0"/>
  </r>
  <r>
    <x v="144"/>
    <x v="95"/>
    <s v="Maharashtra"/>
    <x v="3"/>
    <x v="0"/>
    <x v="2"/>
    <n v="2"/>
    <n v="287.69"/>
    <n v="0.23"/>
    <n v="443.04"/>
    <n v="575.38"/>
    <n v="132.33999999999997"/>
    <n v="443.04"/>
    <s v="UPI"/>
    <x v="0"/>
    <x v="1"/>
    <x v="3"/>
  </r>
  <r>
    <x v="145"/>
    <x v="96"/>
    <s v="Gujarat"/>
    <x v="1"/>
    <x v="2"/>
    <x v="5"/>
    <n v="1"/>
    <n v="1354.03"/>
    <n v="0.21"/>
    <n v="1069.68"/>
    <n v="1354.03"/>
    <n v="284.34999999999991"/>
    <n v="1069.68"/>
    <s v="Credit Card"/>
    <x v="0"/>
    <x v="0"/>
    <x v="0"/>
  </r>
  <r>
    <x v="146"/>
    <x v="59"/>
    <s v="Karnataka"/>
    <x v="0"/>
    <x v="4"/>
    <x v="16"/>
    <n v="2"/>
    <n v="2157.15"/>
    <n v="0.2"/>
    <n v="3451.44"/>
    <n v="4314.3"/>
    <n v="862.86000000000013"/>
    <n v="3451.44"/>
    <s v="Credit Card"/>
    <x v="0"/>
    <x v="1"/>
    <x v="0"/>
  </r>
  <r>
    <x v="147"/>
    <x v="91"/>
    <s v="Gujarat"/>
    <x v="3"/>
    <x v="2"/>
    <x v="7"/>
    <n v="2"/>
    <n v="1527.23"/>
    <n v="0"/>
    <n v="3054.46"/>
    <n v="3054.46"/>
    <n v="0"/>
    <n v="3054.46"/>
    <s v="COD"/>
    <x v="0"/>
    <x v="1"/>
    <x v="0"/>
  </r>
  <r>
    <x v="148"/>
    <x v="0"/>
    <s v="Gujarat"/>
    <x v="0"/>
    <x v="3"/>
    <x v="8"/>
    <n v="5"/>
    <n v="2766"/>
    <n v="0.2"/>
    <n v="11064"/>
    <n v="13830"/>
    <n v="2766"/>
    <n v="11064"/>
    <s v="UPI"/>
    <x v="0"/>
    <x v="0"/>
    <x v="0"/>
  </r>
  <r>
    <x v="149"/>
    <x v="49"/>
    <s v="Tamil Nadu"/>
    <x v="0"/>
    <x v="2"/>
    <x v="7"/>
    <n v="1"/>
    <n v="1849.76"/>
    <n v="0.02"/>
    <n v="1812.76"/>
    <n v="1849.76"/>
    <n v="37"/>
    <n v="1812.76"/>
    <s v="UPI"/>
    <x v="2"/>
    <x v="2"/>
    <x v="3"/>
  </r>
  <r>
    <x v="150"/>
    <x v="7"/>
    <s v="Maharashtra"/>
    <x v="1"/>
    <x v="4"/>
    <x v="16"/>
    <n v="3"/>
    <n v="4086.19"/>
    <n v="0.04"/>
    <n v="11768.23"/>
    <n v="12258.57"/>
    <n v="490.34000000000015"/>
    <n v="11768.23"/>
    <s v="UPI"/>
    <x v="1"/>
    <x v="0"/>
    <x v="2"/>
  </r>
  <r>
    <x v="151"/>
    <x v="46"/>
    <s v="Delhi"/>
    <x v="0"/>
    <x v="2"/>
    <x v="11"/>
    <n v="4"/>
    <n v="281.22000000000003"/>
    <n v="0.05"/>
    <n v="1068.6400000000001"/>
    <n v="1124.8800000000001"/>
    <n v="56.240000000000009"/>
    <n v="1068.6400000000001"/>
    <s v="Credit Card"/>
    <x v="1"/>
    <x v="2"/>
    <x v="0"/>
  </r>
  <r>
    <x v="152"/>
    <x v="7"/>
    <s v="Gujarat"/>
    <x v="0"/>
    <x v="4"/>
    <x v="18"/>
    <n v="1"/>
    <n v="3791.13"/>
    <n v="0.05"/>
    <n v="3601.57"/>
    <n v="3791.13"/>
    <n v="189.55999999999995"/>
    <n v="3601.57"/>
    <s v="Net Banking"/>
    <x v="2"/>
    <x v="1"/>
    <x v="1"/>
  </r>
  <r>
    <x v="153"/>
    <x v="5"/>
    <s v="Maharashtra"/>
    <x v="2"/>
    <x v="4"/>
    <x v="17"/>
    <n v="4"/>
    <n v="3742.21"/>
    <n v="0.22"/>
    <n v="11675.7"/>
    <n v="14968.84"/>
    <n v="3293.1399999999994"/>
    <n v="11675.7"/>
    <s v="UPI"/>
    <x v="2"/>
    <x v="1"/>
    <x v="2"/>
  </r>
  <r>
    <x v="154"/>
    <x v="97"/>
    <s v="Karnataka"/>
    <x v="3"/>
    <x v="2"/>
    <x v="5"/>
    <n v="1"/>
    <n v="3662.7"/>
    <n v="0.02"/>
    <n v="3589.45"/>
    <n v="3662.7"/>
    <n v="73.25"/>
    <n v="3589.45"/>
    <s v="COD"/>
    <x v="2"/>
    <x v="0"/>
    <x v="0"/>
  </r>
  <r>
    <x v="155"/>
    <x v="98"/>
    <s v="Maharashtra"/>
    <x v="3"/>
    <x v="4"/>
    <x v="19"/>
    <n v="3"/>
    <n v="1601.83"/>
    <n v="0.15"/>
    <n v="4084.67"/>
    <n v="4805.49"/>
    <n v="720.81999999999971"/>
    <n v="4084.67"/>
    <s v="UPI"/>
    <x v="1"/>
    <x v="1"/>
    <x v="0"/>
  </r>
  <r>
    <x v="156"/>
    <x v="50"/>
    <s v="Maharashtra"/>
    <x v="0"/>
    <x v="4"/>
    <x v="18"/>
    <n v="4"/>
    <n v="1445.32"/>
    <n v="0.25"/>
    <n v="4335.96"/>
    <n v="5781.28"/>
    <n v="1445.3199999999997"/>
    <n v="4335.96"/>
    <s v="UPI"/>
    <x v="1"/>
    <x v="2"/>
    <x v="0"/>
  </r>
  <r>
    <x v="157"/>
    <x v="46"/>
    <s v="Gujarat"/>
    <x v="0"/>
    <x v="2"/>
    <x v="6"/>
    <n v="2"/>
    <n v="4258.4799999999996"/>
    <n v="0.17"/>
    <n v="7069.08"/>
    <n v="8516.9599999999991"/>
    <n v="1447.8799999999992"/>
    <n v="7069.08"/>
    <s v="Debit Card"/>
    <x v="0"/>
    <x v="1"/>
    <x v="0"/>
  </r>
  <r>
    <x v="158"/>
    <x v="99"/>
    <s v="Karnataka"/>
    <x v="2"/>
    <x v="3"/>
    <x v="9"/>
    <n v="1"/>
    <n v="3064.96"/>
    <n v="0.17"/>
    <n v="2543.92"/>
    <n v="3064.96"/>
    <n v="521.04"/>
    <n v="2543.92"/>
    <s v="Net Banking"/>
    <x v="1"/>
    <x v="1"/>
    <x v="0"/>
  </r>
  <r>
    <x v="159"/>
    <x v="100"/>
    <s v="Gujarat"/>
    <x v="0"/>
    <x v="0"/>
    <x v="4"/>
    <n v="3"/>
    <n v="3282.85"/>
    <n v="0.06"/>
    <n v="9257.64"/>
    <n v="9848.5499999999993"/>
    <n v="590.90999999999985"/>
    <n v="9257.64"/>
    <s v="UPI"/>
    <x v="2"/>
    <x v="2"/>
    <x v="0"/>
  </r>
  <r>
    <x v="160"/>
    <x v="101"/>
    <s v="Gujarat"/>
    <x v="2"/>
    <x v="2"/>
    <x v="5"/>
    <n v="3"/>
    <n v="3549.79"/>
    <n v="0.05"/>
    <n v="10116.9"/>
    <n v="10649.369999999999"/>
    <n v="532.46999999999935"/>
    <n v="10116.9"/>
    <s v="Credit Card"/>
    <x v="2"/>
    <x v="0"/>
    <x v="0"/>
  </r>
  <r>
    <x v="161"/>
    <x v="102"/>
    <s v="Maharashtra"/>
    <x v="2"/>
    <x v="2"/>
    <x v="11"/>
    <n v="4"/>
    <n v="946.02"/>
    <n v="0.18"/>
    <n v="3102.95"/>
    <n v="3784.08"/>
    <n v="681.13000000000011"/>
    <n v="3102.95"/>
    <s v="Debit Card"/>
    <x v="0"/>
    <x v="2"/>
    <x v="0"/>
  </r>
  <r>
    <x v="162"/>
    <x v="100"/>
    <s v="Karnataka"/>
    <x v="3"/>
    <x v="0"/>
    <x v="2"/>
    <n v="2"/>
    <n v="3989.11"/>
    <n v="0.13"/>
    <n v="6941.05"/>
    <n v="7978.22"/>
    <n v="1037.17"/>
    <n v="6941.05"/>
    <s v="Debit Card"/>
    <x v="1"/>
    <x v="2"/>
    <x v="3"/>
  </r>
  <r>
    <x v="163"/>
    <x v="89"/>
    <s v="Maharashtra"/>
    <x v="3"/>
    <x v="3"/>
    <x v="15"/>
    <n v="5"/>
    <n v="1907.66"/>
    <n v="0.2"/>
    <n v="7630.64"/>
    <n v="9538.3000000000011"/>
    <n v="1907.6600000000008"/>
    <n v="7630.64"/>
    <s v="UPI"/>
    <x v="1"/>
    <x v="0"/>
    <x v="0"/>
  </r>
  <r>
    <x v="164"/>
    <x v="61"/>
    <s v="Karnataka"/>
    <x v="0"/>
    <x v="0"/>
    <x v="0"/>
    <n v="4"/>
    <n v="2675.91"/>
    <n v="0.19"/>
    <n v="8669.9500000000007"/>
    <n v="10703.64"/>
    <n v="2033.6899999999987"/>
    <n v="8669.9500000000007"/>
    <s v="Net Banking"/>
    <x v="1"/>
    <x v="0"/>
    <x v="0"/>
  </r>
  <r>
    <x v="165"/>
    <x v="18"/>
    <s v="Tamil Nadu"/>
    <x v="3"/>
    <x v="4"/>
    <x v="19"/>
    <n v="5"/>
    <n v="1788.12"/>
    <n v="0.22"/>
    <n v="6973.67"/>
    <n v="8940.5999999999985"/>
    <n v="1966.9299999999985"/>
    <n v="6973.67"/>
    <s v="Net Banking"/>
    <x v="1"/>
    <x v="0"/>
    <x v="3"/>
  </r>
  <r>
    <x v="166"/>
    <x v="103"/>
    <s v="Gujarat"/>
    <x v="3"/>
    <x v="3"/>
    <x v="15"/>
    <n v="5"/>
    <n v="849.78"/>
    <n v="0.04"/>
    <n v="4078.94"/>
    <n v="4248.8999999999996"/>
    <n v="169.95999999999958"/>
    <n v="4078.94"/>
    <s v="Credit Card"/>
    <x v="0"/>
    <x v="1"/>
    <x v="0"/>
  </r>
  <r>
    <x v="167"/>
    <x v="20"/>
    <s v="Maharashtra"/>
    <x v="0"/>
    <x v="1"/>
    <x v="1"/>
    <n v="5"/>
    <n v="1444.81"/>
    <n v="0.16"/>
    <n v="6068.2"/>
    <n v="7224.0499999999993"/>
    <n v="1155.8499999999995"/>
    <n v="6068.2"/>
    <s v="UPI"/>
    <x v="0"/>
    <x v="0"/>
    <x v="0"/>
  </r>
  <r>
    <x v="168"/>
    <x v="104"/>
    <s v="Delhi"/>
    <x v="0"/>
    <x v="3"/>
    <x v="12"/>
    <n v="5"/>
    <n v="1754.34"/>
    <n v="0.23"/>
    <n v="6754.21"/>
    <n v="8771.6999999999989"/>
    <n v="2017.4899999999989"/>
    <n v="6754.21"/>
    <s v="COD"/>
    <x v="1"/>
    <x v="2"/>
    <x v="0"/>
  </r>
  <r>
    <x v="169"/>
    <x v="105"/>
    <s v="Delhi"/>
    <x v="2"/>
    <x v="1"/>
    <x v="1"/>
    <n v="5"/>
    <n v="3231.06"/>
    <n v="0.12"/>
    <n v="14216.66"/>
    <n v="16155.3"/>
    <n v="1938.6399999999994"/>
    <n v="14216.66"/>
    <s v="COD"/>
    <x v="2"/>
    <x v="0"/>
    <x v="0"/>
  </r>
  <r>
    <x v="170"/>
    <x v="106"/>
    <s v="Delhi"/>
    <x v="1"/>
    <x v="4"/>
    <x v="18"/>
    <n v="4"/>
    <n v="457.57"/>
    <n v="0.01"/>
    <n v="1811.98"/>
    <n v="1830.28"/>
    <n v="18.299999999999955"/>
    <n v="1811.98"/>
    <s v="Net Banking"/>
    <x v="2"/>
    <x v="1"/>
    <x v="0"/>
  </r>
  <r>
    <x v="171"/>
    <x v="107"/>
    <s v="Gujarat"/>
    <x v="3"/>
    <x v="3"/>
    <x v="9"/>
    <n v="3"/>
    <n v="3697.58"/>
    <n v="0.22"/>
    <n v="8652.34"/>
    <n v="11092.74"/>
    <n v="2440.3999999999996"/>
    <n v="8652.34"/>
    <s v="Debit Card"/>
    <x v="2"/>
    <x v="1"/>
    <x v="3"/>
  </r>
  <r>
    <x v="172"/>
    <x v="60"/>
    <s v="Karnataka"/>
    <x v="0"/>
    <x v="1"/>
    <x v="13"/>
    <n v="1"/>
    <n v="1410.61"/>
    <n v="0.06"/>
    <n v="1325.97"/>
    <n v="1410.61"/>
    <n v="84.639999999999873"/>
    <n v="1325.97"/>
    <s v="Debit Card"/>
    <x v="2"/>
    <x v="2"/>
    <x v="0"/>
  </r>
  <r>
    <x v="173"/>
    <x v="1"/>
    <s v="Delhi"/>
    <x v="1"/>
    <x v="2"/>
    <x v="5"/>
    <n v="5"/>
    <n v="3633.53"/>
    <n v="0.05"/>
    <n v="17259.27"/>
    <n v="18167.650000000001"/>
    <n v="908.38000000000102"/>
    <n v="17259.27"/>
    <s v="Debit Card"/>
    <x v="2"/>
    <x v="2"/>
    <x v="2"/>
  </r>
  <r>
    <x v="174"/>
    <x v="108"/>
    <s v="Karnataka"/>
    <x v="3"/>
    <x v="2"/>
    <x v="5"/>
    <n v="1"/>
    <n v="4731.6400000000003"/>
    <n v="0.13"/>
    <n v="4116.53"/>
    <n v="4731.6400000000003"/>
    <n v="615.11000000000058"/>
    <n v="4116.53"/>
    <s v="Net Banking"/>
    <x v="0"/>
    <x v="2"/>
    <x v="0"/>
  </r>
  <r>
    <x v="175"/>
    <x v="109"/>
    <s v="Karnataka"/>
    <x v="1"/>
    <x v="0"/>
    <x v="0"/>
    <n v="4"/>
    <n v="1500.17"/>
    <n v="0"/>
    <n v="6000.68"/>
    <n v="6000.68"/>
    <n v="0"/>
    <n v="6000.68"/>
    <s v="Net Banking"/>
    <x v="1"/>
    <x v="2"/>
    <x v="0"/>
  </r>
  <r>
    <x v="176"/>
    <x v="34"/>
    <s v="Tamil Nadu"/>
    <x v="2"/>
    <x v="4"/>
    <x v="17"/>
    <n v="4"/>
    <n v="350.67"/>
    <n v="0.14000000000000001"/>
    <n v="1206.3"/>
    <n v="1402.68"/>
    <n v="196.38000000000011"/>
    <n v="1206.3"/>
    <s v="UPI"/>
    <x v="0"/>
    <x v="1"/>
    <x v="0"/>
  </r>
  <r>
    <x v="177"/>
    <x v="110"/>
    <s v="Gujarat"/>
    <x v="2"/>
    <x v="1"/>
    <x v="14"/>
    <n v="5"/>
    <n v="682.17"/>
    <n v="0.24"/>
    <n v="2592.25"/>
    <n v="3410.85"/>
    <n v="818.59999999999991"/>
    <n v="2592.25"/>
    <s v="UPI"/>
    <x v="1"/>
    <x v="1"/>
    <x v="3"/>
  </r>
  <r>
    <x v="178"/>
    <x v="76"/>
    <s v="Delhi"/>
    <x v="3"/>
    <x v="4"/>
    <x v="17"/>
    <n v="5"/>
    <n v="2066.8000000000002"/>
    <n v="0.01"/>
    <n v="10230.66"/>
    <n v="10334"/>
    <n v="103.34000000000015"/>
    <n v="10230.66"/>
    <s v="Debit Card"/>
    <x v="1"/>
    <x v="2"/>
    <x v="0"/>
  </r>
  <r>
    <x v="179"/>
    <x v="14"/>
    <s v="Delhi"/>
    <x v="1"/>
    <x v="2"/>
    <x v="5"/>
    <n v="2"/>
    <n v="1707.03"/>
    <n v="0.15"/>
    <n v="2901.95"/>
    <n v="3414.06"/>
    <n v="512.11000000000013"/>
    <n v="2901.95"/>
    <s v="COD"/>
    <x v="1"/>
    <x v="2"/>
    <x v="2"/>
  </r>
  <r>
    <x v="180"/>
    <x v="111"/>
    <s v="Gujarat"/>
    <x v="2"/>
    <x v="4"/>
    <x v="17"/>
    <n v="4"/>
    <n v="3572.83"/>
    <n v="7.0000000000000007E-2"/>
    <n v="13290.93"/>
    <n v="14291.32"/>
    <n v="1000.3899999999994"/>
    <n v="13290.93"/>
    <s v="COD"/>
    <x v="1"/>
    <x v="2"/>
    <x v="0"/>
  </r>
  <r>
    <x v="181"/>
    <x v="90"/>
    <s v="Gujarat"/>
    <x v="3"/>
    <x v="0"/>
    <x v="3"/>
    <n v="1"/>
    <n v="3024.86"/>
    <n v="7.0000000000000007E-2"/>
    <n v="2813.12"/>
    <n v="3024.86"/>
    <n v="211.74000000000024"/>
    <n v="2813.12"/>
    <s v="UPI"/>
    <x v="1"/>
    <x v="0"/>
    <x v="0"/>
  </r>
  <r>
    <x v="182"/>
    <x v="112"/>
    <s v="Delhi"/>
    <x v="3"/>
    <x v="1"/>
    <x v="14"/>
    <n v="5"/>
    <n v="3895.57"/>
    <n v="0.1"/>
    <n v="17530.07"/>
    <n v="19477.850000000002"/>
    <n v="1947.7800000000025"/>
    <n v="17530.07"/>
    <s v="COD"/>
    <x v="1"/>
    <x v="0"/>
    <x v="0"/>
  </r>
  <r>
    <x v="183"/>
    <x v="112"/>
    <s v="Maharashtra"/>
    <x v="1"/>
    <x v="0"/>
    <x v="4"/>
    <n v="4"/>
    <n v="842.01"/>
    <n v="0.17"/>
    <n v="2795.47"/>
    <n v="3368.04"/>
    <n v="572.57000000000016"/>
    <n v="2795.47"/>
    <s v="Net Banking"/>
    <x v="2"/>
    <x v="1"/>
    <x v="1"/>
  </r>
  <r>
    <x v="184"/>
    <x v="111"/>
    <s v="Gujarat"/>
    <x v="2"/>
    <x v="0"/>
    <x v="4"/>
    <n v="3"/>
    <n v="4990.8"/>
    <n v="0.12"/>
    <n v="13175.71"/>
    <n v="14972.400000000001"/>
    <n v="1796.6900000000023"/>
    <n v="13175.71"/>
    <s v="Debit Card"/>
    <x v="1"/>
    <x v="1"/>
    <x v="2"/>
  </r>
  <r>
    <x v="185"/>
    <x v="113"/>
    <s v="Gujarat"/>
    <x v="2"/>
    <x v="2"/>
    <x v="6"/>
    <n v="3"/>
    <n v="3089.38"/>
    <n v="0.05"/>
    <n v="8804.73"/>
    <n v="9268.14"/>
    <n v="463.40999999999985"/>
    <n v="8804.73"/>
    <s v="UPI"/>
    <x v="1"/>
    <x v="2"/>
    <x v="0"/>
  </r>
  <r>
    <x v="186"/>
    <x v="114"/>
    <s v="Karnataka"/>
    <x v="2"/>
    <x v="3"/>
    <x v="9"/>
    <n v="4"/>
    <n v="1653.5"/>
    <n v="0.09"/>
    <n v="6018.74"/>
    <n v="6614"/>
    <n v="595.26000000000022"/>
    <n v="6018.74"/>
    <s v="Debit Card"/>
    <x v="1"/>
    <x v="0"/>
    <x v="0"/>
  </r>
  <r>
    <x v="187"/>
    <x v="115"/>
    <s v="Tamil Nadu"/>
    <x v="2"/>
    <x v="1"/>
    <x v="14"/>
    <n v="3"/>
    <n v="306.13"/>
    <n v="0.24"/>
    <n v="697.98"/>
    <n v="918.39"/>
    <n v="220.40999999999997"/>
    <n v="697.98"/>
    <s v="UPI"/>
    <x v="0"/>
    <x v="2"/>
    <x v="1"/>
  </r>
  <r>
    <x v="188"/>
    <x v="54"/>
    <s v="Delhi"/>
    <x v="0"/>
    <x v="4"/>
    <x v="18"/>
    <n v="3"/>
    <n v="4671.82"/>
    <n v="0.17"/>
    <n v="11632.83"/>
    <n v="14015.46"/>
    <n v="2382.6299999999992"/>
    <n v="11632.83"/>
    <s v="Debit Card"/>
    <x v="1"/>
    <x v="2"/>
    <x v="0"/>
  </r>
  <r>
    <x v="189"/>
    <x v="60"/>
    <s v="Delhi"/>
    <x v="1"/>
    <x v="1"/>
    <x v="10"/>
    <n v="5"/>
    <n v="1205.79"/>
    <n v="0.06"/>
    <n v="5667.21"/>
    <n v="6028.95"/>
    <n v="361.73999999999978"/>
    <n v="5667.21"/>
    <s v="Credit Card"/>
    <x v="1"/>
    <x v="2"/>
    <x v="0"/>
  </r>
  <r>
    <x v="190"/>
    <x v="116"/>
    <s v="Delhi"/>
    <x v="1"/>
    <x v="2"/>
    <x v="7"/>
    <n v="2"/>
    <n v="2093.85"/>
    <n v="0.23"/>
    <n v="3224.53"/>
    <n v="4187.7"/>
    <n v="963.16999999999962"/>
    <n v="3224.53"/>
    <s v="Credit Card"/>
    <x v="1"/>
    <x v="1"/>
    <x v="0"/>
  </r>
  <r>
    <x v="191"/>
    <x v="76"/>
    <s v="Karnataka"/>
    <x v="3"/>
    <x v="4"/>
    <x v="17"/>
    <n v="5"/>
    <n v="1237.8800000000001"/>
    <n v="0.18"/>
    <n v="5075.3100000000004"/>
    <n v="6189.4000000000005"/>
    <n v="1114.0900000000001"/>
    <n v="5075.3100000000004"/>
    <s v="Credit Card"/>
    <x v="0"/>
    <x v="2"/>
    <x v="0"/>
  </r>
  <r>
    <x v="192"/>
    <x v="24"/>
    <s v="Tamil Nadu"/>
    <x v="0"/>
    <x v="3"/>
    <x v="8"/>
    <n v="3"/>
    <n v="4396.04"/>
    <n v="0"/>
    <n v="13188.12"/>
    <n v="13188.119999999999"/>
    <n v="0"/>
    <n v="13188.119999999999"/>
    <s v="Net Banking"/>
    <x v="0"/>
    <x v="0"/>
    <x v="1"/>
  </r>
  <r>
    <x v="193"/>
    <x v="117"/>
    <s v="Tamil Nadu"/>
    <x v="1"/>
    <x v="4"/>
    <x v="17"/>
    <n v="4"/>
    <n v="4457.37"/>
    <n v="0.03"/>
    <n v="17294.599999999999"/>
    <n v="17829.48"/>
    <n v="534.88000000000102"/>
    <n v="17294.599999999999"/>
    <s v="COD"/>
    <x v="1"/>
    <x v="0"/>
    <x v="0"/>
  </r>
  <r>
    <x v="194"/>
    <x v="76"/>
    <s v="Delhi"/>
    <x v="2"/>
    <x v="0"/>
    <x v="2"/>
    <n v="3"/>
    <n v="3621.13"/>
    <n v="0"/>
    <n v="10863.39"/>
    <n v="10863.39"/>
    <n v="0"/>
    <n v="10863.39"/>
    <s v="Net Banking"/>
    <x v="1"/>
    <x v="1"/>
    <x v="0"/>
  </r>
  <r>
    <x v="195"/>
    <x v="59"/>
    <s v="Gujarat"/>
    <x v="3"/>
    <x v="3"/>
    <x v="12"/>
    <n v="5"/>
    <n v="1706.84"/>
    <n v="0.1"/>
    <n v="7680.78"/>
    <n v="8534.1999999999989"/>
    <n v="853.41999999999916"/>
    <n v="7680.78"/>
    <s v="Net Banking"/>
    <x v="2"/>
    <x v="2"/>
    <x v="2"/>
  </r>
  <r>
    <x v="196"/>
    <x v="50"/>
    <s v="Delhi"/>
    <x v="2"/>
    <x v="2"/>
    <x v="6"/>
    <n v="4"/>
    <n v="1254.05"/>
    <n v="0.19"/>
    <n v="4063.12"/>
    <n v="5016.2"/>
    <n v="953.07999999999993"/>
    <n v="4063.12"/>
    <s v="Credit Card"/>
    <x v="2"/>
    <x v="1"/>
    <x v="0"/>
  </r>
  <r>
    <x v="197"/>
    <x v="99"/>
    <s v="Karnataka"/>
    <x v="3"/>
    <x v="1"/>
    <x v="13"/>
    <n v="2"/>
    <n v="404.41"/>
    <n v="0.03"/>
    <n v="784.56"/>
    <n v="808.82"/>
    <n v="24.260000000000105"/>
    <n v="784.56"/>
    <s v="UPI"/>
    <x v="1"/>
    <x v="1"/>
    <x v="0"/>
  </r>
  <r>
    <x v="198"/>
    <x v="46"/>
    <s v="Maharashtra"/>
    <x v="3"/>
    <x v="1"/>
    <x v="1"/>
    <n v="5"/>
    <n v="1182.1600000000001"/>
    <n v="0.24"/>
    <n v="4492.21"/>
    <n v="5910.8"/>
    <n v="1418.5900000000001"/>
    <n v="4492.21"/>
    <s v="UPI"/>
    <x v="2"/>
    <x v="1"/>
    <x v="0"/>
  </r>
  <r>
    <x v="199"/>
    <x v="85"/>
    <s v="Tamil Nadu"/>
    <x v="0"/>
    <x v="1"/>
    <x v="1"/>
    <n v="5"/>
    <n v="4029.78"/>
    <n v="0.21"/>
    <n v="15917.63"/>
    <n v="20148.900000000001"/>
    <n v="4231.2700000000023"/>
    <n v="15917.63"/>
    <s v="COD"/>
    <x v="2"/>
    <x v="2"/>
    <x v="0"/>
  </r>
  <r>
    <x v="200"/>
    <x v="0"/>
    <s v="Maharashtra"/>
    <x v="3"/>
    <x v="1"/>
    <x v="1"/>
    <n v="1"/>
    <n v="4160.99"/>
    <n v="0.23"/>
    <n v="3203.96"/>
    <n v="4160.99"/>
    <n v="957.02999999999975"/>
    <n v="3203.96"/>
    <s v="COD"/>
    <x v="0"/>
    <x v="2"/>
    <x v="0"/>
  </r>
  <r>
    <x v="201"/>
    <x v="37"/>
    <s v="Maharashtra"/>
    <x v="0"/>
    <x v="1"/>
    <x v="14"/>
    <n v="5"/>
    <n v="2495.2600000000002"/>
    <n v="0.22"/>
    <n v="9731.51"/>
    <n v="12476.300000000001"/>
    <n v="2744.7900000000009"/>
    <n v="9731.51"/>
    <s v="Debit Card"/>
    <x v="1"/>
    <x v="1"/>
    <x v="0"/>
  </r>
  <r>
    <x v="202"/>
    <x v="1"/>
    <s v="Tamil Nadu"/>
    <x v="0"/>
    <x v="1"/>
    <x v="14"/>
    <n v="5"/>
    <n v="2365.65"/>
    <n v="0.2"/>
    <n v="9462.6"/>
    <n v="11828.25"/>
    <n v="2365.6499999999996"/>
    <n v="9462.6"/>
    <s v="COD"/>
    <x v="0"/>
    <x v="0"/>
    <x v="0"/>
  </r>
  <r>
    <x v="203"/>
    <x v="55"/>
    <s v="Gujarat"/>
    <x v="0"/>
    <x v="0"/>
    <x v="4"/>
    <n v="4"/>
    <n v="1788.19"/>
    <n v="0.02"/>
    <n v="7009.7"/>
    <n v="7152.76"/>
    <n v="143.0600000000004"/>
    <n v="7009.7"/>
    <s v="Credit Card"/>
    <x v="0"/>
    <x v="2"/>
    <x v="2"/>
  </r>
  <r>
    <x v="204"/>
    <x v="118"/>
    <s v="Karnataka"/>
    <x v="1"/>
    <x v="2"/>
    <x v="7"/>
    <n v="2"/>
    <n v="3852.56"/>
    <n v="0.24"/>
    <n v="5855.89"/>
    <n v="7705.12"/>
    <n v="1849.2299999999996"/>
    <n v="5855.89"/>
    <s v="Net Banking"/>
    <x v="0"/>
    <x v="0"/>
    <x v="0"/>
  </r>
  <r>
    <x v="205"/>
    <x v="38"/>
    <s v="Tamil Nadu"/>
    <x v="3"/>
    <x v="2"/>
    <x v="5"/>
    <n v="5"/>
    <n v="751.65"/>
    <n v="0.22"/>
    <n v="2931.43"/>
    <n v="3758.25"/>
    <n v="826.82000000000016"/>
    <n v="2931.43"/>
    <s v="Net Banking"/>
    <x v="0"/>
    <x v="2"/>
    <x v="2"/>
  </r>
  <r>
    <x v="206"/>
    <x v="69"/>
    <s v="Delhi"/>
    <x v="1"/>
    <x v="2"/>
    <x v="11"/>
    <n v="3"/>
    <n v="2368.7199999999998"/>
    <n v="0.18"/>
    <n v="5827.05"/>
    <n v="7106.16"/>
    <n v="1279.1099999999997"/>
    <n v="5827.05"/>
    <s v="Credit Card"/>
    <x v="0"/>
    <x v="1"/>
    <x v="3"/>
  </r>
  <r>
    <x v="207"/>
    <x v="119"/>
    <s v="Karnataka"/>
    <x v="0"/>
    <x v="3"/>
    <x v="15"/>
    <n v="2"/>
    <n v="4693.3100000000004"/>
    <n v="0.18"/>
    <n v="7697.03"/>
    <n v="9386.6200000000008"/>
    <n v="1689.5900000000011"/>
    <n v="7697.03"/>
    <s v="Debit Card"/>
    <x v="2"/>
    <x v="2"/>
    <x v="3"/>
  </r>
  <r>
    <x v="208"/>
    <x v="120"/>
    <s v="Delhi"/>
    <x v="0"/>
    <x v="2"/>
    <x v="7"/>
    <n v="1"/>
    <n v="3010.33"/>
    <n v="0.11"/>
    <n v="2679.19"/>
    <n v="3010.33"/>
    <n v="331.13999999999987"/>
    <n v="2679.19"/>
    <s v="Debit Card"/>
    <x v="0"/>
    <x v="0"/>
    <x v="0"/>
  </r>
  <r>
    <x v="209"/>
    <x v="93"/>
    <s v="Tamil Nadu"/>
    <x v="2"/>
    <x v="0"/>
    <x v="3"/>
    <n v="2"/>
    <n v="3796.49"/>
    <n v="0.19"/>
    <n v="6150.31"/>
    <n v="7592.98"/>
    <n v="1442.6699999999992"/>
    <n v="6150.31"/>
    <s v="Debit Card"/>
    <x v="1"/>
    <x v="2"/>
    <x v="0"/>
  </r>
  <r>
    <x v="210"/>
    <x v="24"/>
    <s v="Gujarat"/>
    <x v="3"/>
    <x v="1"/>
    <x v="1"/>
    <n v="3"/>
    <n v="1260.83"/>
    <n v="0.22"/>
    <n v="2950.34"/>
    <n v="3782.49"/>
    <n v="832.14999999999964"/>
    <n v="2950.34"/>
    <s v="COD"/>
    <x v="1"/>
    <x v="0"/>
    <x v="0"/>
  </r>
  <r>
    <x v="211"/>
    <x v="46"/>
    <s v="Gujarat"/>
    <x v="0"/>
    <x v="4"/>
    <x v="19"/>
    <n v="2"/>
    <n v="3167.37"/>
    <n v="0.11"/>
    <n v="5637.92"/>
    <n v="6334.74"/>
    <n v="696.81999999999971"/>
    <n v="5637.92"/>
    <s v="COD"/>
    <x v="1"/>
    <x v="1"/>
    <x v="2"/>
  </r>
  <r>
    <x v="212"/>
    <x v="121"/>
    <s v="Tamil Nadu"/>
    <x v="3"/>
    <x v="2"/>
    <x v="6"/>
    <n v="3"/>
    <n v="1944.65"/>
    <n v="0.19"/>
    <n v="4725.5"/>
    <n v="5833.9500000000007"/>
    <n v="1108.4500000000007"/>
    <n v="4725.5"/>
    <s v="Net Banking"/>
    <x v="0"/>
    <x v="1"/>
    <x v="3"/>
  </r>
  <r>
    <x v="213"/>
    <x v="32"/>
    <s v="Tamil Nadu"/>
    <x v="1"/>
    <x v="4"/>
    <x v="16"/>
    <n v="4"/>
    <n v="4842.1499999999996"/>
    <n v="0.14000000000000001"/>
    <n v="16657"/>
    <n v="19368.599999999999"/>
    <n v="2711.5999999999985"/>
    <n v="16657"/>
    <s v="Credit Card"/>
    <x v="1"/>
    <x v="2"/>
    <x v="0"/>
  </r>
  <r>
    <x v="214"/>
    <x v="122"/>
    <s v="Maharashtra"/>
    <x v="2"/>
    <x v="3"/>
    <x v="9"/>
    <n v="1"/>
    <n v="2724.61"/>
    <n v="0.21"/>
    <n v="2152.44"/>
    <n v="2724.61"/>
    <n v="572.17000000000007"/>
    <n v="2152.44"/>
    <s v="Net Banking"/>
    <x v="2"/>
    <x v="2"/>
    <x v="0"/>
  </r>
  <r>
    <x v="215"/>
    <x v="20"/>
    <s v="Maharashtra"/>
    <x v="2"/>
    <x v="1"/>
    <x v="13"/>
    <n v="5"/>
    <n v="1163.3800000000001"/>
    <n v="0.05"/>
    <n v="5526.06"/>
    <n v="5816.9000000000005"/>
    <n v="290.84000000000015"/>
    <n v="5526.06"/>
    <s v="Debit Card"/>
    <x v="1"/>
    <x v="1"/>
    <x v="2"/>
  </r>
  <r>
    <x v="216"/>
    <x v="91"/>
    <s v="Delhi"/>
    <x v="3"/>
    <x v="0"/>
    <x v="4"/>
    <n v="4"/>
    <n v="4580.76"/>
    <n v="0.17"/>
    <n v="15208.12"/>
    <n v="18323.04"/>
    <n v="3114.92"/>
    <n v="15208.12"/>
    <s v="Credit Card"/>
    <x v="1"/>
    <x v="0"/>
    <x v="0"/>
  </r>
  <r>
    <x v="217"/>
    <x v="123"/>
    <s v="Karnataka"/>
    <x v="1"/>
    <x v="3"/>
    <x v="9"/>
    <n v="5"/>
    <n v="3278.73"/>
    <n v="0.08"/>
    <n v="15082.16"/>
    <n v="16393.650000000001"/>
    <n v="1311.4900000000016"/>
    <n v="15082.16"/>
    <s v="Net Banking"/>
    <x v="2"/>
    <x v="1"/>
    <x v="0"/>
  </r>
  <r>
    <x v="218"/>
    <x v="124"/>
    <s v="Delhi"/>
    <x v="3"/>
    <x v="2"/>
    <x v="6"/>
    <n v="4"/>
    <n v="324.01"/>
    <n v="0.22"/>
    <n v="1010.91"/>
    <n v="1296.04"/>
    <n v="285.13"/>
    <n v="1010.91"/>
    <s v="UPI"/>
    <x v="2"/>
    <x v="0"/>
    <x v="0"/>
  </r>
  <r>
    <x v="219"/>
    <x v="109"/>
    <s v="Karnataka"/>
    <x v="1"/>
    <x v="1"/>
    <x v="14"/>
    <n v="3"/>
    <n v="1227.0899999999999"/>
    <n v="0.14000000000000001"/>
    <n v="3165.89"/>
    <n v="3681.2699999999995"/>
    <n v="515.37999999999965"/>
    <n v="3165.89"/>
    <s v="Debit Card"/>
    <x v="0"/>
    <x v="2"/>
    <x v="0"/>
  </r>
  <r>
    <x v="220"/>
    <x v="125"/>
    <s v="Tamil Nadu"/>
    <x v="1"/>
    <x v="4"/>
    <x v="17"/>
    <n v="2"/>
    <n v="3690.58"/>
    <n v="0.09"/>
    <n v="6716.86"/>
    <n v="7381.16"/>
    <n v="664.30000000000018"/>
    <n v="6716.86"/>
    <s v="Net Banking"/>
    <x v="2"/>
    <x v="2"/>
    <x v="0"/>
  </r>
  <r>
    <x v="221"/>
    <x v="84"/>
    <s v="Gujarat"/>
    <x v="3"/>
    <x v="1"/>
    <x v="13"/>
    <n v="1"/>
    <n v="3845.26"/>
    <n v="0.1"/>
    <n v="3460.73"/>
    <n v="3845.26"/>
    <n v="384.5300000000002"/>
    <n v="3460.73"/>
    <s v="Credit Card"/>
    <x v="0"/>
    <x v="0"/>
    <x v="0"/>
  </r>
  <r>
    <x v="222"/>
    <x v="0"/>
    <s v="Delhi"/>
    <x v="1"/>
    <x v="3"/>
    <x v="8"/>
    <n v="3"/>
    <n v="396.21"/>
    <n v="0.16"/>
    <n v="998.45"/>
    <n v="1188.6299999999999"/>
    <n v="190.17999999999984"/>
    <n v="998.45"/>
    <s v="COD"/>
    <x v="2"/>
    <x v="0"/>
    <x v="0"/>
  </r>
  <r>
    <x v="223"/>
    <x v="20"/>
    <s v="Gujarat"/>
    <x v="2"/>
    <x v="0"/>
    <x v="0"/>
    <n v="1"/>
    <n v="181.96"/>
    <n v="0.18"/>
    <n v="149.21"/>
    <n v="181.96"/>
    <n v="32.75"/>
    <n v="149.21"/>
    <s v="COD"/>
    <x v="2"/>
    <x v="0"/>
    <x v="0"/>
  </r>
  <r>
    <x v="224"/>
    <x v="78"/>
    <s v="Maharashtra"/>
    <x v="2"/>
    <x v="2"/>
    <x v="11"/>
    <n v="2"/>
    <n v="1280.75"/>
    <n v="0.15"/>
    <n v="2177.2800000000002"/>
    <n v="2561.5"/>
    <n v="384.2199999999998"/>
    <n v="2177.2800000000002"/>
    <s v="Credit Card"/>
    <x v="1"/>
    <x v="1"/>
    <x v="0"/>
  </r>
  <r>
    <x v="225"/>
    <x v="23"/>
    <s v="Karnataka"/>
    <x v="0"/>
    <x v="2"/>
    <x v="7"/>
    <n v="5"/>
    <n v="1291.72"/>
    <n v="0.17"/>
    <n v="5360.64"/>
    <n v="6458.6"/>
    <n v="1097.96"/>
    <n v="5360.64"/>
    <s v="Net Banking"/>
    <x v="2"/>
    <x v="1"/>
    <x v="0"/>
  </r>
  <r>
    <x v="226"/>
    <x v="108"/>
    <s v="Tamil Nadu"/>
    <x v="3"/>
    <x v="0"/>
    <x v="0"/>
    <n v="5"/>
    <n v="2432.42"/>
    <n v="0.16"/>
    <n v="10216.16"/>
    <n v="12162.1"/>
    <n v="1945.9400000000005"/>
    <n v="10216.16"/>
    <s v="Net Banking"/>
    <x v="2"/>
    <x v="0"/>
    <x v="0"/>
  </r>
  <r>
    <x v="227"/>
    <x v="126"/>
    <s v="Gujarat"/>
    <x v="1"/>
    <x v="2"/>
    <x v="6"/>
    <n v="1"/>
    <n v="1225.8599999999999"/>
    <n v="0.23"/>
    <n v="943.91"/>
    <n v="1225.8599999999999"/>
    <n v="281.94999999999993"/>
    <n v="943.91"/>
    <s v="Credit Card"/>
    <x v="1"/>
    <x v="0"/>
    <x v="0"/>
  </r>
  <r>
    <x v="228"/>
    <x v="40"/>
    <s v="Gujarat"/>
    <x v="3"/>
    <x v="0"/>
    <x v="2"/>
    <n v="1"/>
    <n v="978.84"/>
    <n v="0.21"/>
    <n v="773.28"/>
    <n v="978.84"/>
    <n v="205.56000000000006"/>
    <n v="773.28"/>
    <s v="COD"/>
    <x v="1"/>
    <x v="2"/>
    <x v="0"/>
  </r>
  <r>
    <x v="229"/>
    <x v="34"/>
    <s v="Karnataka"/>
    <x v="2"/>
    <x v="2"/>
    <x v="7"/>
    <n v="2"/>
    <n v="2876.81"/>
    <n v="0.21"/>
    <n v="4545.3599999999997"/>
    <n v="5753.62"/>
    <n v="1208.2600000000002"/>
    <n v="4545.3599999999997"/>
    <s v="Debit Card"/>
    <x v="1"/>
    <x v="0"/>
    <x v="0"/>
  </r>
  <r>
    <x v="230"/>
    <x v="50"/>
    <s v="Gujarat"/>
    <x v="1"/>
    <x v="3"/>
    <x v="8"/>
    <n v="1"/>
    <n v="2241.73"/>
    <n v="0.21"/>
    <n v="1770.97"/>
    <n v="2241.73"/>
    <n v="470.76"/>
    <n v="1770.97"/>
    <s v="UPI"/>
    <x v="0"/>
    <x v="1"/>
    <x v="2"/>
  </r>
  <r>
    <x v="231"/>
    <x v="127"/>
    <s v="Karnataka"/>
    <x v="3"/>
    <x v="4"/>
    <x v="19"/>
    <n v="2"/>
    <n v="1843.47"/>
    <n v="0.24"/>
    <n v="2802.07"/>
    <n v="3686.94"/>
    <n v="884.86999999999989"/>
    <n v="2802.07"/>
    <s v="Net Banking"/>
    <x v="2"/>
    <x v="1"/>
    <x v="0"/>
  </r>
  <r>
    <x v="232"/>
    <x v="52"/>
    <s v="Gujarat"/>
    <x v="3"/>
    <x v="2"/>
    <x v="7"/>
    <n v="1"/>
    <n v="501.99"/>
    <n v="0.04"/>
    <n v="481.91"/>
    <n v="501.99"/>
    <n v="20.079999999999984"/>
    <n v="481.91"/>
    <s v="UPI"/>
    <x v="0"/>
    <x v="0"/>
    <x v="0"/>
  </r>
  <r>
    <x v="233"/>
    <x v="114"/>
    <s v="Maharashtra"/>
    <x v="3"/>
    <x v="4"/>
    <x v="17"/>
    <n v="3"/>
    <n v="2279.21"/>
    <n v="0.19"/>
    <n v="5538.48"/>
    <n v="6837.63"/>
    <n v="1299.1500000000005"/>
    <n v="5538.48"/>
    <s v="Credit Card"/>
    <x v="0"/>
    <x v="2"/>
    <x v="0"/>
  </r>
  <r>
    <x v="234"/>
    <x v="128"/>
    <s v="Gujarat"/>
    <x v="0"/>
    <x v="2"/>
    <x v="5"/>
    <n v="4"/>
    <n v="606.14"/>
    <n v="0.02"/>
    <n v="2376.0700000000002"/>
    <n v="2424.56"/>
    <n v="48.489999999999782"/>
    <n v="2376.0700000000002"/>
    <s v="COD"/>
    <x v="1"/>
    <x v="0"/>
    <x v="0"/>
  </r>
  <r>
    <x v="235"/>
    <x v="119"/>
    <s v="Maharashtra"/>
    <x v="3"/>
    <x v="4"/>
    <x v="18"/>
    <n v="4"/>
    <n v="3917.93"/>
    <n v="0.18"/>
    <n v="12850.81"/>
    <n v="15671.72"/>
    <n v="2820.91"/>
    <n v="12850.81"/>
    <s v="UPI"/>
    <x v="2"/>
    <x v="0"/>
    <x v="0"/>
  </r>
  <r>
    <x v="236"/>
    <x v="21"/>
    <s v="Delhi"/>
    <x v="1"/>
    <x v="3"/>
    <x v="15"/>
    <n v="3"/>
    <n v="1415.19"/>
    <n v="0.04"/>
    <n v="4075.75"/>
    <n v="4245.57"/>
    <n v="169.81999999999971"/>
    <n v="4075.75"/>
    <s v="Debit Card"/>
    <x v="2"/>
    <x v="2"/>
    <x v="0"/>
  </r>
  <r>
    <x v="237"/>
    <x v="83"/>
    <s v="Maharashtra"/>
    <x v="3"/>
    <x v="4"/>
    <x v="18"/>
    <n v="2"/>
    <n v="3632.41"/>
    <n v="0.12"/>
    <n v="6393.04"/>
    <n v="7264.82"/>
    <n v="871.77999999999975"/>
    <n v="6393.04"/>
    <s v="UPI"/>
    <x v="2"/>
    <x v="0"/>
    <x v="0"/>
  </r>
  <r>
    <x v="238"/>
    <x v="129"/>
    <s v="Maharashtra"/>
    <x v="2"/>
    <x v="3"/>
    <x v="9"/>
    <n v="5"/>
    <n v="1961.46"/>
    <n v="0.22"/>
    <n v="7649.69"/>
    <n v="9807.2999999999993"/>
    <n v="2157.6099999999997"/>
    <n v="7649.69"/>
    <s v="Net Banking"/>
    <x v="2"/>
    <x v="1"/>
    <x v="0"/>
  </r>
  <r>
    <x v="239"/>
    <x v="130"/>
    <s v="Karnataka"/>
    <x v="2"/>
    <x v="1"/>
    <x v="10"/>
    <n v="2"/>
    <n v="2447.15"/>
    <n v="0.04"/>
    <n v="4698.53"/>
    <n v="4894.3"/>
    <n v="195.77000000000044"/>
    <n v="4698.53"/>
    <s v="UPI"/>
    <x v="1"/>
    <x v="1"/>
    <x v="0"/>
  </r>
  <r>
    <x v="240"/>
    <x v="1"/>
    <s v="Karnataka"/>
    <x v="3"/>
    <x v="2"/>
    <x v="11"/>
    <n v="4"/>
    <n v="1888.58"/>
    <n v="0.23"/>
    <n v="5816.83"/>
    <n v="7554.32"/>
    <n v="1737.4899999999998"/>
    <n v="5816.83"/>
    <s v="Net Banking"/>
    <x v="2"/>
    <x v="2"/>
    <x v="0"/>
  </r>
  <r>
    <x v="241"/>
    <x v="131"/>
    <s v="Tamil Nadu"/>
    <x v="1"/>
    <x v="1"/>
    <x v="13"/>
    <n v="3"/>
    <n v="4173.28"/>
    <n v="0.02"/>
    <n v="12269.44"/>
    <n v="12519.84"/>
    <n v="250.39999999999964"/>
    <n v="12269.44"/>
    <s v="Debit Card"/>
    <x v="2"/>
    <x v="1"/>
    <x v="0"/>
  </r>
  <r>
    <x v="242"/>
    <x v="61"/>
    <s v="Karnataka"/>
    <x v="1"/>
    <x v="4"/>
    <x v="16"/>
    <n v="4"/>
    <n v="3966.48"/>
    <n v="0.02"/>
    <n v="15548.6"/>
    <n v="15865.92"/>
    <n v="317.31999999999971"/>
    <n v="15548.6"/>
    <s v="Debit Card"/>
    <x v="1"/>
    <x v="0"/>
    <x v="0"/>
  </r>
  <r>
    <x v="243"/>
    <x v="93"/>
    <s v="Gujarat"/>
    <x v="3"/>
    <x v="1"/>
    <x v="14"/>
    <n v="5"/>
    <n v="3009.72"/>
    <n v="0.23"/>
    <n v="11587.42"/>
    <n v="15048.599999999999"/>
    <n v="3461.1799999999985"/>
    <n v="11587.42"/>
    <s v="Credit Card"/>
    <x v="2"/>
    <x v="2"/>
    <x v="0"/>
  </r>
  <r>
    <x v="244"/>
    <x v="56"/>
    <s v="Gujarat"/>
    <x v="0"/>
    <x v="4"/>
    <x v="16"/>
    <n v="4"/>
    <n v="4837.37"/>
    <n v="0.08"/>
    <n v="17801.52"/>
    <n v="19349.48"/>
    <n v="1547.9599999999991"/>
    <n v="17801.52"/>
    <s v="Credit Card"/>
    <x v="1"/>
    <x v="1"/>
    <x v="0"/>
  </r>
  <r>
    <x v="245"/>
    <x v="33"/>
    <s v="Gujarat"/>
    <x v="1"/>
    <x v="4"/>
    <x v="16"/>
    <n v="5"/>
    <n v="3469.56"/>
    <n v="0.06"/>
    <n v="16306.93"/>
    <n v="17347.8"/>
    <n v="1040.869999999999"/>
    <n v="16306.93"/>
    <s v="COD"/>
    <x v="1"/>
    <x v="1"/>
    <x v="0"/>
  </r>
  <r>
    <x v="246"/>
    <x v="132"/>
    <s v="Karnataka"/>
    <x v="0"/>
    <x v="1"/>
    <x v="10"/>
    <n v="1"/>
    <n v="1547.62"/>
    <n v="0.23"/>
    <n v="1191.67"/>
    <n v="1547.62"/>
    <n v="355.94999999999982"/>
    <n v="1191.67"/>
    <s v="Credit Card"/>
    <x v="2"/>
    <x v="2"/>
    <x v="3"/>
  </r>
  <r>
    <x v="247"/>
    <x v="133"/>
    <s v="Karnataka"/>
    <x v="1"/>
    <x v="3"/>
    <x v="9"/>
    <n v="2"/>
    <n v="2653.46"/>
    <n v="0.09"/>
    <n v="4829.3"/>
    <n v="5306.92"/>
    <n v="477.61999999999989"/>
    <n v="4829.3"/>
    <s v="UPI"/>
    <x v="2"/>
    <x v="2"/>
    <x v="0"/>
  </r>
  <r>
    <x v="248"/>
    <x v="134"/>
    <s v="Maharashtra"/>
    <x v="3"/>
    <x v="2"/>
    <x v="6"/>
    <n v="1"/>
    <n v="210.67"/>
    <n v="0.09"/>
    <n v="191.71"/>
    <n v="210.67"/>
    <n v="18.95999999999998"/>
    <n v="191.71"/>
    <s v="UPI"/>
    <x v="0"/>
    <x v="2"/>
    <x v="1"/>
  </r>
  <r>
    <x v="249"/>
    <x v="133"/>
    <s v="Gujarat"/>
    <x v="3"/>
    <x v="3"/>
    <x v="12"/>
    <n v="5"/>
    <n v="2189.21"/>
    <n v="0.12"/>
    <n v="9632.52"/>
    <n v="10946.05"/>
    <n v="1313.5299999999988"/>
    <n v="9632.52"/>
    <s v="Debit Card"/>
    <x v="2"/>
    <x v="1"/>
    <x v="0"/>
  </r>
  <r>
    <x v="250"/>
    <x v="93"/>
    <s v="Maharashtra"/>
    <x v="3"/>
    <x v="2"/>
    <x v="5"/>
    <n v="4"/>
    <n v="3001.8"/>
    <n v="0.1"/>
    <n v="10806.48"/>
    <n v="12007.2"/>
    <n v="1200.7200000000012"/>
    <n v="10806.48"/>
    <s v="COD"/>
    <x v="0"/>
    <x v="0"/>
    <x v="0"/>
  </r>
  <r>
    <x v="251"/>
    <x v="92"/>
    <s v="Gujarat"/>
    <x v="1"/>
    <x v="0"/>
    <x v="0"/>
    <n v="3"/>
    <n v="1065.6600000000001"/>
    <n v="0.03"/>
    <n v="3101.07"/>
    <n v="3196.9800000000005"/>
    <n v="95.910000000000309"/>
    <n v="3101.07"/>
    <s v="Debit Card"/>
    <x v="2"/>
    <x v="0"/>
    <x v="0"/>
  </r>
  <r>
    <x v="252"/>
    <x v="53"/>
    <s v="Gujarat"/>
    <x v="3"/>
    <x v="4"/>
    <x v="18"/>
    <n v="1"/>
    <n v="1804.83"/>
    <n v="0.21"/>
    <n v="1425.82"/>
    <n v="1804.83"/>
    <n v="379.01"/>
    <n v="1425.82"/>
    <s v="Net Banking"/>
    <x v="1"/>
    <x v="0"/>
    <x v="3"/>
  </r>
  <r>
    <x v="253"/>
    <x v="12"/>
    <s v="Delhi"/>
    <x v="3"/>
    <x v="4"/>
    <x v="19"/>
    <n v="2"/>
    <n v="1596.36"/>
    <n v="0.05"/>
    <n v="3033.08"/>
    <n v="3192.72"/>
    <n v="159.63999999999987"/>
    <n v="3033.08"/>
    <s v="UPI"/>
    <x v="0"/>
    <x v="0"/>
    <x v="0"/>
  </r>
  <r>
    <x v="254"/>
    <x v="135"/>
    <s v="Gujarat"/>
    <x v="3"/>
    <x v="2"/>
    <x v="11"/>
    <n v="2"/>
    <n v="2484.6799999999998"/>
    <n v="0.13"/>
    <n v="4323.34"/>
    <n v="4969.3599999999997"/>
    <n v="646.01999999999953"/>
    <n v="4323.34"/>
    <s v="Net Banking"/>
    <x v="2"/>
    <x v="0"/>
    <x v="0"/>
  </r>
  <r>
    <x v="255"/>
    <x v="129"/>
    <s v="Delhi"/>
    <x v="1"/>
    <x v="2"/>
    <x v="6"/>
    <n v="4"/>
    <n v="3135.11"/>
    <n v="0.22"/>
    <n v="9781.5400000000009"/>
    <n v="12540.44"/>
    <n v="2758.8999999999996"/>
    <n v="9781.5400000000009"/>
    <s v="Debit Card"/>
    <x v="2"/>
    <x v="2"/>
    <x v="0"/>
  </r>
  <r>
    <x v="256"/>
    <x v="136"/>
    <s v="Tamil Nadu"/>
    <x v="3"/>
    <x v="2"/>
    <x v="5"/>
    <n v="4"/>
    <n v="2494.63"/>
    <n v="0.02"/>
    <n v="9778.9500000000007"/>
    <n v="9978.52"/>
    <n v="199.56999999999971"/>
    <n v="9778.9500000000007"/>
    <s v="Net Banking"/>
    <x v="2"/>
    <x v="2"/>
    <x v="0"/>
  </r>
  <r>
    <x v="257"/>
    <x v="64"/>
    <s v="Gujarat"/>
    <x v="0"/>
    <x v="4"/>
    <x v="16"/>
    <n v="4"/>
    <n v="2871.69"/>
    <n v="0.19"/>
    <n v="9304.2800000000007"/>
    <n v="11486.76"/>
    <n v="2182.4799999999996"/>
    <n v="9304.2800000000007"/>
    <s v="UPI"/>
    <x v="0"/>
    <x v="1"/>
    <x v="0"/>
  </r>
  <r>
    <x v="258"/>
    <x v="32"/>
    <s v="Gujarat"/>
    <x v="3"/>
    <x v="4"/>
    <x v="17"/>
    <n v="4"/>
    <n v="2777.13"/>
    <n v="0.25"/>
    <n v="8331.39"/>
    <n v="11108.52"/>
    <n v="2777.130000000001"/>
    <n v="8331.39"/>
    <s v="Credit Card"/>
    <x v="1"/>
    <x v="2"/>
    <x v="0"/>
  </r>
  <r>
    <x v="259"/>
    <x v="80"/>
    <s v="Karnataka"/>
    <x v="3"/>
    <x v="0"/>
    <x v="3"/>
    <n v="4"/>
    <n v="4339.92"/>
    <n v="0.03"/>
    <n v="16838.89"/>
    <n v="17359.68"/>
    <n v="520.79000000000087"/>
    <n v="16838.89"/>
    <s v="UPI"/>
    <x v="0"/>
    <x v="2"/>
    <x v="3"/>
  </r>
  <r>
    <x v="260"/>
    <x v="40"/>
    <s v="Gujarat"/>
    <x v="0"/>
    <x v="1"/>
    <x v="1"/>
    <n v="5"/>
    <n v="782.25"/>
    <n v="0.05"/>
    <n v="3715.69"/>
    <n v="3911.25"/>
    <n v="195.55999999999995"/>
    <n v="3715.69"/>
    <s v="Net Banking"/>
    <x v="0"/>
    <x v="2"/>
    <x v="0"/>
  </r>
  <r>
    <x v="261"/>
    <x v="51"/>
    <s v="Gujarat"/>
    <x v="2"/>
    <x v="1"/>
    <x v="1"/>
    <n v="3"/>
    <n v="4897.1000000000004"/>
    <n v="7.0000000000000007E-2"/>
    <n v="13662.91"/>
    <n v="14691.300000000001"/>
    <n v="1028.3900000000012"/>
    <n v="13662.91"/>
    <s v="COD"/>
    <x v="0"/>
    <x v="0"/>
    <x v="2"/>
  </r>
  <r>
    <x v="262"/>
    <x v="51"/>
    <s v="Delhi"/>
    <x v="3"/>
    <x v="1"/>
    <x v="13"/>
    <n v="3"/>
    <n v="4348.53"/>
    <n v="0.03"/>
    <n v="12654.22"/>
    <n v="13045.59"/>
    <n v="391.3700000000008"/>
    <n v="12654.22"/>
    <s v="Net Banking"/>
    <x v="0"/>
    <x v="2"/>
    <x v="0"/>
  </r>
  <r>
    <x v="263"/>
    <x v="65"/>
    <s v="Tamil Nadu"/>
    <x v="1"/>
    <x v="4"/>
    <x v="16"/>
    <n v="5"/>
    <n v="3198.77"/>
    <n v="0.16"/>
    <n v="13434.83"/>
    <n v="15993.85"/>
    <n v="2559.0200000000004"/>
    <n v="13434.83"/>
    <s v="Net Banking"/>
    <x v="0"/>
    <x v="1"/>
    <x v="0"/>
  </r>
  <r>
    <x v="264"/>
    <x v="137"/>
    <s v="Gujarat"/>
    <x v="0"/>
    <x v="0"/>
    <x v="3"/>
    <n v="3"/>
    <n v="2328.0100000000002"/>
    <n v="0.12"/>
    <n v="6145.95"/>
    <n v="6984.0300000000007"/>
    <n v="838.08000000000084"/>
    <n v="6145.95"/>
    <s v="UPI"/>
    <x v="1"/>
    <x v="0"/>
    <x v="1"/>
  </r>
  <r>
    <x v="265"/>
    <x v="138"/>
    <s v="Karnataka"/>
    <x v="1"/>
    <x v="0"/>
    <x v="3"/>
    <n v="4"/>
    <n v="1167.3699999999999"/>
    <n v="0.11"/>
    <n v="4155.84"/>
    <n v="4669.4799999999996"/>
    <n v="513.63999999999942"/>
    <n v="4155.84"/>
    <s v="Credit Card"/>
    <x v="1"/>
    <x v="2"/>
    <x v="0"/>
  </r>
  <r>
    <x v="266"/>
    <x v="139"/>
    <s v="Gujarat"/>
    <x v="0"/>
    <x v="4"/>
    <x v="17"/>
    <n v="5"/>
    <n v="4276.87"/>
    <n v="0.2"/>
    <n v="17107.48"/>
    <n v="21384.35"/>
    <n v="4276.869999999999"/>
    <n v="17107.48"/>
    <s v="COD"/>
    <x v="0"/>
    <x v="0"/>
    <x v="0"/>
  </r>
  <r>
    <x v="267"/>
    <x v="46"/>
    <s v="Maharashtra"/>
    <x v="3"/>
    <x v="2"/>
    <x v="7"/>
    <n v="4"/>
    <n v="103.31"/>
    <n v="0.24"/>
    <n v="314.06"/>
    <n v="413.24"/>
    <n v="99.18"/>
    <n v="314.06"/>
    <s v="Debit Card"/>
    <x v="2"/>
    <x v="2"/>
    <x v="1"/>
  </r>
  <r>
    <x v="268"/>
    <x v="114"/>
    <s v="Karnataka"/>
    <x v="3"/>
    <x v="4"/>
    <x v="16"/>
    <n v="3"/>
    <n v="1326.91"/>
    <n v="0.09"/>
    <n v="3622.46"/>
    <n v="3980.7300000000005"/>
    <n v="358.27000000000044"/>
    <n v="3622.46"/>
    <s v="Credit Card"/>
    <x v="1"/>
    <x v="0"/>
    <x v="0"/>
  </r>
  <r>
    <x v="269"/>
    <x v="124"/>
    <s v="Tamil Nadu"/>
    <x v="3"/>
    <x v="4"/>
    <x v="16"/>
    <n v="1"/>
    <n v="105.32"/>
    <n v="0.12"/>
    <n v="92.68"/>
    <n v="105.32"/>
    <n v="12.639999999999986"/>
    <n v="92.68"/>
    <s v="Credit Card"/>
    <x v="1"/>
    <x v="2"/>
    <x v="0"/>
  </r>
  <r>
    <x v="270"/>
    <x v="45"/>
    <s v="Maharashtra"/>
    <x v="1"/>
    <x v="2"/>
    <x v="7"/>
    <n v="4"/>
    <n v="3500.75"/>
    <n v="0.12"/>
    <n v="12322.64"/>
    <n v="14003"/>
    <n v="1680.3600000000006"/>
    <n v="12322.64"/>
    <s v="UPI"/>
    <x v="0"/>
    <x v="2"/>
    <x v="0"/>
  </r>
  <r>
    <x v="271"/>
    <x v="36"/>
    <s v="Karnataka"/>
    <x v="3"/>
    <x v="0"/>
    <x v="0"/>
    <n v="2"/>
    <n v="1975.33"/>
    <n v="0.2"/>
    <n v="3160.53"/>
    <n v="3950.66"/>
    <n v="790.12999999999965"/>
    <n v="3160.53"/>
    <s v="UPI"/>
    <x v="2"/>
    <x v="2"/>
    <x v="0"/>
  </r>
  <r>
    <x v="272"/>
    <x v="39"/>
    <s v="Gujarat"/>
    <x v="1"/>
    <x v="1"/>
    <x v="13"/>
    <n v="3"/>
    <n v="3639.92"/>
    <n v="0.16"/>
    <n v="9172.6"/>
    <n v="10919.76"/>
    <n v="1747.1599999999999"/>
    <n v="9172.6"/>
    <s v="Debit Card"/>
    <x v="2"/>
    <x v="2"/>
    <x v="0"/>
  </r>
  <r>
    <x v="273"/>
    <x v="131"/>
    <s v="Maharashtra"/>
    <x v="2"/>
    <x v="2"/>
    <x v="11"/>
    <n v="1"/>
    <n v="2988.91"/>
    <n v="0.1"/>
    <n v="2690.02"/>
    <n v="2988.91"/>
    <n v="298.88999999999987"/>
    <n v="2690.02"/>
    <s v="Credit Card"/>
    <x v="0"/>
    <x v="1"/>
    <x v="3"/>
  </r>
  <r>
    <x v="274"/>
    <x v="50"/>
    <s v="Maharashtra"/>
    <x v="0"/>
    <x v="3"/>
    <x v="9"/>
    <n v="5"/>
    <n v="3040.04"/>
    <n v="0.15"/>
    <n v="12920.17"/>
    <n v="15200.2"/>
    <n v="2280.0300000000007"/>
    <n v="12920.17"/>
    <s v="Debit Card"/>
    <x v="1"/>
    <x v="0"/>
    <x v="3"/>
  </r>
  <r>
    <x v="275"/>
    <x v="106"/>
    <s v="Gujarat"/>
    <x v="3"/>
    <x v="4"/>
    <x v="16"/>
    <n v="2"/>
    <n v="3764.43"/>
    <n v="7.0000000000000007E-2"/>
    <n v="7001.84"/>
    <n v="7528.86"/>
    <n v="527.01999999999953"/>
    <n v="7001.84"/>
    <s v="COD"/>
    <x v="1"/>
    <x v="2"/>
    <x v="0"/>
  </r>
  <r>
    <x v="276"/>
    <x v="48"/>
    <s v="Tamil Nadu"/>
    <x v="2"/>
    <x v="0"/>
    <x v="4"/>
    <n v="5"/>
    <n v="4454.75"/>
    <n v="0"/>
    <n v="22273.75"/>
    <n v="22273.75"/>
    <n v="0"/>
    <n v="22273.75"/>
    <s v="COD"/>
    <x v="0"/>
    <x v="1"/>
    <x v="0"/>
  </r>
  <r>
    <x v="277"/>
    <x v="82"/>
    <s v="Karnataka"/>
    <x v="0"/>
    <x v="1"/>
    <x v="14"/>
    <n v="2"/>
    <n v="3837.36"/>
    <n v="0.24"/>
    <n v="5832.79"/>
    <n v="7674.72"/>
    <n v="1841.9300000000003"/>
    <n v="5832.79"/>
    <s v="COD"/>
    <x v="1"/>
    <x v="2"/>
    <x v="0"/>
  </r>
  <r>
    <x v="278"/>
    <x v="140"/>
    <s v="Delhi"/>
    <x v="1"/>
    <x v="0"/>
    <x v="2"/>
    <n v="4"/>
    <n v="2582.39"/>
    <n v="0.16"/>
    <n v="8676.83"/>
    <n v="10329.56"/>
    <n v="1652.7299999999996"/>
    <n v="8676.83"/>
    <s v="Credit Card"/>
    <x v="0"/>
    <x v="0"/>
    <x v="0"/>
  </r>
  <r>
    <x v="279"/>
    <x v="141"/>
    <s v="Gujarat"/>
    <x v="3"/>
    <x v="2"/>
    <x v="7"/>
    <n v="2"/>
    <n v="1459.59"/>
    <n v="0.08"/>
    <n v="2685.65"/>
    <n v="2919.18"/>
    <n v="233.52999999999975"/>
    <n v="2685.65"/>
    <s v="COD"/>
    <x v="1"/>
    <x v="0"/>
    <x v="2"/>
  </r>
  <r>
    <x v="280"/>
    <x v="142"/>
    <s v="Tamil Nadu"/>
    <x v="0"/>
    <x v="3"/>
    <x v="9"/>
    <n v="1"/>
    <n v="1619.83"/>
    <n v="0.11"/>
    <n v="1441.65"/>
    <n v="1619.83"/>
    <n v="178.17999999999984"/>
    <n v="1441.65"/>
    <s v="COD"/>
    <x v="1"/>
    <x v="2"/>
    <x v="0"/>
  </r>
  <r>
    <x v="281"/>
    <x v="89"/>
    <s v="Tamil Nadu"/>
    <x v="3"/>
    <x v="2"/>
    <x v="7"/>
    <n v="1"/>
    <n v="1615.52"/>
    <n v="0.19"/>
    <n v="1308.57"/>
    <n v="1615.52"/>
    <n v="306.95000000000005"/>
    <n v="1308.57"/>
    <s v="COD"/>
    <x v="1"/>
    <x v="0"/>
    <x v="0"/>
  </r>
  <r>
    <x v="282"/>
    <x v="74"/>
    <s v="Delhi"/>
    <x v="3"/>
    <x v="3"/>
    <x v="8"/>
    <n v="5"/>
    <n v="2634.39"/>
    <n v="0.21"/>
    <n v="10405.84"/>
    <n v="13171.949999999999"/>
    <n v="2766.1099999999988"/>
    <n v="10405.84"/>
    <s v="Net Banking"/>
    <x v="2"/>
    <x v="1"/>
    <x v="0"/>
  </r>
  <r>
    <x v="283"/>
    <x v="25"/>
    <s v="Maharashtra"/>
    <x v="0"/>
    <x v="4"/>
    <x v="19"/>
    <n v="3"/>
    <n v="2666.89"/>
    <n v="7.0000000000000007E-2"/>
    <n v="7440.62"/>
    <n v="8000.67"/>
    <n v="560.05000000000018"/>
    <n v="7440.62"/>
    <s v="UPI"/>
    <x v="2"/>
    <x v="0"/>
    <x v="0"/>
  </r>
  <r>
    <x v="284"/>
    <x v="126"/>
    <s v="Maharashtra"/>
    <x v="0"/>
    <x v="1"/>
    <x v="1"/>
    <n v="2"/>
    <n v="1901.67"/>
    <n v="0.06"/>
    <n v="3575.14"/>
    <n v="3803.34"/>
    <n v="228.20000000000027"/>
    <n v="3575.14"/>
    <s v="Net Banking"/>
    <x v="1"/>
    <x v="2"/>
    <x v="0"/>
  </r>
  <r>
    <x v="285"/>
    <x v="143"/>
    <s v="Maharashtra"/>
    <x v="3"/>
    <x v="1"/>
    <x v="13"/>
    <n v="1"/>
    <n v="2411.65"/>
    <n v="0.1"/>
    <n v="2170.4899999999998"/>
    <n v="2411.65"/>
    <n v="241.16000000000031"/>
    <n v="2170.4899999999998"/>
    <s v="Credit Card"/>
    <x v="0"/>
    <x v="2"/>
    <x v="1"/>
  </r>
  <r>
    <x v="286"/>
    <x v="102"/>
    <s v="Delhi"/>
    <x v="2"/>
    <x v="0"/>
    <x v="3"/>
    <n v="4"/>
    <n v="4587.6899999999996"/>
    <n v="0.08"/>
    <n v="16882.7"/>
    <n v="18350.759999999998"/>
    <n v="1468.0599999999977"/>
    <n v="16882.7"/>
    <s v="UPI"/>
    <x v="0"/>
    <x v="2"/>
    <x v="0"/>
  </r>
  <r>
    <x v="287"/>
    <x v="144"/>
    <s v="Delhi"/>
    <x v="2"/>
    <x v="0"/>
    <x v="4"/>
    <n v="4"/>
    <n v="437.74"/>
    <n v="0.12"/>
    <n v="1540.84"/>
    <n v="1750.96"/>
    <n v="210.12000000000012"/>
    <n v="1540.84"/>
    <s v="COD"/>
    <x v="0"/>
    <x v="1"/>
    <x v="0"/>
  </r>
  <r>
    <x v="288"/>
    <x v="27"/>
    <s v="Maharashtra"/>
    <x v="3"/>
    <x v="1"/>
    <x v="14"/>
    <n v="3"/>
    <n v="2862.65"/>
    <n v="0.08"/>
    <n v="7900.91"/>
    <n v="8587.9500000000007"/>
    <n v="687.04000000000087"/>
    <n v="7900.91"/>
    <s v="UPI"/>
    <x v="0"/>
    <x v="0"/>
    <x v="0"/>
  </r>
  <r>
    <x v="289"/>
    <x v="145"/>
    <s v="Delhi"/>
    <x v="2"/>
    <x v="1"/>
    <x v="14"/>
    <n v="2"/>
    <n v="131.25"/>
    <n v="0.1"/>
    <n v="236.25"/>
    <n v="262.5"/>
    <n v="26.25"/>
    <n v="236.25"/>
    <s v="COD"/>
    <x v="0"/>
    <x v="2"/>
    <x v="0"/>
  </r>
  <r>
    <x v="290"/>
    <x v="115"/>
    <s v="Maharashtra"/>
    <x v="1"/>
    <x v="0"/>
    <x v="2"/>
    <n v="3"/>
    <n v="609.35"/>
    <n v="0.13"/>
    <n v="1590.4"/>
    <n v="1828.0500000000002"/>
    <n v="237.65000000000009"/>
    <n v="1590.4"/>
    <s v="Net Banking"/>
    <x v="1"/>
    <x v="2"/>
    <x v="0"/>
  </r>
  <r>
    <x v="291"/>
    <x v="6"/>
    <s v="Karnataka"/>
    <x v="2"/>
    <x v="0"/>
    <x v="4"/>
    <n v="2"/>
    <n v="4496.71"/>
    <n v="0.13"/>
    <n v="7824.28"/>
    <n v="8993.42"/>
    <n v="1169.1400000000003"/>
    <n v="7824.28"/>
    <s v="Credit Card"/>
    <x v="0"/>
    <x v="0"/>
    <x v="0"/>
  </r>
  <r>
    <x v="292"/>
    <x v="90"/>
    <s v="Gujarat"/>
    <x v="3"/>
    <x v="0"/>
    <x v="0"/>
    <n v="4"/>
    <n v="466.67"/>
    <n v="0.14000000000000001"/>
    <n v="1605.34"/>
    <n v="1866.68"/>
    <n v="261.34000000000015"/>
    <n v="1605.34"/>
    <s v="Debit Card"/>
    <x v="1"/>
    <x v="1"/>
    <x v="0"/>
  </r>
  <r>
    <x v="293"/>
    <x v="41"/>
    <s v="Tamil Nadu"/>
    <x v="3"/>
    <x v="4"/>
    <x v="17"/>
    <n v="4"/>
    <n v="1432.58"/>
    <n v="0.02"/>
    <n v="5615.71"/>
    <n v="5730.32"/>
    <n v="114.60999999999967"/>
    <n v="5615.71"/>
    <s v="UPI"/>
    <x v="2"/>
    <x v="2"/>
    <x v="3"/>
  </r>
  <r>
    <x v="294"/>
    <x v="2"/>
    <s v="Delhi"/>
    <x v="2"/>
    <x v="1"/>
    <x v="13"/>
    <n v="4"/>
    <n v="2383.67"/>
    <n v="0.1"/>
    <n v="8581.2099999999991"/>
    <n v="9534.68"/>
    <n v="953.47000000000116"/>
    <n v="8581.2099999999991"/>
    <s v="Credit Card"/>
    <x v="0"/>
    <x v="0"/>
    <x v="2"/>
  </r>
  <r>
    <x v="295"/>
    <x v="13"/>
    <s v="Karnataka"/>
    <x v="0"/>
    <x v="3"/>
    <x v="15"/>
    <n v="1"/>
    <n v="543.05999999999995"/>
    <n v="0.2"/>
    <n v="434.45"/>
    <n v="543.05999999999995"/>
    <n v="108.60999999999996"/>
    <n v="434.45"/>
    <s v="Net Banking"/>
    <x v="2"/>
    <x v="1"/>
    <x v="0"/>
  </r>
  <r>
    <x v="296"/>
    <x v="54"/>
    <s v="Maharashtra"/>
    <x v="3"/>
    <x v="4"/>
    <x v="16"/>
    <n v="4"/>
    <n v="2615.9499999999998"/>
    <n v="0.17"/>
    <n v="8684.9500000000007"/>
    <n v="10463.799999999999"/>
    <n v="1778.8499999999985"/>
    <n v="8684.9500000000007"/>
    <s v="Debit Card"/>
    <x v="2"/>
    <x v="1"/>
    <x v="0"/>
  </r>
  <r>
    <x v="297"/>
    <x v="66"/>
    <s v="Gujarat"/>
    <x v="0"/>
    <x v="2"/>
    <x v="5"/>
    <n v="1"/>
    <n v="2364.0100000000002"/>
    <n v="0.2"/>
    <n v="1891.21"/>
    <n v="2364.0100000000002"/>
    <n v="472.80000000000018"/>
    <n v="1891.21"/>
    <s v="COD"/>
    <x v="0"/>
    <x v="2"/>
    <x v="0"/>
  </r>
  <r>
    <x v="298"/>
    <x v="13"/>
    <s v="Delhi"/>
    <x v="0"/>
    <x v="3"/>
    <x v="12"/>
    <n v="1"/>
    <n v="2953.39"/>
    <n v="0.06"/>
    <n v="2776.19"/>
    <n v="2953.39"/>
    <n v="177.19999999999982"/>
    <n v="2776.19"/>
    <s v="Net Banking"/>
    <x v="2"/>
    <x v="2"/>
    <x v="2"/>
  </r>
  <r>
    <x v="299"/>
    <x v="18"/>
    <s v="Delhi"/>
    <x v="1"/>
    <x v="3"/>
    <x v="15"/>
    <n v="1"/>
    <n v="309.20999999999998"/>
    <n v="0.12"/>
    <n v="272.10000000000002"/>
    <n v="309.20999999999998"/>
    <n v="37.109999999999957"/>
    <n v="272.10000000000002"/>
    <s v="Credit Card"/>
    <x v="2"/>
    <x v="2"/>
    <x v="3"/>
  </r>
  <r>
    <x v="300"/>
    <x v="31"/>
    <s v="Maharashtra"/>
    <x v="2"/>
    <x v="2"/>
    <x v="5"/>
    <n v="4"/>
    <n v="946.76"/>
    <n v="0.05"/>
    <n v="3597.69"/>
    <n v="3787.04"/>
    <n v="189.34999999999991"/>
    <n v="3597.69"/>
    <s v="Net Banking"/>
    <x v="1"/>
    <x v="2"/>
    <x v="0"/>
  </r>
  <r>
    <x v="301"/>
    <x v="64"/>
    <s v="Gujarat"/>
    <x v="1"/>
    <x v="3"/>
    <x v="8"/>
    <n v="2"/>
    <n v="3271.66"/>
    <n v="0.12"/>
    <n v="5758.12"/>
    <n v="6543.32"/>
    <n v="785.19999999999982"/>
    <n v="5758.12"/>
    <s v="COD"/>
    <x v="1"/>
    <x v="0"/>
    <x v="0"/>
  </r>
  <r>
    <x v="302"/>
    <x v="146"/>
    <s v="Delhi"/>
    <x v="0"/>
    <x v="4"/>
    <x v="18"/>
    <n v="5"/>
    <n v="1320.82"/>
    <n v="0.25"/>
    <n v="4953.07"/>
    <n v="6604.0999999999995"/>
    <n v="1651.0299999999997"/>
    <n v="4953.07"/>
    <s v="Net Banking"/>
    <x v="0"/>
    <x v="0"/>
    <x v="2"/>
  </r>
  <r>
    <x v="303"/>
    <x v="57"/>
    <s v="Gujarat"/>
    <x v="0"/>
    <x v="4"/>
    <x v="18"/>
    <n v="5"/>
    <n v="2561.73"/>
    <n v="0.1"/>
    <n v="11527.78"/>
    <n v="12808.65"/>
    <n v="1280.869999999999"/>
    <n v="11527.78"/>
    <s v="Net Banking"/>
    <x v="2"/>
    <x v="2"/>
    <x v="0"/>
  </r>
  <r>
    <x v="304"/>
    <x v="134"/>
    <s v="Karnataka"/>
    <x v="3"/>
    <x v="3"/>
    <x v="8"/>
    <n v="5"/>
    <n v="1851.42"/>
    <n v="0.15"/>
    <n v="7868.53"/>
    <n v="9257.1"/>
    <n v="1388.5700000000006"/>
    <n v="7868.53"/>
    <s v="Credit Card"/>
    <x v="2"/>
    <x v="2"/>
    <x v="0"/>
  </r>
  <r>
    <x v="305"/>
    <x v="66"/>
    <s v="Gujarat"/>
    <x v="3"/>
    <x v="3"/>
    <x v="9"/>
    <n v="5"/>
    <n v="4247.87"/>
    <n v="0.2"/>
    <n v="16991.48"/>
    <n v="21239.35"/>
    <n v="4247.869999999999"/>
    <n v="16991.48"/>
    <s v="Credit Card"/>
    <x v="0"/>
    <x v="1"/>
    <x v="0"/>
  </r>
  <r>
    <x v="306"/>
    <x v="64"/>
    <s v="Karnataka"/>
    <x v="3"/>
    <x v="1"/>
    <x v="1"/>
    <n v="3"/>
    <n v="4743.04"/>
    <n v="0.14000000000000001"/>
    <n v="12237.04"/>
    <n v="14229.119999999999"/>
    <n v="1992.0799999999981"/>
    <n v="12237.04"/>
    <s v="COD"/>
    <x v="0"/>
    <x v="0"/>
    <x v="3"/>
  </r>
  <r>
    <x v="307"/>
    <x v="147"/>
    <s v="Delhi"/>
    <x v="1"/>
    <x v="2"/>
    <x v="6"/>
    <n v="1"/>
    <n v="375.22"/>
    <n v="0.15"/>
    <n v="318.94"/>
    <n v="375.22"/>
    <n v="56.28000000000003"/>
    <n v="318.94"/>
    <s v="Net Banking"/>
    <x v="0"/>
    <x v="2"/>
    <x v="0"/>
  </r>
  <r>
    <x v="308"/>
    <x v="15"/>
    <s v="Delhi"/>
    <x v="0"/>
    <x v="1"/>
    <x v="10"/>
    <n v="2"/>
    <n v="4602.03"/>
    <n v="0.21"/>
    <n v="7271.21"/>
    <n v="9204.06"/>
    <n v="1932.8499999999995"/>
    <n v="7271.21"/>
    <s v="UPI"/>
    <x v="1"/>
    <x v="1"/>
    <x v="0"/>
  </r>
  <r>
    <x v="309"/>
    <x v="68"/>
    <s v="Maharashtra"/>
    <x v="0"/>
    <x v="1"/>
    <x v="10"/>
    <n v="1"/>
    <n v="1930.59"/>
    <n v="0.24"/>
    <n v="1467.25"/>
    <n v="1930.59"/>
    <n v="463.33999999999992"/>
    <n v="1467.25"/>
    <s v="COD"/>
    <x v="2"/>
    <x v="1"/>
    <x v="0"/>
  </r>
  <r>
    <x v="310"/>
    <x v="148"/>
    <s v="Delhi"/>
    <x v="2"/>
    <x v="4"/>
    <x v="16"/>
    <n v="4"/>
    <n v="3280.98"/>
    <n v="0.04"/>
    <n v="12598.96"/>
    <n v="13123.92"/>
    <n v="524.96000000000095"/>
    <n v="12598.96"/>
    <s v="Net Banking"/>
    <x v="1"/>
    <x v="0"/>
    <x v="0"/>
  </r>
  <r>
    <x v="311"/>
    <x v="64"/>
    <s v="Tamil Nadu"/>
    <x v="1"/>
    <x v="1"/>
    <x v="10"/>
    <n v="3"/>
    <n v="724.01"/>
    <n v="0.18"/>
    <n v="1781.06"/>
    <n v="2172.0299999999997"/>
    <n v="390.9699999999998"/>
    <n v="1781.06"/>
    <s v="UPI"/>
    <x v="1"/>
    <x v="0"/>
    <x v="1"/>
  </r>
  <r>
    <x v="312"/>
    <x v="149"/>
    <s v="Delhi"/>
    <x v="3"/>
    <x v="1"/>
    <x v="13"/>
    <n v="5"/>
    <n v="1182.3900000000001"/>
    <n v="0.14000000000000001"/>
    <n v="5084.28"/>
    <n v="5911.9500000000007"/>
    <n v="827.67000000000098"/>
    <n v="5084.28"/>
    <s v="COD"/>
    <x v="2"/>
    <x v="1"/>
    <x v="0"/>
  </r>
  <r>
    <x v="313"/>
    <x v="133"/>
    <s v="Karnataka"/>
    <x v="2"/>
    <x v="0"/>
    <x v="4"/>
    <n v="1"/>
    <n v="4126.1400000000003"/>
    <n v="0.17"/>
    <n v="3424.7"/>
    <n v="4126.1400000000003"/>
    <n v="701.44000000000051"/>
    <n v="3424.7"/>
    <s v="UPI"/>
    <x v="0"/>
    <x v="0"/>
    <x v="0"/>
  </r>
  <r>
    <x v="314"/>
    <x v="28"/>
    <s v="Delhi"/>
    <x v="1"/>
    <x v="4"/>
    <x v="16"/>
    <n v="3"/>
    <n v="3956.4"/>
    <n v="0.18"/>
    <n v="9732.74"/>
    <n v="11869.2"/>
    <n v="2136.4600000000009"/>
    <n v="9732.74"/>
    <s v="Credit Card"/>
    <x v="2"/>
    <x v="2"/>
    <x v="0"/>
  </r>
  <r>
    <x v="315"/>
    <x v="150"/>
    <s v="Tamil Nadu"/>
    <x v="3"/>
    <x v="2"/>
    <x v="11"/>
    <n v="3"/>
    <n v="2775.52"/>
    <n v="0.03"/>
    <n v="8076.76"/>
    <n v="8326.56"/>
    <n v="249.79999999999927"/>
    <n v="8076.76"/>
    <s v="Net Banking"/>
    <x v="2"/>
    <x v="1"/>
    <x v="0"/>
  </r>
  <r>
    <x v="316"/>
    <x v="129"/>
    <s v="Karnataka"/>
    <x v="1"/>
    <x v="0"/>
    <x v="0"/>
    <n v="3"/>
    <n v="4763.1400000000003"/>
    <n v="0.02"/>
    <n v="14003.63"/>
    <n v="14289.420000000002"/>
    <n v="285.79000000000269"/>
    <n v="14003.63"/>
    <s v="Credit Card"/>
    <x v="2"/>
    <x v="2"/>
    <x v="0"/>
  </r>
  <r>
    <x v="317"/>
    <x v="39"/>
    <s v="Karnataka"/>
    <x v="3"/>
    <x v="0"/>
    <x v="0"/>
    <n v="4"/>
    <n v="3552.07"/>
    <n v="0.11"/>
    <n v="12645.37"/>
    <n v="14208.28"/>
    <n v="1562.9099999999999"/>
    <n v="12645.37"/>
    <s v="COD"/>
    <x v="1"/>
    <x v="0"/>
    <x v="0"/>
  </r>
  <r>
    <x v="318"/>
    <x v="50"/>
    <s v="Maharashtra"/>
    <x v="2"/>
    <x v="2"/>
    <x v="11"/>
    <n v="2"/>
    <n v="4874.55"/>
    <n v="0.1"/>
    <n v="8774.19"/>
    <n v="9749.1"/>
    <n v="974.90999999999985"/>
    <n v="8774.19"/>
    <s v="Credit Card"/>
    <x v="2"/>
    <x v="0"/>
    <x v="0"/>
  </r>
  <r>
    <x v="319"/>
    <x v="151"/>
    <s v="Maharashtra"/>
    <x v="2"/>
    <x v="4"/>
    <x v="16"/>
    <n v="5"/>
    <n v="2793.35"/>
    <n v="0.12"/>
    <n v="12290.74"/>
    <n v="13966.75"/>
    <n v="1676.0100000000002"/>
    <n v="12290.74"/>
    <s v="Credit Card"/>
    <x v="2"/>
    <x v="2"/>
    <x v="0"/>
  </r>
  <r>
    <x v="320"/>
    <x v="120"/>
    <s v="Gujarat"/>
    <x v="0"/>
    <x v="0"/>
    <x v="2"/>
    <n v="1"/>
    <n v="226.1"/>
    <n v="0.04"/>
    <n v="217.06"/>
    <n v="226.1"/>
    <n v="9.039999999999992"/>
    <n v="217.06"/>
    <s v="Net Banking"/>
    <x v="0"/>
    <x v="1"/>
    <x v="0"/>
  </r>
  <r>
    <x v="321"/>
    <x v="75"/>
    <s v="Tamil Nadu"/>
    <x v="2"/>
    <x v="0"/>
    <x v="2"/>
    <n v="3"/>
    <n v="546.57000000000005"/>
    <n v="0.14000000000000001"/>
    <n v="1410.15"/>
    <n v="1639.71"/>
    <n v="229.55999999999995"/>
    <n v="1410.15"/>
    <s v="Net Banking"/>
    <x v="2"/>
    <x v="2"/>
    <x v="1"/>
  </r>
  <r>
    <x v="322"/>
    <x v="59"/>
    <s v="Tamil Nadu"/>
    <x v="0"/>
    <x v="4"/>
    <x v="16"/>
    <n v="4"/>
    <n v="2378.7800000000002"/>
    <n v="0.06"/>
    <n v="8944.2099999999991"/>
    <n v="9515.1200000000008"/>
    <n v="570.91000000000167"/>
    <n v="8944.2099999999991"/>
    <s v="Credit Card"/>
    <x v="2"/>
    <x v="1"/>
    <x v="0"/>
  </r>
  <r>
    <x v="323"/>
    <x v="92"/>
    <s v="Karnataka"/>
    <x v="1"/>
    <x v="0"/>
    <x v="0"/>
    <n v="5"/>
    <n v="1214.81"/>
    <n v="0.02"/>
    <n v="5952.57"/>
    <n v="6074.0499999999993"/>
    <n v="121.47999999999956"/>
    <n v="5952.57"/>
    <s v="COD"/>
    <x v="2"/>
    <x v="1"/>
    <x v="2"/>
  </r>
  <r>
    <x v="324"/>
    <x v="152"/>
    <s v="Tamil Nadu"/>
    <x v="3"/>
    <x v="2"/>
    <x v="11"/>
    <n v="4"/>
    <n v="4523.6099999999997"/>
    <n v="0.18"/>
    <n v="14837.44"/>
    <n v="18094.439999999999"/>
    <n v="3256.9999999999982"/>
    <n v="14837.44"/>
    <s v="UPI"/>
    <x v="0"/>
    <x v="0"/>
    <x v="0"/>
  </r>
  <r>
    <x v="325"/>
    <x v="153"/>
    <s v="Delhi"/>
    <x v="1"/>
    <x v="2"/>
    <x v="11"/>
    <n v="2"/>
    <n v="309.11"/>
    <n v="0.02"/>
    <n v="605.86"/>
    <n v="618.22"/>
    <n v="12.360000000000014"/>
    <n v="605.86"/>
    <s v="Debit Card"/>
    <x v="0"/>
    <x v="0"/>
    <x v="0"/>
  </r>
  <r>
    <x v="326"/>
    <x v="5"/>
    <s v="Karnataka"/>
    <x v="1"/>
    <x v="3"/>
    <x v="9"/>
    <n v="4"/>
    <n v="2826.18"/>
    <n v="0.14000000000000001"/>
    <n v="9722.06"/>
    <n v="11304.72"/>
    <n v="1582.6599999999999"/>
    <n v="9722.06"/>
    <s v="Credit Card"/>
    <x v="0"/>
    <x v="1"/>
    <x v="1"/>
  </r>
  <r>
    <x v="327"/>
    <x v="154"/>
    <s v="Maharashtra"/>
    <x v="0"/>
    <x v="0"/>
    <x v="3"/>
    <n v="2"/>
    <n v="2876.31"/>
    <n v="0.15"/>
    <n v="4889.7299999999996"/>
    <n v="5752.62"/>
    <n v="862.89000000000033"/>
    <n v="4889.7299999999996"/>
    <s v="Net Banking"/>
    <x v="0"/>
    <x v="2"/>
    <x v="0"/>
  </r>
  <r>
    <x v="328"/>
    <x v="153"/>
    <s v="Gujarat"/>
    <x v="1"/>
    <x v="0"/>
    <x v="2"/>
    <n v="3"/>
    <n v="1976.91"/>
    <n v="0.12"/>
    <n v="5219.04"/>
    <n v="5930.7300000000005"/>
    <n v="711.69000000000051"/>
    <n v="5219.04"/>
    <s v="UPI"/>
    <x v="2"/>
    <x v="0"/>
    <x v="0"/>
  </r>
  <r>
    <x v="329"/>
    <x v="33"/>
    <s v="Delhi"/>
    <x v="3"/>
    <x v="4"/>
    <x v="18"/>
    <n v="4"/>
    <n v="290.02999999999997"/>
    <n v="0.22"/>
    <n v="904.89"/>
    <n v="1160.1199999999999"/>
    <n v="255.2299999999999"/>
    <n v="904.89"/>
    <s v="COD"/>
    <x v="1"/>
    <x v="1"/>
    <x v="0"/>
  </r>
  <r>
    <x v="330"/>
    <x v="155"/>
    <s v="Karnataka"/>
    <x v="0"/>
    <x v="2"/>
    <x v="6"/>
    <n v="3"/>
    <n v="1623.65"/>
    <n v="0.21"/>
    <n v="3848.05"/>
    <n v="4870.9500000000007"/>
    <n v="1022.9000000000005"/>
    <n v="3848.05"/>
    <s v="Credit Card"/>
    <x v="2"/>
    <x v="0"/>
    <x v="2"/>
  </r>
  <r>
    <x v="331"/>
    <x v="156"/>
    <s v="Karnataka"/>
    <x v="3"/>
    <x v="3"/>
    <x v="12"/>
    <n v="3"/>
    <n v="3671.12"/>
    <n v="0.15"/>
    <n v="9361.36"/>
    <n v="11013.36"/>
    <n v="1652"/>
    <n v="9361.36"/>
    <s v="Net Banking"/>
    <x v="2"/>
    <x v="2"/>
    <x v="0"/>
  </r>
  <r>
    <x v="332"/>
    <x v="17"/>
    <s v="Gujarat"/>
    <x v="1"/>
    <x v="2"/>
    <x v="5"/>
    <n v="5"/>
    <n v="3978.3"/>
    <n v="0.02"/>
    <n v="19493.669999999998"/>
    <n v="19891.5"/>
    <n v="397.83000000000175"/>
    <n v="19493.669999999998"/>
    <s v="UPI"/>
    <x v="0"/>
    <x v="0"/>
    <x v="0"/>
  </r>
  <r>
    <x v="333"/>
    <x v="17"/>
    <s v="Delhi"/>
    <x v="3"/>
    <x v="1"/>
    <x v="13"/>
    <n v="1"/>
    <n v="1322.5"/>
    <n v="0.11"/>
    <n v="1177.03"/>
    <n v="1322.5"/>
    <n v="145.47000000000003"/>
    <n v="1177.03"/>
    <s v="Debit Card"/>
    <x v="0"/>
    <x v="1"/>
    <x v="0"/>
  </r>
  <r>
    <x v="334"/>
    <x v="94"/>
    <s v="Maharashtra"/>
    <x v="2"/>
    <x v="2"/>
    <x v="5"/>
    <n v="3"/>
    <n v="2495.06"/>
    <n v="0.11"/>
    <n v="6661.81"/>
    <n v="7485.18"/>
    <n v="823.36999999999989"/>
    <n v="6661.81"/>
    <s v="Credit Card"/>
    <x v="0"/>
    <x v="1"/>
    <x v="0"/>
  </r>
  <r>
    <x v="335"/>
    <x v="101"/>
    <s v="Karnataka"/>
    <x v="3"/>
    <x v="4"/>
    <x v="19"/>
    <n v="1"/>
    <n v="898.25"/>
    <n v="0.14000000000000001"/>
    <n v="772.5"/>
    <n v="898.25"/>
    <n v="125.75"/>
    <n v="772.5"/>
    <s v="Credit Card"/>
    <x v="2"/>
    <x v="2"/>
    <x v="0"/>
  </r>
  <r>
    <x v="336"/>
    <x v="72"/>
    <s v="Tamil Nadu"/>
    <x v="0"/>
    <x v="3"/>
    <x v="9"/>
    <n v="1"/>
    <n v="2423.08"/>
    <n v="0.03"/>
    <n v="2350.39"/>
    <n v="2423.08"/>
    <n v="72.690000000000055"/>
    <n v="2350.39"/>
    <s v="COD"/>
    <x v="0"/>
    <x v="2"/>
    <x v="0"/>
  </r>
  <r>
    <x v="337"/>
    <x v="36"/>
    <s v="Karnataka"/>
    <x v="1"/>
    <x v="1"/>
    <x v="1"/>
    <n v="3"/>
    <n v="2349.09"/>
    <n v="0.05"/>
    <n v="6694.91"/>
    <n v="7047.27"/>
    <n v="352.36000000000058"/>
    <n v="6694.91"/>
    <s v="Net Banking"/>
    <x v="2"/>
    <x v="1"/>
    <x v="0"/>
  </r>
  <r>
    <x v="338"/>
    <x v="155"/>
    <s v="Gujarat"/>
    <x v="2"/>
    <x v="0"/>
    <x v="2"/>
    <n v="3"/>
    <n v="1562.53"/>
    <n v="0.03"/>
    <n v="4546.96"/>
    <n v="4687.59"/>
    <n v="140.63000000000011"/>
    <n v="4546.96"/>
    <s v="COD"/>
    <x v="1"/>
    <x v="2"/>
    <x v="2"/>
  </r>
  <r>
    <x v="339"/>
    <x v="113"/>
    <s v="Karnataka"/>
    <x v="1"/>
    <x v="4"/>
    <x v="17"/>
    <n v="2"/>
    <n v="2634.74"/>
    <n v="0.06"/>
    <n v="4953.3100000000004"/>
    <n v="5269.48"/>
    <n v="316.16999999999916"/>
    <n v="4953.3100000000004"/>
    <s v="UPI"/>
    <x v="0"/>
    <x v="2"/>
    <x v="0"/>
  </r>
  <r>
    <x v="340"/>
    <x v="60"/>
    <s v="Tamil Nadu"/>
    <x v="3"/>
    <x v="3"/>
    <x v="8"/>
    <n v="4"/>
    <n v="2082.5300000000002"/>
    <n v="0.18"/>
    <n v="6830.7"/>
    <n v="8330.1200000000008"/>
    <n v="1499.420000000001"/>
    <n v="6830.7"/>
    <s v="UPI"/>
    <x v="2"/>
    <x v="0"/>
    <x v="0"/>
  </r>
  <r>
    <x v="341"/>
    <x v="48"/>
    <s v="Karnataka"/>
    <x v="2"/>
    <x v="3"/>
    <x v="15"/>
    <n v="2"/>
    <n v="4219.13"/>
    <n v="0.22"/>
    <n v="6581.84"/>
    <n v="8438.26"/>
    <n v="1856.42"/>
    <n v="6581.84"/>
    <s v="COD"/>
    <x v="2"/>
    <x v="2"/>
    <x v="0"/>
  </r>
  <r>
    <x v="342"/>
    <x v="86"/>
    <s v="Gujarat"/>
    <x v="2"/>
    <x v="3"/>
    <x v="9"/>
    <n v="3"/>
    <n v="3306.73"/>
    <n v="0.06"/>
    <n v="9324.98"/>
    <n v="9920.19"/>
    <n v="595.21000000000095"/>
    <n v="9324.98"/>
    <s v="Debit Card"/>
    <x v="1"/>
    <x v="2"/>
    <x v="0"/>
  </r>
  <r>
    <x v="343"/>
    <x v="74"/>
    <s v="Karnataka"/>
    <x v="0"/>
    <x v="4"/>
    <x v="17"/>
    <n v="4"/>
    <n v="4270.95"/>
    <n v="0.12"/>
    <n v="15033.74"/>
    <n v="17083.8"/>
    <n v="2050.0599999999995"/>
    <n v="15033.74"/>
    <s v="COD"/>
    <x v="2"/>
    <x v="0"/>
    <x v="0"/>
  </r>
  <r>
    <x v="344"/>
    <x v="25"/>
    <s v="Tamil Nadu"/>
    <x v="3"/>
    <x v="3"/>
    <x v="8"/>
    <n v="4"/>
    <n v="364.9"/>
    <n v="0.21"/>
    <n v="1153.08"/>
    <n v="1459.6"/>
    <n v="306.52"/>
    <n v="1153.08"/>
    <s v="COD"/>
    <x v="2"/>
    <x v="2"/>
    <x v="0"/>
  </r>
  <r>
    <x v="345"/>
    <x v="77"/>
    <s v="Delhi"/>
    <x v="3"/>
    <x v="1"/>
    <x v="14"/>
    <n v="2"/>
    <n v="3916.81"/>
    <n v="0.12"/>
    <n v="6893.59"/>
    <n v="7833.62"/>
    <n v="940.02999999999975"/>
    <n v="6893.59"/>
    <s v="UPI"/>
    <x v="1"/>
    <x v="0"/>
    <x v="0"/>
  </r>
  <r>
    <x v="346"/>
    <x v="8"/>
    <s v="Tamil Nadu"/>
    <x v="3"/>
    <x v="0"/>
    <x v="0"/>
    <n v="2"/>
    <n v="2923.77"/>
    <n v="0.04"/>
    <n v="5613.64"/>
    <n v="5847.54"/>
    <n v="233.89999999999964"/>
    <n v="5613.64"/>
    <s v="UPI"/>
    <x v="0"/>
    <x v="2"/>
    <x v="0"/>
  </r>
  <r>
    <x v="347"/>
    <x v="134"/>
    <s v="Tamil Nadu"/>
    <x v="0"/>
    <x v="2"/>
    <x v="5"/>
    <n v="1"/>
    <n v="284.85000000000002"/>
    <n v="0.05"/>
    <n v="270.61"/>
    <n v="284.85000000000002"/>
    <n v="14.240000000000009"/>
    <n v="270.61"/>
    <s v="Net Banking"/>
    <x v="2"/>
    <x v="1"/>
    <x v="1"/>
  </r>
  <r>
    <x v="348"/>
    <x v="157"/>
    <s v="Maharashtra"/>
    <x v="3"/>
    <x v="1"/>
    <x v="10"/>
    <n v="2"/>
    <n v="1208.7"/>
    <n v="0.22"/>
    <n v="1885.57"/>
    <n v="2417.4"/>
    <n v="531.83000000000015"/>
    <n v="1885.57"/>
    <s v="Credit Card"/>
    <x v="1"/>
    <x v="1"/>
    <x v="0"/>
  </r>
  <r>
    <x v="349"/>
    <x v="48"/>
    <s v="Delhi"/>
    <x v="2"/>
    <x v="1"/>
    <x v="1"/>
    <n v="3"/>
    <n v="4747.47"/>
    <n v="0.11"/>
    <n v="12675.74"/>
    <n v="14242.41"/>
    <n v="1566.67"/>
    <n v="12675.74"/>
    <s v="Credit Card"/>
    <x v="0"/>
    <x v="0"/>
    <x v="0"/>
  </r>
  <r>
    <x v="350"/>
    <x v="41"/>
    <s v="Tamil Nadu"/>
    <x v="0"/>
    <x v="3"/>
    <x v="9"/>
    <n v="2"/>
    <n v="4745.6099999999997"/>
    <n v="0.23"/>
    <n v="7308.24"/>
    <n v="9491.2199999999993"/>
    <n v="2182.9799999999996"/>
    <n v="7308.24"/>
    <s v="UPI"/>
    <x v="0"/>
    <x v="1"/>
    <x v="0"/>
  </r>
  <r>
    <x v="351"/>
    <x v="158"/>
    <s v="Maharashtra"/>
    <x v="1"/>
    <x v="3"/>
    <x v="12"/>
    <n v="2"/>
    <n v="703.49"/>
    <n v="0.18"/>
    <n v="1153.72"/>
    <n v="1406.98"/>
    <n v="253.26"/>
    <n v="1153.72"/>
    <s v="COD"/>
    <x v="1"/>
    <x v="2"/>
    <x v="1"/>
  </r>
  <r>
    <x v="352"/>
    <x v="60"/>
    <s v="Gujarat"/>
    <x v="0"/>
    <x v="4"/>
    <x v="19"/>
    <n v="1"/>
    <n v="3302.48"/>
    <n v="0"/>
    <n v="3302.48"/>
    <n v="3302.48"/>
    <n v="0"/>
    <n v="3302.48"/>
    <s v="Credit Card"/>
    <x v="1"/>
    <x v="0"/>
    <x v="0"/>
  </r>
  <r>
    <x v="353"/>
    <x v="1"/>
    <s v="Gujarat"/>
    <x v="2"/>
    <x v="2"/>
    <x v="7"/>
    <n v="2"/>
    <n v="1106.93"/>
    <n v="0.17"/>
    <n v="1837.5"/>
    <n v="2213.86"/>
    <n v="376.36000000000013"/>
    <n v="1837.5"/>
    <s v="UPI"/>
    <x v="2"/>
    <x v="2"/>
    <x v="0"/>
  </r>
  <r>
    <x v="354"/>
    <x v="115"/>
    <s v="Gujarat"/>
    <x v="0"/>
    <x v="0"/>
    <x v="2"/>
    <n v="2"/>
    <n v="2152.25"/>
    <n v="0.22"/>
    <n v="3357.51"/>
    <n v="4304.5"/>
    <n v="946.98999999999978"/>
    <n v="3357.51"/>
    <s v="COD"/>
    <x v="1"/>
    <x v="0"/>
    <x v="0"/>
  </r>
  <r>
    <x v="355"/>
    <x v="63"/>
    <s v="Delhi"/>
    <x v="1"/>
    <x v="0"/>
    <x v="3"/>
    <n v="3"/>
    <n v="4174.34"/>
    <n v="0.24"/>
    <n v="9517.5"/>
    <n v="12523.02"/>
    <n v="3005.5200000000004"/>
    <n v="9517.5"/>
    <s v="COD"/>
    <x v="0"/>
    <x v="1"/>
    <x v="0"/>
  </r>
  <r>
    <x v="356"/>
    <x v="156"/>
    <s v="Delhi"/>
    <x v="1"/>
    <x v="0"/>
    <x v="3"/>
    <n v="2"/>
    <n v="113.42"/>
    <n v="0.17"/>
    <n v="188.28"/>
    <n v="226.84"/>
    <n v="38.56"/>
    <n v="188.28"/>
    <s v="Net Banking"/>
    <x v="2"/>
    <x v="2"/>
    <x v="0"/>
  </r>
  <r>
    <x v="357"/>
    <x v="50"/>
    <s v="Maharashtra"/>
    <x v="1"/>
    <x v="0"/>
    <x v="0"/>
    <n v="2"/>
    <n v="2338.08"/>
    <n v="0.24"/>
    <n v="3553.88"/>
    <n v="4676.16"/>
    <n v="1122.2799999999997"/>
    <n v="3553.88"/>
    <s v="UPI"/>
    <x v="1"/>
    <x v="1"/>
    <x v="0"/>
  </r>
  <r>
    <x v="358"/>
    <x v="27"/>
    <s v="Karnataka"/>
    <x v="0"/>
    <x v="3"/>
    <x v="8"/>
    <n v="3"/>
    <n v="2187.38"/>
    <n v="0.03"/>
    <n v="6365.28"/>
    <n v="6562.14"/>
    <n v="196.86000000000058"/>
    <n v="6365.28"/>
    <s v="UPI"/>
    <x v="1"/>
    <x v="2"/>
    <x v="1"/>
  </r>
  <r>
    <x v="359"/>
    <x v="7"/>
    <s v="Karnataka"/>
    <x v="3"/>
    <x v="3"/>
    <x v="9"/>
    <n v="3"/>
    <n v="4404.53"/>
    <n v="0.02"/>
    <n v="12949.32"/>
    <n v="13213.59"/>
    <n v="264.27000000000044"/>
    <n v="12949.32"/>
    <s v="Net Banking"/>
    <x v="1"/>
    <x v="1"/>
    <x v="0"/>
  </r>
  <r>
    <x v="360"/>
    <x v="14"/>
    <s v="Karnataka"/>
    <x v="0"/>
    <x v="2"/>
    <x v="5"/>
    <n v="4"/>
    <n v="4019.51"/>
    <n v="0.16"/>
    <n v="13505.55"/>
    <n v="16078.04"/>
    <n v="2572.4900000000016"/>
    <n v="13505.55"/>
    <s v="Net Banking"/>
    <x v="1"/>
    <x v="2"/>
    <x v="0"/>
  </r>
  <r>
    <x v="361"/>
    <x v="159"/>
    <s v="Maharashtra"/>
    <x v="1"/>
    <x v="0"/>
    <x v="4"/>
    <n v="4"/>
    <n v="4031.1"/>
    <n v="0.17"/>
    <n v="13383.25"/>
    <n v="16124.4"/>
    <n v="2741.1499999999996"/>
    <n v="13383.25"/>
    <s v="Net Banking"/>
    <x v="1"/>
    <x v="2"/>
    <x v="3"/>
  </r>
  <r>
    <x v="362"/>
    <x v="28"/>
    <s v="Delhi"/>
    <x v="2"/>
    <x v="1"/>
    <x v="13"/>
    <n v="1"/>
    <n v="4449.21"/>
    <n v="0.11"/>
    <n v="3959.8"/>
    <n v="4449.21"/>
    <n v="489.40999999999985"/>
    <n v="3959.8"/>
    <s v="Net Banking"/>
    <x v="2"/>
    <x v="2"/>
    <x v="0"/>
  </r>
  <r>
    <x v="363"/>
    <x v="49"/>
    <s v="Karnataka"/>
    <x v="1"/>
    <x v="0"/>
    <x v="4"/>
    <n v="5"/>
    <n v="566.69000000000005"/>
    <n v="0.17"/>
    <n v="2351.7600000000002"/>
    <n v="2833.4500000000003"/>
    <n v="481.69000000000005"/>
    <n v="2351.7600000000002"/>
    <s v="COD"/>
    <x v="1"/>
    <x v="2"/>
    <x v="0"/>
  </r>
  <r>
    <x v="364"/>
    <x v="115"/>
    <s v="Gujarat"/>
    <x v="1"/>
    <x v="2"/>
    <x v="11"/>
    <n v="1"/>
    <n v="3252.65"/>
    <n v="0.04"/>
    <n v="3122.54"/>
    <n v="3252.65"/>
    <n v="130.11000000000013"/>
    <n v="3122.54"/>
    <s v="COD"/>
    <x v="0"/>
    <x v="1"/>
    <x v="1"/>
  </r>
  <r>
    <x v="365"/>
    <x v="124"/>
    <s v="Karnataka"/>
    <x v="1"/>
    <x v="0"/>
    <x v="3"/>
    <n v="3"/>
    <n v="346.72"/>
    <n v="0.06"/>
    <n v="977.75"/>
    <n v="1040.1600000000001"/>
    <n v="62.410000000000082"/>
    <n v="977.75"/>
    <s v="Debit Card"/>
    <x v="2"/>
    <x v="0"/>
    <x v="0"/>
  </r>
  <r>
    <x v="366"/>
    <x v="52"/>
    <s v="Tamil Nadu"/>
    <x v="0"/>
    <x v="3"/>
    <x v="8"/>
    <n v="4"/>
    <n v="531.29999999999995"/>
    <n v="0.12"/>
    <n v="1870.18"/>
    <n v="2125.1999999999998"/>
    <n v="255.01999999999975"/>
    <n v="1870.18"/>
    <s v="Net Banking"/>
    <x v="1"/>
    <x v="1"/>
    <x v="2"/>
  </r>
  <r>
    <x v="367"/>
    <x v="160"/>
    <s v="Tamil Nadu"/>
    <x v="2"/>
    <x v="0"/>
    <x v="0"/>
    <n v="5"/>
    <n v="2790.58"/>
    <n v="0.21"/>
    <n v="11022.79"/>
    <n v="13952.9"/>
    <n v="2930.1099999999988"/>
    <n v="11022.79"/>
    <s v="Net Banking"/>
    <x v="0"/>
    <x v="0"/>
    <x v="1"/>
  </r>
  <r>
    <x v="368"/>
    <x v="161"/>
    <s v="Tamil Nadu"/>
    <x v="1"/>
    <x v="1"/>
    <x v="10"/>
    <n v="1"/>
    <n v="4101.28"/>
    <n v="0.21"/>
    <n v="3240.01"/>
    <n v="4101.28"/>
    <n v="861.26999999999953"/>
    <n v="3240.01"/>
    <s v="UPI"/>
    <x v="2"/>
    <x v="1"/>
    <x v="0"/>
  </r>
  <r>
    <x v="369"/>
    <x v="33"/>
    <s v="Maharashtra"/>
    <x v="2"/>
    <x v="4"/>
    <x v="18"/>
    <n v="2"/>
    <n v="110.77"/>
    <n v="0.09"/>
    <n v="201.6"/>
    <n v="221.54"/>
    <n v="19.939999999999998"/>
    <n v="201.6"/>
    <s v="Credit Card"/>
    <x v="1"/>
    <x v="0"/>
    <x v="0"/>
  </r>
  <r>
    <x v="370"/>
    <x v="60"/>
    <s v="Maharashtra"/>
    <x v="0"/>
    <x v="4"/>
    <x v="19"/>
    <n v="2"/>
    <n v="4127.01"/>
    <n v="0.19"/>
    <n v="6685.76"/>
    <n v="8254.02"/>
    <n v="1568.2600000000002"/>
    <n v="6685.76"/>
    <s v="Debit Card"/>
    <x v="2"/>
    <x v="1"/>
    <x v="0"/>
  </r>
  <r>
    <x v="371"/>
    <x v="68"/>
    <s v="Maharashtra"/>
    <x v="0"/>
    <x v="3"/>
    <x v="12"/>
    <n v="4"/>
    <n v="4140.32"/>
    <n v="0.05"/>
    <n v="15733.22"/>
    <n v="16561.28"/>
    <n v="828.05999999999949"/>
    <n v="15733.22"/>
    <s v="Net Banking"/>
    <x v="0"/>
    <x v="1"/>
    <x v="3"/>
  </r>
  <r>
    <x v="372"/>
    <x v="138"/>
    <s v="Tamil Nadu"/>
    <x v="0"/>
    <x v="0"/>
    <x v="0"/>
    <n v="5"/>
    <n v="4785.33"/>
    <n v="0.03"/>
    <n v="23208.85"/>
    <n v="23926.65"/>
    <n v="717.80000000000291"/>
    <n v="23208.85"/>
    <s v="Net Banking"/>
    <x v="1"/>
    <x v="1"/>
    <x v="0"/>
  </r>
  <r>
    <x v="373"/>
    <x v="8"/>
    <s v="Gujarat"/>
    <x v="0"/>
    <x v="0"/>
    <x v="3"/>
    <n v="2"/>
    <n v="3489.91"/>
    <n v="0.04"/>
    <n v="6700.63"/>
    <n v="6979.82"/>
    <n v="279.1899999999996"/>
    <n v="6700.63"/>
    <s v="Net Banking"/>
    <x v="1"/>
    <x v="2"/>
    <x v="0"/>
  </r>
  <r>
    <x v="374"/>
    <x v="107"/>
    <s v="Gujarat"/>
    <x v="1"/>
    <x v="1"/>
    <x v="1"/>
    <n v="5"/>
    <n v="4587.96"/>
    <n v="0.19"/>
    <n v="18581.240000000002"/>
    <n v="22939.8"/>
    <n v="4358.5599999999977"/>
    <n v="18581.240000000002"/>
    <s v="Net Banking"/>
    <x v="2"/>
    <x v="1"/>
    <x v="2"/>
  </r>
  <r>
    <x v="375"/>
    <x v="25"/>
    <s v="Delhi"/>
    <x v="2"/>
    <x v="4"/>
    <x v="18"/>
    <n v="5"/>
    <n v="3530.07"/>
    <n v="0.19"/>
    <n v="14296.78"/>
    <n v="17650.350000000002"/>
    <n v="3353.5700000000015"/>
    <n v="14296.78"/>
    <s v="Debit Card"/>
    <x v="2"/>
    <x v="1"/>
    <x v="0"/>
  </r>
  <r>
    <x v="376"/>
    <x v="50"/>
    <s v="Delhi"/>
    <x v="3"/>
    <x v="1"/>
    <x v="10"/>
    <n v="3"/>
    <n v="3464.4"/>
    <n v="0.23"/>
    <n v="8002.76"/>
    <n v="10393.200000000001"/>
    <n v="2390.4400000000005"/>
    <n v="8002.76"/>
    <s v="Debit Card"/>
    <x v="1"/>
    <x v="2"/>
    <x v="0"/>
  </r>
  <r>
    <x v="377"/>
    <x v="162"/>
    <s v="Karnataka"/>
    <x v="2"/>
    <x v="4"/>
    <x v="19"/>
    <n v="5"/>
    <n v="2896.13"/>
    <n v="0.17"/>
    <n v="12018.94"/>
    <n v="14480.650000000001"/>
    <n v="2461.7100000000009"/>
    <n v="12018.94"/>
    <s v="COD"/>
    <x v="2"/>
    <x v="1"/>
    <x v="1"/>
  </r>
  <r>
    <x v="378"/>
    <x v="116"/>
    <s v="Gujarat"/>
    <x v="2"/>
    <x v="2"/>
    <x v="7"/>
    <n v="4"/>
    <n v="812.1"/>
    <n v="0.17"/>
    <n v="2696.17"/>
    <n v="3248.4"/>
    <n v="552.23"/>
    <n v="2696.17"/>
    <s v="Credit Card"/>
    <x v="0"/>
    <x v="2"/>
    <x v="3"/>
  </r>
  <r>
    <x v="379"/>
    <x v="17"/>
    <s v="Karnataka"/>
    <x v="1"/>
    <x v="3"/>
    <x v="9"/>
    <n v="3"/>
    <n v="1099.5999999999999"/>
    <n v="0.14000000000000001"/>
    <n v="2836.97"/>
    <n v="3298.7999999999997"/>
    <n v="461.82999999999993"/>
    <n v="2836.97"/>
    <s v="Debit Card"/>
    <x v="0"/>
    <x v="1"/>
    <x v="0"/>
  </r>
  <r>
    <x v="380"/>
    <x v="52"/>
    <s v="Gujarat"/>
    <x v="0"/>
    <x v="1"/>
    <x v="10"/>
    <n v="5"/>
    <n v="3943.11"/>
    <n v="0.2"/>
    <n v="15772.44"/>
    <n v="19715.55"/>
    <n v="3943.1099999999988"/>
    <n v="15772.44"/>
    <s v="Net Banking"/>
    <x v="0"/>
    <x v="1"/>
    <x v="1"/>
  </r>
  <r>
    <x v="381"/>
    <x v="106"/>
    <s v="Karnataka"/>
    <x v="3"/>
    <x v="2"/>
    <x v="5"/>
    <n v="1"/>
    <n v="3743.98"/>
    <n v="0.05"/>
    <n v="3556.78"/>
    <n v="3743.98"/>
    <n v="187.19999999999982"/>
    <n v="3556.78"/>
    <s v="COD"/>
    <x v="0"/>
    <x v="1"/>
    <x v="1"/>
  </r>
  <r>
    <x v="382"/>
    <x v="44"/>
    <s v="Delhi"/>
    <x v="0"/>
    <x v="4"/>
    <x v="16"/>
    <n v="2"/>
    <n v="4918.92"/>
    <n v="0.02"/>
    <n v="9641.08"/>
    <n v="9837.84"/>
    <n v="196.76000000000022"/>
    <n v="9641.08"/>
    <s v="UPI"/>
    <x v="2"/>
    <x v="2"/>
    <x v="0"/>
  </r>
  <r>
    <x v="383"/>
    <x v="19"/>
    <s v="Gujarat"/>
    <x v="1"/>
    <x v="2"/>
    <x v="6"/>
    <n v="2"/>
    <n v="2961.53"/>
    <n v="0.06"/>
    <n v="5567.68"/>
    <n v="5923.06"/>
    <n v="355.38000000000011"/>
    <n v="5567.68"/>
    <s v="UPI"/>
    <x v="0"/>
    <x v="1"/>
    <x v="0"/>
  </r>
  <r>
    <x v="384"/>
    <x v="139"/>
    <s v="Delhi"/>
    <x v="2"/>
    <x v="3"/>
    <x v="8"/>
    <n v="1"/>
    <n v="3890.94"/>
    <n v="0.16"/>
    <n v="3268.39"/>
    <n v="3890.94"/>
    <n v="622.55000000000018"/>
    <n v="3268.39"/>
    <s v="UPI"/>
    <x v="1"/>
    <x v="0"/>
    <x v="0"/>
  </r>
  <r>
    <x v="385"/>
    <x v="157"/>
    <s v="Maharashtra"/>
    <x v="3"/>
    <x v="1"/>
    <x v="1"/>
    <n v="2"/>
    <n v="4789.24"/>
    <n v="0.13"/>
    <n v="8333.2800000000007"/>
    <n v="9578.48"/>
    <n v="1245.1999999999989"/>
    <n v="8333.2800000000007"/>
    <s v="UPI"/>
    <x v="1"/>
    <x v="0"/>
    <x v="0"/>
  </r>
  <r>
    <x v="386"/>
    <x v="129"/>
    <s v="Maharashtra"/>
    <x v="3"/>
    <x v="1"/>
    <x v="14"/>
    <n v="2"/>
    <n v="3350.34"/>
    <n v="0.08"/>
    <n v="6164.63"/>
    <n v="6700.68"/>
    <n v="536.05000000000018"/>
    <n v="6164.63"/>
    <s v="UPI"/>
    <x v="0"/>
    <x v="1"/>
    <x v="2"/>
  </r>
  <r>
    <x v="387"/>
    <x v="163"/>
    <s v="Gujarat"/>
    <x v="3"/>
    <x v="1"/>
    <x v="14"/>
    <n v="3"/>
    <n v="2283.77"/>
    <n v="0.23"/>
    <n v="5275.51"/>
    <n v="6851.3099999999995"/>
    <n v="1575.7999999999993"/>
    <n v="5275.51"/>
    <s v="Credit Card"/>
    <x v="0"/>
    <x v="0"/>
    <x v="2"/>
  </r>
  <r>
    <x v="388"/>
    <x v="39"/>
    <s v="Maharashtra"/>
    <x v="2"/>
    <x v="4"/>
    <x v="18"/>
    <n v="5"/>
    <n v="3647.48"/>
    <n v="0.01"/>
    <n v="18055.03"/>
    <n v="18237.400000000001"/>
    <n v="182.37000000000262"/>
    <n v="18055.03"/>
    <s v="Net Banking"/>
    <x v="2"/>
    <x v="0"/>
    <x v="0"/>
  </r>
  <r>
    <x v="389"/>
    <x v="60"/>
    <s v="Tamil Nadu"/>
    <x v="3"/>
    <x v="1"/>
    <x v="14"/>
    <n v="2"/>
    <n v="1669.53"/>
    <n v="0.02"/>
    <n v="3272.28"/>
    <n v="3339.06"/>
    <n v="66.779999999999745"/>
    <n v="3272.28"/>
    <s v="Credit Card"/>
    <x v="2"/>
    <x v="2"/>
    <x v="2"/>
  </r>
  <r>
    <x v="390"/>
    <x v="89"/>
    <s v="Maharashtra"/>
    <x v="3"/>
    <x v="1"/>
    <x v="13"/>
    <n v="2"/>
    <n v="4338.26"/>
    <n v="0.11"/>
    <n v="7722.1"/>
    <n v="8676.52"/>
    <n v="954.42000000000007"/>
    <n v="7722.1"/>
    <s v="Debit Card"/>
    <x v="1"/>
    <x v="2"/>
    <x v="0"/>
  </r>
  <r>
    <x v="391"/>
    <x v="147"/>
    <s v="Delhi"/>
    <x v="2"/>
    <x v="2"/>
    <x v="7"/>
    <n v="3"/>
    <n v="285.64"/>
    <n v="0.02"/>
    <n v="839.78"/>
    <n v="856.92"/>
    <n v="17.139999999999986"/>
    <n v="839.78"/>
    <s v="Credit Card"/>
    <x v="2"/>
    <x v="2"/>
    <x v="0"/>
  </r>
  <r>
    <x v="392"/>
    <x v="134"/>
    <s v="Karnataka"/>
    <x v="1"/>
    <x v="1"/>
    <x v="10"/>
    <n v="4"/>
    <n v="3188.06"/>
    <n v="0.11"/>
    <n v="11349.49"/>
    <n v="12752.24"/>
    <n v="1402.75"/>
    <n v="11349.49"/>
    <s v="Net Banking"/>
    <x v="2"/>
    <x v="2"/>
    <x v="0"/>
  </r>
  <r>
    <x v="393"/>
    <x v="34"/>
    <s v="Gujarat"/>
    <x v="0"/>
    <x v="1"/>
    <x v="13"/>
    <n v="5"/>
    <n v="323.02999999999997"/>
    <n v="0.21"/>
    <n v="1275.97"/>
    <n v="1615.1499999999999"/>
    <n v="339.17999999999984"/>
    <n v="1275.97"/>
    <s v="Credit Card"/>
    <x v="1"/>
    <x v="1"/>
    <x v="0"/>
  </r>
  <r>
    <x v="394"/>
    <x v="42"/>
    <s v="Karnataka"/>
    <x v="3"/>
    <x v="4"/>
    <x v="19"/>
    <n v="4"/>
    <n v="4128.3999999999996"/>
    <n v="0.01"/>
    <n v="16348.46"/>
    <n v="16513.599999999999"/>
    <n v="165.13999999999942"/>
    <n v="16348.46"/>
    <s v="Net Banking"/>
    <x v="2"/>
    <x v="2"/>
    <x v="0"/>
  </r>
  <r>
    <x v="395"/>
    <x v="119"/>
    <s v="Delhi"/>
    <x v="3"/>
    <x v="2"/>
    <x v="6"/>
    <n v="3"/>
    <n v="4791.22"/>
    <n v="0"/>
    <n v="14373.66"/>
    <n v="14373.66"/>
    <n v="0"/>
    <n v="14373.66"/>
    <s v="UPI"/>
    <x v="1"/>
    <x v="0"/>
    <x v="0"/>
  </r>
  <r>
    <x v="396"/>
    <x v="164"/>
    <s v="Gujarat"/>
    <x v="2"/>
    <x v="0"/>
    <x v="3"/>
    <n v="3"/>
    <n v="1129.26"/>
    <n v="0.19"/>
    <n v="2744.1"/>
    <n v="3387.7799999999997"/>
    <n v="643.67999999999984"/>
    <n v="2744.1"/>
    <s v="COD"/>
    <x v="0"/>
    <x v="0"/>
    <x v="0"/>
  </r>
  <r>
    <x v="397"/>
    <x v="46"/>
    <s v="Delhi"/>
    <x v="0"/>
    <x v="1"/>
    <x v="10"/>
    <n v="5"/>
    <n v="4190.2700000000004"/>
    <n v="0.05"/>
    <n v="19903.78"/>
    <n v="20951.350000000002"/>
    <n v="1047.5700000000033"/>
    <n v="19903.78"/>
    <s v="Debit Card"/>
    <x v="0"/>
    <x v="2"/>
    <x v="1"/>
  </r>
  <r>
    <x v="398"/>
    <x v="52"/>
    <s v="Gujarat"/>
    <x v="1"/>
    <x v="1"/>
    <x v="14"/>
    <n v="1"/>
    <n v="1328.37"/>
    <n v="0.05"/>
    <n v="1261.95"/>
    <n v="1328.37"/>
    <n v="66.419999999999845"/>
    <n v="1261.95"/>
    <s v="Credit Card"/>
    <x v="2"/>
    <x v="0"/>
    <x v="2"/>
  </r>
  <r>
    <x v="399"/>
    <x v="154"/>
    <s v="Delhi"/>
    <x v="1"/>
    <x v="4"/>
    <x v="16"/>
    <n v="5"/>
    <n v="442.06"/>
    <n v="0.05"/>
    <n v="2099.7800000000002"/>
    <n v="2210.3000000000002"/>
    <n v="110.51999999999998"/>
    <n v="2099.7800000000002"/>
    <s v="Credit Card"/>
    <x v="2"/>
    <x v="1"/>
    <x v="0"/>
  </r>
  <r>
    <x v="400"/>
    <x v="154"/>
    <s v="Gujarat"/>
    <x v="3"/>
    <x v="4"/>
    <x v="16"/>
    <n v="3"/>
    <n v="4797.43"/>
    <n v="0.04"/>
    <n v="13816.6"/>
    <n v="14392.29"/>
    <n v="575.69000000000051"/>
    <n v="13816.6"/>
    <s v="COD"/>
    <x v="2"/>
    <x v="1"/>
    <x v="3"/>
  </r>
  <r>
    <x v="401"/>
    <x v="69"/>
    <s v="Karnataka"/>
    <x v="2"/>
    <x v="2"/>
    <x v="6"/>
    <n v="3"/>
    <n v="4401.6400000000003"/>
    <n v="0.12"/>
    <n v="11620.33"/>
    <n v="13204.920000000002"/>
    <n v="1584.590000000002"/>
    <n v="11620.33"/>
    <s v="Debit Card"/>
    <x v="1"/>
    <x v="1"/>
    <x v="0"/>
  </r>
  <r>
    <x v="402"/>
    <x v="165"/>
    <s v="Gujarat"/>
    <x v="0"/>
    <x v="0"/>
    <x v="4"/>
    <n v="2"/>
    <n v="4467.3599999999997"/>
    <n v="0.05"/>
    <n v="8487.98"/>
    <n v="8934.7199999999993"/>
    <n v="446.73999999999978"/>
    <n v="8487.98"/>
    <s v="Credit Card"/>
    <x v="2"/>
    <x v="0"/>
    <x v="0"/>
  </r>
  <r>
    <x v="403"/>
    <x v="36"/>
    <s v="Gujarat"/>
    <x v="1"/>
    <x v="0"/>
    <x v="0"/>
    <n v="5"/>
    <n v="1142.53"/>
    <n v="0.01"/>
    <n v="5655.52"/>
    <n v="5712.65"/>
    <n v="57.1299999999992"/>
    <n v="5655.52"/>
    <s v="COD"/>
    <x v="2"/>
    <x v="1"/>
    <x v="0"/>
  </r>
  <r>
    <x v="404"/>
    <x v="35"/>
    <s v="Tamil Nadu"/>
    <x v="1"/>
    <x v="3"/>
    <x v="9"/>
    <n v="3"/>
    <n v="756.02"/>
    <n v="0.13"/>
    <n v="1973.21"/>
    <n v="2268.06"/>
    <n v="294.84999999999991"/>
    <n v="1973.21"/>
    <s v="Debit Card"/>
    <x v="1"/>
    <x v="2"/>
    <x v="0"/>
  </r>
  <r>
    <x v="405"/>
    <x v="48"/>
    <s v="Gujarat"/>
    <x v="3"/>
    <x v="0"/>
    <x v="4"/>
    <n v="2"/>
    <n v="2286.48"/>
    <n v="0.04"/>
    <n v="4390.04"/>
    <n v="4572.96"/>
    <n v="182.92000000000007"/>
    <n v="4390.04"/>
    <s v="Debit Card"/>
    <x v="1"/>
    <x v="0"/>
    <x v="0"/>
  </r>
  <r>
    <x v="406"/>
    <x v="154"/>
    <s v="Maharashtra"/>
    <x v="3"/>
    <x v="2"/>
    <x v="6"/>
    <n v="2"/>
    <n v="408.02"/>
    <n v="0.09"/>
    <n v="742.6"/>
    <n v="816.04"/>
    <n v="73.439999999999941"/>
    <n v="742.6"/>
    <s v="Debit Card"/>
    <x v="2"/>
    <x v="2"/>
    <x v="0"/>
  </r>
  <r>
    <x v="407"/>
    <x v="54"/>
    <s v="Tamil Nadu"/>
    <x v="2"/>
    <x v="4"/>
    <x v="18"/>
    <n v="1"/>
    <n v="4904.8900000000003"/>
    <n v="0.08"/>
    <n v="4512.5"/>
    <n v="4904.8900000000003"/>
    <n v="392.39000000000033"/>
    <n v="4512.5"/>
    <s v="Net Banking"/>
    <x v="0"/>
    <x v="0"/>
    <x v="3"/>
  </r>
  <r>
    <x v="408"/>
    <x v="65"/>
    <s v="Tamil Nadu"/>
    <x v="2"/>
    <x v="4"/>
    <x v="16"/>
    <n v="5"/>
    <n v="3301.35"/>
    <n v="0.21"/>
    <n v="13040.33"/>
    <n v="16506.75"/>
    <n v="3466.42"/>
    <n v="13040.33"/>
    <s v="Net Banking"/>
    <x v="2"/>
    <x v="0"/>
    <x v="0"/>
  </r>
  <r>
    <x v="409"/>
    <x v="24"/>
    <s v="Karnataka"/>
    <x v="1"/>
    <x v="3"/>
    <x v="15"/>
    <n v="4"/>
    <n v="4447.1400000000003"/>
    <n v="0"/>
    <n v="17788.560000000001"/>
    <n v="17788.560000000001"/>
    <n v="0"/>
    <n v="17788.560000000001"/>
    <s v="UPI"/>
    <x v="2"/>
    <x v="2"/>
    <x v="0"/>
  </r>
  <r>
    <x v="410"/>
    <x v="129"/>
    <s v="Delhi"/>
    <x v="3"/>
    <x v="0"/>
    <x v="2"/>
    <n v="2"/>
    <n v="1874.89"/>
    <n v="0.18"/>
    <n v="3074.82"/>
    <n v="3749.78"/>
    <n v="674.96"/>
    <n v="3074.82"/>
    <s v="Debit Card"/>
    <x v="0"/>
    <x v="2"/>
    <x v="0"/>
  </r>
  <r>
    <x v="411"/>
    <x v="38"/>
    <s v="Tamil Nadu"/>
    <x v="0"/>
    <x v="4"/>
    <x v="19"/>
    <n v="2"/>
    <n v="2994.88"/>
    <n v="0.16"/>
    <n v="5031.3999999999996"/>
    <n v="5989.76"/>
    <n v="958.36000000000058"/>
    <n v="5031.3999999999996"/>
    <s v="Net Banking"/>
    <x v="2"/>
    <x v="1"/>
    <x v="0"/>
  </r>
  <r>
    <x v="412"/>
    <x v="156"/>
    <s v="Delhi"/>
    <x v="1"/>
    <x v="3"/>
    <x v="12"/>
    <n v="5"/>
    <n v="819.64"/>
    <n v="0.04"/>
    <n v="3934.27"/>
    <n v="4098.2"/>
    <n v="163.92999999999984"/>
    <n v="3934.27"/>
    <s v="COD"/>
    <x v="0"/>
    <x v="2"/>
    <x v="0"/>
  </r>
  <r>
    <x v="413"/>
    <x v="125"/>
    <s v="Karnataka"/>
    <x v="3"/>
    <x v="1"/>
    <x v="13"/>
    <n v="4"/>
    <n v="3071.98"/>
    <n v="0.12"/>
    <n v="10813.37"/>
    <n v="12287.92"/>
    <n v="1474.5499999999993"/>
    <n v="10813.37"/>
    <s v="Credit Card"/>
    <x v="0"/>
    <x v="1"/>
    <x v="0"/>
  </r>
  <r>
    <x v="414"/>
    <x v="18"/>
    <s v="Gujarat"/>
    <x v="1"/>
    <x v="2"/>
    <x v="11"/>
    <n v="5"/>
    <n v="1396.15"/>
    <n v="0.18"/>
    <n v="5724.22"/>
    <n v="6980.75"/>
    <n v="1256.5299999999997"/>
    <n v="5724.22"/>
    <s v="Debit Card"/>
    <x v="1"/>
    <x v="1"/>
    <x v="0"/>
  </r>
  <r>
    <x v="415"/>
    <x v="134"/>
    <s v="Tamil Nadu"/>
    <x v="1"/>
    <x v="0"/>
    <x v="4"/>
    <n v="1"/>
    <n v="181.16"/>
    <n v="0.13"/>
    <n v="157.61000000000001"/>
    <n v="181.16"/>
    <n v="23.549999999999983"/>
    <n v="157.61000000000001"/>
    <s v="Net Banking"/>
    <x v="0"/>
    <x v="0"/>
    <x v="3"/>
  </r>
  <r>
    <x v="416"/>
    <x v="62"/>
    <s v="Delhi"/>
    <x v="0"/>
    <x v="1"/>
    <x v="13"/>
    <n v="5"/>
    <n v="291.27999999999997"/>
    <n v="0.2"/>
    <n v="1165.1199999999999"/>
    <n v="1456.3999999999999"/>
    <n v="291.27999999999997"/>
    <n v="1165.1199999999999"/>
    <s v="Net Banking"/>
    <x v="1"/>
    <x v="0"/>
    <x v="0"/>
  </r>
  <r>
    <x v="417"/>
    <x v="135"/>
    <s v="Tamil Nadu"/>
    <x v="3"/>
    <x v="3"/>
    <x v="8"/>
    <n v="3"/>
    <n v="4386.6400000000003"/>
    <n v="0.17"/>
    <n v="10922.73"/>
    <n v="13159.920000000002"/>
    <n v="2237.1900000000023"/>
    <n v="10922.73"/>
    <s v="COD"/>
    <x v="2"/>
    <x v="1"/>
    <x v="1"/>
  </r>
  <r>
    <x v="418"/>
    <x v="11"/>
    <s v="Karnataka"/>
    <x v="3"/>
    <x v="2"/>
    <x v="5"/>
    <n v="5"/>
    <n v="578.80999999999995"/>
    <n v="0.03"/>
    <n v="2807.23"/>
    <n v="2894.0499999999997"/>
    <n v="86.819999999999709"/>
    <n v="2807.23"/>
    <s v="COD"/>
    <x v="1"/>
    <x v="1"/>
    <x v="1"/>
  </r>
  <r>
    <x v="419"/>
    <x v="134"/>
    <s v="Gujarat"/>
    <x v="0"/>
    <x v="0"/>
    <x v="2"/>
    <n v="3"/>
    <n v="1026.2"/>
    <n v="0.18"/>
    <n v="2524.4499999999998"/>
    <n v="3078.6000000000004"/>
    <n v="554.15000000000055"/>
    <n v="2524.4499999999998"/>
    <s v="COD"/>
    <x v="2"/>
    <x v="2"/>
    <x v="0"/>
  </r>
  <r>
    <x v="420"/>
    <x v="99"/>
    <s v="Karnataka"/>
    <x v="2"/>
    <x v="2"/>
    <x v="11"/>
    <n v="1"/>
    <n v="858.42"/>
    <n v="0.16"/>
    <n v="721.07"/>
    <n v="858.42"/>
    <n v="137.34999999999991"/>
    <n v="721.07"/>
    <s v="Net Banking"/>
    <x v="2"/>
    <x v="1"/>
    <x v="1"/>
  </r>
  <r>
    <x v="421"/>
    <x v="142"/>
    <s v="Gujarat"/>
    <x v="1"/>
    <x v="2"/>
    <x v="6"/>
    <n v="4"/>
    <n v="3799.36"/>
    <n v="0.1"/>
    <n v="13677.7"/>
    <n v="15197.44"/>
    <n v="1519.7399999999998"/>
    <n v="13677.7"/>
    <s v="UPI"/>
    <x v="1"/>
    <x v="0"/>
    <x v="0"/>
  </r>
  <r>
    <x v="422"/>
    <x v="134"/>
    <s v="Karnataka"/>
    <x v="0"/>
    <x v="1"/>
    <x v="14"/>
    <n v="3"/>
    <n v="3893.55"/>
    <n v="0.1"/>
    <n v="10512.59"/>
    <n v="11680.650000000001"/>
    <n v="1168.0600000000013"/>
    <n v="10512.59"/>
    <s v="UPI"/>
    <x v="1"/>
    <x v="2"/>
    <x v="0"/>
  </r>
  <r>
    <x v="423"/>
    <x v="107"/>
    <s v="Maharashtra"/>
    <x v="0"/>
    <x v="2"/>
    <x v="11"/>
    <n v="4"/>
    <n v="3951.8"/>
    <n v="0.2"/>
    <n v="12645.76"/>
    <n v="15807.2"/>
    <n v="3161.4400000000005"/>
    <n v="12645.76"/>
    <s v="Debit Card"/>
    <x v="1"/>
    <x v="0"/>
    <x v="0"/>
  </r>
  <r>
    <x v="424"/>
    <x v="100"/>
    <s v="Delhi"/>
    <x v="0"/>
    <x v="0"/>
    <x v="0"/>
    <n v="4"/>
    <n v="531.89"/>
    <n v="7.0000000000000007E-2"/>
    <n v="1978.63"/>
    <n v="2127.56"/>
    <n v="148.92999999999984"/>
    <n v="1978.63"/>
    <s v="Net Banking"/>
    <x v="1"/>
    <x v="1"/>
    <x v="0"/>
  </r>
  <r>
    <x v="425"/>
    <x v="137"/>
    <s v="Gujarat"/>
    <x v="1"/>
    <x v="2"/>
    <x v="5"/>
    <n v="5"/>
    <n v="381.57"/>
    <n v="0.19"/>
    <n v="1545.36"/>
    <n v="1907.85"/>
    <n v="362.49"/>
    <n v="1545.36"/>
    <s v="COD"/>
    <x v="2"/>
    <x v="2"/>
    <x v="0"/>
  </r>
  <r>
    <x v="426"/>
    <x v="121"/>
    <s v="Delhi"/>
    <x v="0"/>
    <x v="3"/>
    <x v="9"/>
    <n v="5"/>
    <n v="2627.49"/>
    <n v="0.06"/>
    <n v="12349.2"/>
    <n v="13137.449999999999"/>
    <n v="788.24999999999818"/>
    <n v="12349.2"/>
    <s v="Credit Card"/>
    <x v="1"/>
    <x v="2"/>
    <x v="0"/>
  </r>
  <r>
    <x v="427"/>
    <x v="128"/>
    <s v="Maharashtra"/>
    <x v="0"/>
    <x v="0"/>
    <x v="4"/>
    <n v="3"/>
    <n v="3381.34"/>
    <n v="0.1"/>
    <n v="9129.6200000000008"/>
    <n v="10144.02"/>
    <n v="1014.3999999999996"/>
    <n v="9129.6200000000008"/>
    <s v="UPI"/>
    <x v="2"/>
    <x v="2"/>
    <x v="0"/>
  </r>
  <r>
    <x v="428"/>
    <x v="166"/>
    <s v="Gujarat"/>
    <x v="3"/>
    <x v="0"/>
    <x v="0"/>
    <n v="5"/>
    <n v="4583.54"/>
    <n v="0.09"/>
    <n v="20855.11"/>
    <n v="22917.7"/>
    <n v="2062.59"/>
    <n v="20855.11"/>
    <s v="UPI"/>
    <x v="1"/>
    <x v="1"/>
    <x v="0"/>
  </r>
  <r>
    <x v="429"/>
    <x v="80"/>
    <s v="Tamil Nadu"/>
    <x v="0"/>
    <x v="3"/>
    <x v="15"/>
    <n v="3"/>
    <n v="957.67"/>
    <n v="0.13"/>
    <n v="2499.52"/>
    <n v="2873.0099999999998"/>
    <n v="373.48999999999978"/>
    <n v="2499.52"/>
    <s v="COD"/>
    <x v="0"/>
    <x v="0"/>
    <x v="0"/>
  </r>
  <r>
    <x v="430"/>
    <x v="38"/>
    <s v="Gujarat"/>
    <x v="1"/>
    <x v="4"/>
    <x v="19"/>
    <n v="5"/>
    <n v="1325.69"/>
    <n v="0.11"/>
    <n v="5899.32"/>
    <n v="6628.4500000000007"/>
    <n v="729.13000000000102"/>
    <n v="5899.32"/>
    <s v="UPI"/>
    <x v="1"/>
    <x v="1"/>
    <x v="3"/>
  </r>
  <r>
    <x v="431"/>
    <x v="134"/>
    <s v="Tamil Nadu"/>
    <x v="3"/>
    <x v="4"/>
    <x v="18"/>
    <n v="4"/>
    <n v="669.71"/>
    <n v="0.02"/>
    <n v="2625.26"/>
    <n v="2678.84"/>
    <n v="53.579999999999927"/>
    <n v="2625.26"/>
    <s v="COD"/>
    <x v="0"/>
    <x v="0"/>
    <x v="0"/>
  </r>
  <r>
    <x v="432"/>
    <x v="20"/>
    <s v="Tamil Nadu"/>
    <x v="2"/>
    <x v="3"/>
    <x v="9"/>
    <n v="5"/>
    <n v="147.63999999999999"/>
    <n v="0.21"/>
    <n v="583.17999999999995"/>
    <n v="738.19999999999993"/>
    <n v="155.01999999999998"/>
    <n v="583.17999999999995"/>
    <s v="UPI"/>
    <x v="1"/>
    <x v="2"/>
    <x v="0"/>
  </r>
  <r>
    <x v="433"/>
    <x v="53"/>
    <s v="Gujarat"/>
    <x v="3"/>
    <x v="4"/>
    <x v="19"/>
    <n v="3"/>
    <n v="1832.34"/>
    <n v="0.22"/>
    <n v="4287.68"/>
    <n v="5497.0199999999995"/>
    <n v="1209.3399999999992"/>
    <n v="4287.68"/>
    <s v="Debit Card"/>
    <x v="2"/>
    <x v="1"/>
    <x v="1"/>
  </r>
  <r>
    <x v="434"/>
    <x v="166"/>
    <s v="Delhi"/>
    <x v="3"/>
    <x v="3"/>
    <x v="15"/>
    <n v="2"/>
    <n v="4376.4399999999996"/>
    <n v="0.05"/>
    <n v="8315.24"/>
    <n v="8752.8799999999992"/>
    <n v="437.63999999999942"/>
    <n v="8315.24"/>
    <s v="Debit Card"/>
    <x v="1"/>
    <x v="2"/>
    <x v="3"/>
  </r>
  <r>
    <x v="435"/>
    <x v="156"/>
    <s v="Maharashtra"/>
    <x v="0"/>
    <x v="4"/>
    <x v="16"/>
    <n v="4"/>
    <n v="3107.75"/>
    <n v="0.19"/>
    <n v="10069.11"/>
    <n v="12431"/>
    <n v="2361.8899999999994"/>
    <n v="10069.11"/>
    <s v="Credit Card"/>
    <x v="0"/>
    <x v="0"/>
    <x v="3"/>
  </r>
  <r>
    <x v="436"/>
    <x v="64"/>
    <s v="Tamil Nadu"/>
    <x v="2"/>
    <x v="4"/>
    <x v="17"/>
    <n v="4"/>
    <n v="996.07"/>
    <n v="0.19"/>
    <n v="3227.27"/>
    <n v="3984.28"/>
    <n v="757.01000000000022"/>
    <n v="3227.27"/>
    <s v="COD"/>
    <x v="2"/>
    <x v="0"/>
    <x v="0"/>
  </r>
  <r>
    <x v="437"/>
    <x v="111"/>
    <s v="Maharashtra"/>
    <x v="1"/>
    <x v="1"/>
    <x v="10"/>
    <n v="4"/>
    <n v="4704.3100000000004"/>
    <n v="0.01"/>
    <n v="18629.07"/>
    <n v="18817.240000000002"/>
    <n v="188.17000000000189"/>
    <n v="18629.07"/>
    <s v="COD"/>
    <x v="2"/>
    <x v="1"/>
    <x v="1"/>
  </r>
  <r>
    <x v="438"/>
    <x v="64"/>
    <s v="Maharashtra"/>
    <x v="1"/>
    <x v="3"/>
    <x v="15"/>
    <n v="3"/>
    <n v="3477.13"/>
    <n v="0"/>
    <n v="10431.39"/>
    <n v="10431.39"/>
    <n v="0"/>
    <n v="10431.39"/>
    <s v="COD"/>
    <x v="2"/>
    <x v="2"/>
    <x v="0"/>
  </r>
  <r>
    <x v="439"/>
    <x v="9"/>
    <s v="Gujarat"/>
    <x v="2"/>
    <x v="4"/>
    <x v="17"/>
    <n v="5"/>
    <n v="1387.96"/>
    <n v="7.0000000000000007E-2"/>
    <n v="6454.01"/>
    <n v="6939.8"/>
    <n v="485.78999999999996"/>
    <n v="6454.01"/>
    <s v="UPI"/>
    <x v="0"/>
    <x v="0"/>
    <x v="0"/>
  </r>
  <r>
    <x v="440"/>
    <x v="60"/>
    <s v="Delhi"/>
    <x v="3"/>
    <x v="2"/>
    <x v="5"/>
    <n v="3"/>
    <n v="1888.88"/>
    <n v="0.1"/>
    <n v="5099.9799999999996"/>
    <n v="5666.64"/>
    <n v="566.66000000000076"/>
    <n v="5099.9799999999996"/>
    <s v="Net Banking"/>
    <x v="1"/>
    <x v="1"/>
    <x v="0"/>
  </r>
  <r>
    <x v="441"/>
    <x v="19"/>
    <s v="Maharashtra"/>
    <x v="3"/>
    <x v="1"/>
    <x v="10"/>
    <n v="5"/>
    <n v="2217.87"/>
    <n v="0.1"/>
    <n v="9980.41"/>
    <n v="11089.349999999999"/>
    <n v="1108.9399999999987"/>
    <n v="9980.41"/>
    <s v="UPI"/>
    <x v="0"/>
    <x v="2"/>
    <x v="0"/>
  </r>
  <r>
    <x v="442"/>
    <x v="157"/>
    <s v="Tamil Nadu"/>
    <x v="2"/>
    <x v="0"/>
    <x v="4"/>
    <n v="5"/>
    <n v="2716.51"/>
    <n v="0.08"/>
    <n v="12495.95"/>
    <n v="13582.550000000001"/>
    <n v="1086.6000000000004"/>
    <n v="12495.95"/>
    <s v="Net Banking"/>
    <x v="0"/>
    <x v="1"/>
    <x v="0"/>
  </r>
  <r>
    <x v="443"/>
    <x v="145"/>
    <s v="Tamil Nadu"/>
    <x v="0"/>
    <x v="1"/>
    <x v="13"/>
    <n v="2"/>
    <n v="394.18"/>
    <n v="0.2"/>
    <n v="630.69000000000005"/>
    <n v="788.36"/>
    <n v="157.66999999999996"/>
    <n v="630.69000000000005"/>
    <s v="Credit Card"/>
    <x v="1"/>
    <x v="1"/>
    <x v="0"/>
  </r>
  <r>
    <x v="444"/>
    <x v="167"/>
    <s v="Karnataka"/>
    <x v="1"/>
    <x v="4"/>
    <x v="17"/>
    <n v="5"/>
    <n v="4666.04"/>
    <n v="0.06"/>
    <n v="21930.39"/>
    <n v="23330.2"/>
    <n v="1399.8100000000013"/>
    <n v="21930.39"/>
    <s v="UPI"/>
    <x v="1"/>
    <x v="2"/>
    <x v="0"/>
  </r>
  <r>
    <x v="445"/>
    <x v="168"/>
    <s v="Gujarat"/>
    <x v="2"/>
    <x v="1"/>
    <x v="10"/>
    <n v="5"/>
    <n v="955.24"/>
    <n v="0.2"/>
    <n v="3820.96"/>
    <n v="4776.2"/>
    <n v="955.23999999999978"/>
    <n v="3820.96"/>
    <s v="COD"/>
    <x v="1"/>
    <x v="1"/>
    <x v="0"/>
  </r>
  <r>
    <x v="446"/>
    <x v="92"/>
    <s v="Maharashtra"/>
    <x v="2"/>
    <x v="2"/>
    <x v="5"/>
    <n v="3"/>
    <n v="2372.39"/>
    <n v="0.24"/>
    <n v="5409.05"/>
    <n v="7117.17"/>
    <n v="1708.12"/>
    <n v="5409.05"/>
    <s v="Net Banking"/>
    <x v="1"/>
    <x v="2"/>
    <x v="0"/>
  </r>
  <r>
    <x v="447"/>
    <x v="5"/>
    <s v="Maharashtra"/>
    <x v="2"/>
    <x v="1"/>
    <x v="14"/>
    <n v="3"/>
    <n v="1218.27"/>
    <n v="0.08"/>
    <n v="3362.43"/>
    <n v="3654.81"/>
    <n v="292.38000000000011"/>
    <n v="3362.43"/>
    <s v="Credit Card"/>
    <x v="0"/>
    <x v="1"/>
    <x v="0"/>
  </r>
  <r>
    <x v="448"/>
    <x v="62"/>
    <s v="Tamil Nadu"/>
    <x v="3"/>
    <x v="2"/>
    <x v="6"/>
    <n v="5"/>
    <n v="2652.58"/>
    <n v="0.11"/>
    <n v="11803.98"/>
    <n v="13262.9"/>
    <n v="1458.92"/>
    <n v="11803.98"/>
    <s v="UPI"/>
    <x v="1"/>
    <x v="2"/>
    <x v="1"/>
  </r>
  <r>
    <x v="449"/>
    <x v="111"/>
    <s v="Karnataka"/>
    <x v="0"/>
    <x v="3"/>
    <x v="12"/>
    <n v="2"/>
    <n v="2045.52"/>
    <n v="0.02"/>
    <n v="4009.22"/>
    <n v="4091.04"/>
    <n v="81.820000000000164"/>
    <n v="4009.22"/>
    <s v="Credit Card"/>
    <x v="0"/>
    <x v="1"/>
    <x v="0"/>
  </r>
  <r>
    <x v="450"/>
    <x v="169"/>
    <s v="Maharashtra"/>
    <x v="2"/>
    <x v="2"/>
    <x v="7"/>
    <n v="2"/>
    <n v="513.13"/>
    <n v="0.23"/>
    <n v="790.22"/>
    <n v="1026.26"/>
    <n v="236.03999999999996"/>
    <n v="790.22"/>
    <s v="UPI"/>
    <x v="1"/>
    <x v="1"/>
    <x v="0"/>
  </r>
  <r>
    <x v="451"/>
    <x v="58"/>
    <s v="Delhi"/>
    <x v="1"/>
    <x v="4"/>
    <x v="18"/>
    <n v="2"/>
    <n v="240"/>
    <n v="0.17"/>
    <n v="398.4"/>
    <n v="480"/>
    <n v="81.600000000000023"/>
    <n v="398.4"/>
    <s v="Debit Card"/>
    <x v="1"/>
    <x v="1"/>
    <x v="0"/>
  </r>
  <r>
    <x v="452"/>
    <x v="53"/>
    <s v="Gujarat"/>
    <x v="1"/>
    <x v="1"/>
    <x v="1"/>
    <n v="5"/>
    <n v="967.48"/>
    <n v="0.15"/>
    <n v="4111.79"/>
    <n v="4837.3999999999996"/>
    <n v="725.60999999999967"/>
    <n v="4111.79"/>
    <s v="Net Banking"/>
    <x v="0"/>
    <x v="0"/>
    <x v="0"/>
  </r>
  <r>
    <x v="453"/>
    <x v="14"/>
    <s v="Karnataka"/>
    <x v="1"/>
    <x v="1"/>
    <x v="1"/>
    <n v="2"/>
    <n v="4043.07"/>
    <n v="0.11"/>
    <n v="7196.66"/>
    <n v="8086.14"/>
    <n v="889.48000000000047"/>
    <n v="7196.66"/>
    <s v="Net Banking"/>
    <x v="1"/>
    <x v="1"/>
    <x v="0"/>
  </r>
  <r>
    <x v="454"/>
    <x v="94"/>
    <s v="Maharashtra"/>
    <x v="1"/>
    <x v="4"/>
    <x v="19"/>
    <n v="3"/>
    <n v="1505.14"/>
    <n v="0.13"/>
    <n v="3928.42"/>
    <n v="4515.42"/>
    <n v="587"/>
    <n v="3928.42"/>
    <s v="COD"/>
    <x v="0"/>
    <x v="0"/>
    <x v="1"/>
  </r>
  <r>
    <x v="455"/>
    <x v="100"/>
    <s v="Maharashtra"/>
    <x v="3"/>
    <x v="2"/>
    <x v="6"/>
    <n v="5"/>
    <n v="1232.96"/>
    <n v="0"/>
    <n v="6164.8"/>
    <n v="6164.8"/>
    <n v="0"/>
    <n v="6164.8"/>
    <s v="Net Banking"/>
    <x v="2"/>
    <x v="1"/>
    <x v="0"/>
  </r>
  <r>
    <x v="456"/>
    <x v="98"/>
    <s v="Tamil Nadu"/>
    <x v="1"/>
    <x v="1"/>
    <x v="14"/>
    <n v="4"/>
    <n v="4159.29"/>
    <n v="0.06"/>
    <n v="15638.93"/>
    <n v="16637.16"/>
    <n v="998.22999999999956"/>
    <n v="15638.93"/>
    <s v="Debit Card"/>
    <x v="0"/>
    <x v="2"/>
    <x v="0"/>
  </r>
  <r>
    <x v="457"/>
    <x v="170"/>
    <s v="Karnataka"/>
    <x v="2"/>
    <x v="1"/>
    <x v="1"/>
    <n v="4"/>
    <n v="1021.2"/>
    <n v="0.02"/>
    <n v="4003.1"/>
    <n v="4084.8"/>
    <n v="81.700000000000273"/>
    <n v="4003.1"/>
    <s v="COD"/>
    <x v="2"/>
    <x v="2"/>
    <x v="0"/>
  </r>
  <r>
    <x v="458"/>
    <x v="88"/>
    <s v="Karnataka"/>
    <x v="0"/>
    <x v="2"/>
    <x v="5"/>
    <n v="2"/>
    <n v="1671.15"/>
    <n v="0.04"/>
    <n v="3208.61"/>
    <n v="3342.3"/>
    <n v="133.69000000000005"/>
    <n v="3208.61"/>
    <s v="COD"/>
    <x v="2"/>
    <x v="0"/>
    <x v="0"/>
  </r>
  <r>
    <x v="459"/>
    <x v="75"/>
    <s v="Karnataka"/>
    <x v="0"/>
    <x v="0"/>
    <x v="2"/>
    <n v="4"/>
    <n v="3662.82"/>
    <n v="0.06"/>
    <n v="13772.2"/>
    <n v="14651.28"/>
    <n v="879.07999999999993"/>
    <n v="13772.2"/>
    <s v="Debit Card"/>
    <x v="1"/>
    <x v="2"/>
    <x v="0"/>
  </r>
  <r>
    <x v="460"/>
    <x v="171"/>
    <s v="Karnataka"/>
    <x v="3"/>
    <x v="4"/>
    <x v="18"/>
    <n v="4"/>
    <n v="3514.98"/>
    <n v="0.01"/>
    <n v="13919.32"/>
    <n v="14059.92"/>
    <n v="140.60000000000036"/>
    <n v="13919.32"/>
    <s v="Net Banking"/>
    <x v="2"/>
    <x v="2"/>
    <x v="0"/>
  </r>
  <r>
    <x v="461"/>
    <x v="140"/>
    <s v="Gujarat"/>
    <x v="0"/>
    <x v="2"/>
    <x v="7"/>
    <n v="2"/>
    <n v="4488.92"/>
    <n v="0.06"/>
    <n v="8439.17"/>
    <n v="8977.84"/>
    <n v="538.67000000000007"/>
    <n v="8439.17"/>
    <s v="Net Banking"/>
    <x v="0"/>
    <x v="1"/>
    <x v="0"/>
  </r>
  <r>
    <x v="462"/>
    <x v="74"/>
    <s v="Tamil Nadu"/>
    <x v="3"/>
    <x v="3"/>
    <x v="15"/>
    <n v="1"/>
    <n v="1075.98"/>
    <n v="0.18"/>
    <n v="882.3"/>
    <n v="1075.98"/>
    <n v="193.68000000000006"/>
    <n v="882.3"/>
    <s v="Debit Card"/>
    <x v="1"/>
    <x v="2"/>
    <x v="0"/>
  </r>
  <r>
    <x v="463"/>
    <x v="24"/>
    <s v="Delhi"/>
    <x v="2"/>
    <x v="4"/>
    <x v="17"/>
    <n v="5"/>
    <n v="2652.54"/>
    <n v="0.06"/>
    <n v="12466.94"/>
    <n v="13262.7"/>
    <n v="795.76000000000022"/>
    <n v="12466.94"/>
    <s v="Credit Card"/>
    <x v="1"/>
    <x v="0"/>
    <x v="0"/>
  </r>
  <r>
    <x v="464"/>
    <x v="88"/>
    <s v="Maharashtra"/>
    <x v="0"/>
    <x v="0"/>
    <x v="4"/>
    <n v="4"/>
    <n v="1690.12"/>
    <n v="0.04"/>
    <n v="6490.06"/>
    <n v="6760.48"/>
    <n v="270.41999999999916"/>
    <n v="6490.06"/>
    <s v="Debit Card"/>
    <x v="1"/>
    <x v="1"/>
    <x v="0"/>
  </r>
  <r>
    <x v="465"/>
    <x v="133"/>
    <s v="Maharashtra"/>
    <x v="3"/>
    <x v="3"/>
    <x v="8"/>
    <n v="4"/>
    <n v="3473.19"/>
    <n v="0.04"/>
    <n v="13337.05"/>
    <n v="13892.76"/>
    <n v="555.71000000000095"/>
    <n v="13337.05"/>
    <s v="COD"/>
    <x v="1"/>
    <x v="2"/>
    <x v="0"/>
  </r>
  <r>
    <x v="466"/>
    <x v="46"/>
    <s v="Maharashtra"/>
    <x v="1"/>
    <x v="0"/>
    <x v="2"/>
    <n v="2"/>
    <n v="3536.51"/>
    <n v="0.2"/>
    <n v="5658.42"/>
    <n v="7073.02"/>
    <n v="1414.6000000000004"/>
    <n v="5658.42"/>
    <s v="Credit Card"/>
    <x v="2"/>
    <x v="2"/>
    <x v="0"/>
  </r>
  <r>
    <x v="467"/>
    <x v="96"/>
    <s v="Tamil Nadu"/>
    <x v="1"/>
    <x v="1"/>
    <x v="1"/>
    <n v="4"/>
    <n v="1855.02"/>
    <n v="0.03"/>
    <n v="7197.48"/>
    <n v="7420.08"/>
    <n v="222.60000000000036"/>
    <n v="7197.48"/>
    <s v="Debit Card"/>
    <x v="0"/>
    <x v="2"/>
    <x v="0"/>
  </r>
  <r>
    <x v="468"/>
    <x v="151"/>
    <s v="Gujarat"/>
    <x v="1"/>
    <x v="1"/>
    <x v="1"/>
    <n v="5"/>
    <n v="1014.47"/>
    <n v="0.09"/>
    <n v="4615.84"/>
    <n v="5072.3500000000004"/>
    <n v="456.51000000000022"/>
    <n v="4615.84"/>
    <s v="Net Banking"/>
    <x v="0"/>
    <x v="0"/>
    <x v="0"/>
  </r>
  <r>
    <x v="469"/>
    <x v="74"/>
    <s v="Maharashtra"/>
    <x v="1"/>
    <x v="1"/>
    <x v="10"/>
    <n v="4"/>
    <n v="1548.8"/>
    <n v="7.0000000000000007E-2"/>
    <n v="5761.54"/>
    <n v="6195.2"/>
    <n v="433.65999999999985"/>
    <n v="5761.54"/>
    <s v="COD"/>
    <x v="0"/>
    <x v="1"/>
    <x v="0"/>
  </r>
  <r>
    <x v="470"/>
    <x v="77"/>
    <s v="Delhi"/>
    <x v="0"/>
    <x v="1"/>
    <x v="14"/>
    <n v="3"/>
    <n v="3902.48"/>
    <n v="0.06"/>
    <n v="11004.99"/>
    <n v="11707.44"/>
    <n v="702.45000000000073"/>
    <n v="11004.99"/>
    <s v="Credit Card"/>
    <x v="1"/>
    <x v="0"/>
    <x v="0"/>
  </r>
  <r>
    <x v="471"/>
    <x v="172"/>
    <s v="Delhi"/>
    <x v="2"/>
    <x v="1"/>
    <x v="14"/>
    <n v="4"/>
    <n v="3852.1"/>
    <n v="0.04"/>
    <n v="14792.06"/>
    <n v="15408.4"/>
    <n v="616.34000000000015"/>
    <n v="14792.06"/>
    <s v="COD"/>
    <x v="1"/>
    <x v="1"/>
    <x v="0"/>
  </r>
  <r>
    <x v="472"/>
    <x v="69"/>
    <s v="Maharashtra"/>
    <x v="0"/>
    <x v="4"/>
    <x v="19"/>
    <n v="1"/>
    <n v="314.51"/>
    <n v="0.23"/>
    <n v="242.17"/>
    <n v="314.51"/>
    <n v="72.34"/>
    <n v="242.17"/>
    <s v="COD"/>
    <x v="1"/>
    <x v="2"/>
    <x v="0"/>
  </r>
  <r>
    <x v="473"/>
    <x v="88"/>
    <s v="Maharashtra"/>
    <x v="2"/>
    <x v="2"/>
    <x v="11"/>
    <n v="4"/>
    <n v="3323.81"/>
    <n v="0.13"/>
    <n v="11566.86"/>
    <n v="13295.24"/>
    <n v="1728.3799999999992"/>
    <n v="11566.86"/>
    <s v="Credit Card"/>
    <x v="1"/>
    <x v="0"/>
    <x v="0"/>
  </r>
  <r>
    <x v="474"/>
    <x v="131"/>
    <s v="Maharashtra"/>
    <x v="0"/>
    <x v="3"/>
    <x v="8"/>
    <n v="4"/>
    <n v="4649.18"/>
    <n v="0.21"/>
    <n v="14691.41"/>
    <n v="18596.72"/>
    <n v="3905.3100000000013"/>
    <n v="14691.41"/>
    <s v="Debit Card"/>
    <x v="1"/>
    <x v="1"/>
    <x v="0"/>
  </r>
  <r>
    <x v="475"/>
    <x v="99"/>
    <s v="Maharashtra"/>
    <x v="0"/>
    <x v="2"/>
    <x v="6"/>
    <n v="5"/>
    <n v="299.2"/>
    <n v="0.02"/>
    <n v="1466.08"/>
    <n v="1496"/>
    <n v="29.920000000000073"/>
    <n v="1466.08"/>
    <s v="COD"/>
    <x v="2"/>
    <x v="1"/>
    <x v="1"/>
  </r>
  <r>
    <x v="476"/>
    <x v="75"/>
    <s v="Maharashtra"/>
    <x v="3"/>
    <x v="1"/>
    <x v="13"/>
    <n v="4"/>
    <n v="1028.3599999999999"/>
    <n v="0.13"/>
    <n v="3578.69"/>
    <n v="4113.4399999999996"/>
    <n v="534.74999999999955"/>
    <n v="3578.69"/>
    <s v="Debit Card"/>
    <x v="1"/>
    <x v="2"/>
    <x v="0"/>
  </r>
  <r>
    <x v="477"/>
    <x v="160"/>
    <s v="Maharashtra"/>
    <x v="3"/>
    <x v="1"/>
    <x v="14"/>
    <n v="4"/>
    <n v="3542.5"/>
    <n v="0.11"/>
    <n v="12611.3"/>
    <n v="14170"/>
    <n v="1558.7000000000007"/>
    <n v="12611.3"/>
    <s v="COD"/>
    <x v="2"/>
    <x v="2"/>
    <x v="3"/>
  </r>
  <r>
    <x v="478"/>
    <x v="31"/>
    <s v="Gujarat"/>
    <x v="2"/>
    <x v="1"/>
    <x v="14"/>
    <n v="2"/>
    <n v="2716.11"/>
    <n v="0.15"/>
    <n v="4617.3900000000003"/>
    <n v="5432.22"/>
    <n v="814.82999999999993"/>
    <n v="4617.3900000000003"/>
    <s v="UPI"/>
    <x v="1"/>
    <x v="1"/>
    <x v="0"/>
  </r>
  <r>
    <x v="479"/>
    <x v="69"/>
    <s v="Tamil Nadu"/>
    <x v="1"/>
    <x v="4"/>
    <x v="17"/>
    <n v="3"/>
    <n v="3081.23"/>
    <n v="0.14000000000000001"/>
    <n v="7949.57"/>
    <n v="9243.69"/>
    <n v="1294.1200000000008"/>
    <n v="7949.57"/>
    <s v="Net Banking"/>
    <x v="1"/>
    <x v="2"/>
    <x v="3"/>
  </r>
  <r>
    <x v="480"/>
    <x v="58"/>
    <s v="Tamil Nadu"/>
    <x v="0"/>
    <x v="4"/>
    <x v="17"/>
    <n v="1"/>
    <n v="3658.94"/>
    <n v="0.25"/>
    <n v="2744.2"/>
    <n v="3658.94"/>
    <n v="914.74000000000024"/>
    <n v="2744.2"/>
    <s v="Net Banking"/>
    <x v="2"/>
    <x v="0"/>
    <x v="0"/>
  </r>
  <r>
    <x v="481"/>
    <x v="98"/>
    <s v="Karnataka"/>
    <x v="2"/>
    <x v="4"/>
    <x v="19"/>
    <n v="3"/>
    <n v="206.34"/>
    <n v="0.21"/>
    <n v="489.03"/>
    <n v="619.02"/>
    <n v="129.99"/>
    <n v="489.03"/>
    <s v="Debit Card"/>
    <x v="0"/>
    <x v="0"/>
    <x v="1"/>
  </r>
  <r>
    <x v="482"/>
    <x v="8"/>
    <s v="Maharashtra"/>
    <x v="3"/>
    <x v="1"/>
    <x v="10"/>
    <n v="3"/>
    <n v="864.92"/>
    <n v="7.0000000000000007E-2"/>
    <n v="2413.13"/>
    <n v="2594.7599999999998"/>
    <n v="181.62999999999965"/>
    <n v="2413.13"/>
    <s v="Credit Card"/>
    <x v="2"/>
    <x v="0"/>
    <x v="0"/>
  </r>
  <r>
    <x v="483"/>
    <x v="160"/>
    <s v="Gujarat"/>
    <x v="3"/>
    <x v="4"/>
    <x v="19"/>
    <n v="2"/>
    <n v="3697.9"/>
    <n v="0.18"/>
    <n v="6064.56"/>
    <n v="7395.8"/>
    <n v="1331.2399999999998"/>
    <n v="6064.56"/>
    <s v="Net Banking"/>
    <x v="1"/>
    <x v="1"/>
    <x v="0"/>
  </r>
  <r>
    <x v="484"/>
    <x v="50"/>
    <s v="Gujarat"/>
    <x v="2"/>
    <x v="1"/>
    <x v="13"/>
    <n v="5"/>
    <n v="1969.58"/>
    <n v="0.2"/>
    <n v="7878.32"/>
    <n v="9847.9"/>
    <n v="1969.58"/>
    <n v="7878.32"/>
    <s v="UPI"/>
    <x v="0"/>
    <x v="1"/>
    <x v="1"/>
  </r>
  <r>
    <x v="485"/>
    <x v="39"/>
    <s v="Maharashtra"/>
    <x v="1"/>
    <x v="2"/>
    <x v="5"/>
    <n v="5"/>
    <n v="4650.3999999999996"/>
    <n v="0.16"/>
    <n v="19531.68"/>
    <n v="23252"/>
    <n v="3720.3199999999997"/>
    <n v="19531.68"/>
    <s v="Debit Card"/>
    <x v="1"/>
    <x v="0"/>
    <x v="0"/>
  </r>
  <r>
    <x v="486"/>
    <x v="20"/>
    <s v="Karnataka"/>
    <x v="0"/>
    <x v="1"/>
    <x v="13"/>
    <n v="2"/>
    <n v="1701.47"/>
    <n v="0.17"/>
    <n v="2824.44"/>
    <n v="3402.94"/>
    <n v="578.5"/>
    <n v="2824.44"/>
    <s v="COD"/>
    <x v="1"/>
    <x v="2"/>
    <x v="0"/>
  </r>
  <r>
    <x v="487"/>
    <x v="46"/>
    <s v="Gujarat"/>
    <x v="3"/>
    <x v="2"/>
    <x v="5"/>
    <n v="1"/>
    <n v="1188.22"/>
    <n v="7.0000000000000007E-2"/>
    <n v="1105.04"/>
    <n v="1188.22"/>
    <n v="83.180000000000064"/>
    <n v="1105.04"/>
    <s v="COD"/>
    <x v="1"/>
    <x v="1"/>
    <x v="0"/>
  </r>
  <r>
    <x v="488"/>
    <x v="151"/>
    <s v="Gujarat"/>
    <x v="3"/>
    <x v="0"/>
    <x v="3"/>
    <n v="4"/>
    <n v="1386.53"/>
    <n v="0.1"/>
    <n v="4991.51"/>
    <n v="5546.12"/>
    <n v="554.60999999999967"/>
    <n v="4991.51"/>
    <s v="Credit Card"/>
    <x v="1"/>
    <x v="1"/>
    <x v="3"/>
  </r>
  <r>
    <x v="489"/>
    <x v="75"/>
    <s v="Tamil Nadu"/>
    <x v="3"/>
    <x v="2"/>
    <x v="11"/>
    <n v="5"/>
    <n v="1060.8900000000001"/>
    <n v="0.15"/>
    <n v="4508.78"/>
    <n v="5304.4500000000007"/>
    <n v="795.67000000000098"/>
    <n v="4508.78"/>
    <s v="Net Banking"/>
    <x v="1"/>
    <x v="0"/>
    <x v="0"/>
  </r>
  <r>
    <x v="490"/>
    <x v="173"/>
    <s v="Karnataka"/>
    <x v="3"/>
    <x v="4"/>
    <x v="18"/>
    <n v="1"/>
    <n v="3391.56"/>
    <n v="0.11"/>
    <n v="3018.49"/>
    <n v="3391.56"/>
    <n v="373.07000000000016"/>
    <n v="3018.49"/>
    <s v="COD"/>
    <x v="0"/>
    <x v="1"/>
    <x v="0"/>
  </r>
  <r>
    <x v="491"/>
    <x v="59"/>
    <s v="Karnataka"/>
    <x v="3"/>
    <x v="1"/>
    <x v="13"/>
    <n v="5"/>
    <n v="4125.76"/>
    <n v="0.2"/>
    <n v="16503.04"/>
    <n v="20628.800000000003"/>
    <n v="4125.760000000002"/>
    <n v="16503.04"/>
    <s v="Debit Card"/>
    <x v="2"/>
    <x v="0"/>
    <x v="0"/>
  </r>
  <r>
    <x v="492"/>
    <x v="64"/>
    <s v="Karnataka"/>
    <x v="3"/>
    <x v="3"/>
    <x v="12"/>
    <n v="1"/>
    <n v="650.62"/>
    <n v="0.01"/>
    <n v="644.11"/>
    <n v="650.62"/>
    <n v="6.5099999999999909"/>
    <n v="644.11"/>
    <s v="Debit Card"/>
    <x v="1"/>
    <x v="0"/>
    <x v="1"/>
  </r>
  <r>
    <x v="493"/>
    <x v="93"/>
    <s v="Karnataka"/>
    <x v="3"/>
    <x v="4"/>
    <x v="19"/>
    <n v="4"/>
    <n v="2408.83"/>
    <n v="0.08"/>
    <n v="8864.49"/>
    <n v="9635.32"/>
    <n v="770.82999999999993"/>
    <n v="8864.49"/>
    <s v="Credit Card"/>
    <x v="2"/>
    <x v="0"/>
    <x v="0"/>
  </r>
  <r>
    <x v="494"/>
    <x v="5"/>
    <s v="Gujarat"/>
    <x v="0"/>
    <x v="1"/>
    <x v="1"/>
    <n v="2"/>
    <n v="3505.85"/>
    <n v="0.17"/>
    <n v="5819.71"/>
    <n v="7011.7"/>
    <n v="1191.9899999999998"/>
    <n v="5819.71"/>
    <s v="Net Banking"/>
    <x v="1"/>
    <x v="1"/>
    <x v="0"/>
  </r>
  <r>
    <x v="495"/>
    <x v="71"/>
    <s v="Delhi"/>
    <x v="1"/>
    <x v="0"/>
    <x v="2"/>
    <n v="1"/>
    <n v="2378.31"/>
    <n v="0.24"/>
    <n v="1807.52"/>
    <n v="2378.31"/>
    <n v="570.79"/>
    <n v="1807.52"/>
    <s v="COD"/>
    <x v="2"/>
    <x v="2"/>
    <x v="0"/>
  </r>
  <r>
    <x v="496"/>
    <x v="165"/>
    <s v="Maharashtra"/>
    <x v="0"/>
    <x v="4"/>
    <x v="19"/>
    <n v="4"/>
    <n v="1232.73"/>
    <n v="0.1"/>
    <n v="4437.83"/>
    <n v="4930.92"/>
    <n v="493.09000000000015"/>
    <n v="4437.83"/>
    <s v="UPI"/>
    <x v="1"/>
    <x v="0"/>
    <x v="1"/>
  </r>
  <r>
    <x v="497"/>
    <x v="38"/>
    <s v="Delhi"/>
    <x v="3"/>
    <x v="2"/>
    <x v="7"/>
    <n v="4"/>
    <n v="2847.37"/>
    <n v="0.18"/>
    <n v="9339.3700000000008"/>
    <n v="11389.48"/>
    <n v="2050.1099999999988"/>
    <n v="9339.3700000000008"/>
    <s v="Debit Card"/>
    <x v="1"/>
    <x v="2"/>
    <x v="1"/>
  </r>
  <r>
    <x v="498"/>
    <x v="143"/>
    <s v="Tamil Nadu"/>
    <x v="2"/>
    <x v="4"/>
    <x v="17"/>
    <n v="2"/>
    <n v="190.02"/>
    <n v="0.17"/>
    <n v="315.43"/>
    <n v="380.04"/>
    <n v="64.610000000000014"/>
    <n v="315.43"/>
    <s v="Net Banking"/>
    <x v="1"/>
    <x v="1"/>
    <x v="0"/>
  </r>
  <r>
    <x v="499"/>
    <x v="56"/>
    <s v="Maharashtra"/>
    <x v="3"/>
    <x v="1"/>
    <x v="1"/>
    <n v="1"/>
    <n v="4726.2700000000004"/>
    <n v="0.24"/>
    <n v="3591.97"/>
    <n v="4726.2700000000004"/>
    <n v="1134.3000000000006"/>
    <n v="3591.97"/>
    <s v="UPI"/>
    <x v="2"/>
    <x v="2"/>
    <x v="0"/>
  </r>
  <r>
    <x v="500"/>
    <x v="11"/>
    <s v="Maharashtra"/>
    <x v="3"/>
    <x v="2"/>
    <x v="11"/>
    <n v="5"/>
    <n v="4376.24"/>
    <n v="0.17"/>
    <n v="18161.400000000001"/>
    <n v="21881.199999999997"/>
    <n v="3719.7999999999956"/>
    <n v="18161.400000000001"/>
    <s v="Net Banking"/>
    <x v="1"/>
    <x v="1"/>
    <x v="0"/>
  </r>
  <r>
    <x v="501"/>
    <x v="26"/>
    <s v="Gujarat"/>
    <x v="3"/>
    <x v="2"/>
    <x v="6"/>
    <n v="5"/>
    <n v="745.68"/>
    <n v="0.16"/>
    <n v="3131.86"/>
    <n v="3728.3999999999996"/>
    <n v="596.53999999999951"/>
    <n v="3131.86"/>
    <s v="UPI"/>
    <x v="2"/>
    <x v="0"/>
    <x v="1"/>
  </r>
  <r>
    <x v="502"/>
    <x v="172"/>
    <s v="Tamil Nadu"/>
    <x v="0"/>
    <x v="4"/>
    <x v="16"/>
    <n v="5"/>
    <n v="4593.8500000000004"/>
    <n v="0.08"/>
    <n v="21131.71"/>
    <n v="22969.25"/>
    <n v="1837.5400000000009"/>
    <n v="21131.71"/>
    <s v="Debit Card"/>
    <x v="1"/>
    <x v="0"/>
    <x v="0"/>
  </r>
  <r>
    <x v="503"/>
    <x v="78"/>
    <s v="Karnataka"/>
    <x v="2"/>
    <x v="3"/>
    <x v="8"/>
    <n v="3"/>
    <n v="2270.7199999999998"/>
    <n v="0.23"/>
    <n v="5245.36"/>
    <n v="6812.16"/>
    <n v="1566.8000000000002"/>
    <n v="5245.36"/>
    <s v="Net Banking"/>
    <x v="2"/>
    <x v="0"/>
    <x v="0"/>
  </r>
  <r>
    <x v="504"/>
    <x v="33"/>
    <s v="Delhi"/>
    <x v="3"/>
    <x v="3"/>
    <x v="8"/>
    <n v="5"/>
    <n v="3123.04"/>
    <n v="0.15"/>
    <n v="13272.92"/>
    <n v="15615.2"/>
    <n v="2342.2800000000007"/>
    <n v="13272.92"/>
    <s v="Debit Card"/>
    <x v="0"/>
    <x v="0"/>
    <x v="0"/>
  </r>
  <r>
    <x v="505"/>
    <x v="25"/>
    <s v="Karnataka"/>
    <x v="2"/>
    <x v="3"/>
    <x v="8"/>
    <n v="4"/>
    <n v="757.02"/>
    <n v="0.21"/>
    <n v="2392.1799999999998"/>
    <n v="3028.08"/>
    <n v="635.90000000000009"/>
    <n v="2392.1799999999998"/>
    <s v="Credit Card"/>
    <x v="1"/>
    <x v="1"/>
    <x v="0"/>
  </r>
  <r>
    <x v="506"/>
    <x v="114"/>
    <s v="Tamil Nadu"/>
    <x v="2"/>
    <x v="2"/>
    <x v="5"/>
    <n v="2"/>
    <n v="1208.74"/>
    <n v="0.1"/>
    <n v="2175.73"/>
    <n v="2417.48"/>
    <n v="241.75"/>
    <n v="2175.73"/>
    <s v="Debit Card"/>
    <x v="0"/>
    <x v="2"/>
    <x v="2"/>
  </r>
  <r>
    <x v="507"/>
    <x v="31"/>
    <s v="Delhi"/>
    <x v="1"/>
    <x v="3"/>
    <x v="12"/>
    <n v="4"/>
    <n v="4348.93"/>
    <n v="0.12"/>
    <n v="15308.23"/>
    <n v="17395.72"/>
    <n v="2087.4900000000016"/>
    <n v="15308.23"/>
    <s v="Credit Card"/>
    <x v="0"/>
    <x v="1"/>
    <x v="1"/>
  </r>
  <r>
    <x v="508"/>
    <x v="150"/>
    <s v="Maharashtra"/>
    <x v="0"/>
    <x v="2"/>
    <x v="5"/>
    <n v="4"/>
    <n v="3628.98"/>
    <n v="0.1"/>
    <n v="13064.33"/>
    <n v="14515.92"/>
    <n v="1451.5900000000001"/>
    <n v="13064.33"/>
    <s v="COD"/>
    <x v="1"/>
    <x v="0"/>
    <x v="0"/>
  </r>
  <r>
    <x v="509"/>
    <x v="136"/>
    <s v="Maharashtra"/>
    <x v="1"/>
    <x v="2"/>
    <x v="5"/>
    <n v="5"/>
    <n v="2038.49"/>
    <n v="0.18"/>
    <n v="8357.81"/>
    <n v="10192.450000000001"/>
    <n v="1834.6400000000012"/>
    <n v="8357.81"/>
    <s v="Debit Card"/>
    <x v="1"/>
    <x v="0"/>
    <x v="0"/>
  </r>
  <r>
    <x v="510"/>
    <x v="54"/>
    <s v="Karnataka"/>
    <x v="1"/>
    <x v="0"/>
    <x v="4"/>
    <n v="3"/>
    <n v="3891.02"/>
    <n v="7.0000000000000007E-2"/>
    <n v="10855.95"/>
    <n v="11673.06"/>
    <n v="817.10999999999876"/>
    <n v="10855.95"/>
    <s v="Net Banking"/>
    <x v="2"/>
    <x v="2"/>
    <x v="0"/>
  </r>
  <r>
    <x v="511"/>
    <x v="172"/>
    <s v="Tamil Nadu"/>
    <x v="3"/>
    <x v="0"/>
    <x v="4"/>
    <n v="5"/>
    <n v="654.54"/>
    <n v="0.19"/>
    <n v="2650.89"/>
    <n v="3272.7"/>
    <n v="621.80999999999995"/>
    <n v="2650.89"/>
    <s v="Net Banking"/>
    <x v="0"/>
    <x v="0"/>
    <x v="0"/>
  </r>
  <r>
    <x v="512"/>
    <x v="131"/>
    <s v="Maharashtra"/>
    <x v="0"/>
    <x v="4"/>
    <x v="18"/>
    <n v="5"/>
    <n v="4493.43"/>
    <n v="0.22"/>
    <n v="17524.38"/>
    <n v="22467.15"/>
    <n v="4942.7700000000004"/>
    <n v="17524.38"/>
    <s v="Debit Card"/>
    <x v="2"/>
    <x v="1"/>
    <x v="0"/>
  </r>
  <r>
    <x v="513"/>
    <x v="65"/>
    <s v="Maharashtra"/>
    <x v="1"/>
    <x v="3"/>
    <x v="8"/>
    <n v="4"/>
    <n v="3206.95"/>
    <n v="0.02"/>
    <n v="12571.24"/>
    <n v="12827.8"/>
    <n v="256.55999999999949"/>
    <n v="12571.24"/>
    <s v="Credit Card"/>
    <x v="1"/>
    <x v="0"/>
    <x v="0"/>
  </r>
  <r>
    <x v="514"/>
    <x v="123"/>
    <s v="Tamil Nadu"/>
    <x v="3"/>
    <x v="1"/>
    <x v="10"/>
    <n v="1"/>
    <n v="3864.48"/>
    <n v="0.23"/>
    <n v="2975.65"/>
    <n v="3864.48"/>
    <n v="888.82999999999993"/>
    <n v="2975.65"/>
    <s v="COD"/>
    <x v="2"/>
    <x v="0"/>
    <x v="0"/>
  </r>
  <r>
    <x v="515"/>
    <x v="167"/>
    <s v="Maharashtra"/>
    <x v="3"/>
    <x v="3"/>
    <x v="12"/>
    <n v="3"/>
    <n v="3677.79"/>
    <n v="0.24"/>
    <n v="8385.36"/>
    <n v="11033.369999999999"/>
    <n v="2648.0099999999984"/>
    <n v="8385.36"/>
    <s v="Net Banking"/>
    <x v="2"/>
    <x v="1"/>
    <x v="0"/>
  </r>
  <r>
    <x v="516"/>
    <x v="93"/>
    <s v="Maharashtra"/>
    <x v="0"/>
    <x v="3"/>
    <x v="12"/>
    <n v="1"/>
    <n v="2347.35"/>
    <n v="0.21"/>
    <n v="1854.41"/>
    <n v="2347.35"/>
    <n v="492.93999999999983"/>
    <n v="1854.41"/>
    <s v="COD"/>
    <x v="2"/>
    <x v="0"/>
    <x v="0"/>
  </r>
  <r>
    <x v="517"/>
    <x v="103"/>
    <s v="Delhi"/>
    <x v="0"/>
    <x v="2"/>
    <x v="11"/>
    <n v="4"/>
    <n v="2323.3200000000002"/>
    <n v="0.11"/>
    <n v="8271.02"/>
    <n v="9293.2800000000007"/>
    <n v="1022.2600000000002"/>
    <n v="8271.02"/>
    <s v="COD"/>
    <x v="1"/>
    <x v="0"/>
    <x v="0"/>
  </r>
  <r>
    <x v="518"/>
    <x v="46"/>
    <s v="Gujarat"/>
    <x v="0"/>
    <x v="1"/>
    <x v="1"/>
    <n v="1"/>
    <n v="1005.72"/>
    <n v="0.01"/>
    <n v="995.66"/>
    <n v="1005.72"/>
    <n v="10.060000000000059"/>
    <n v="995.66"/>
    <s v="COD"/>
    <x v="0"/>
    <x v="1"/>
    <x v="0"/>
  </r>
  <r>
    <x v="519"/>
    <x v="117"/>
    <s v="Karnataka"/>
    <x v="2"/>
    <x v="0"/>
    <x v="2"/>
    <n v="1"/>
    <n v="2143.09"/>
    <n v="0.04"/>
    <n v="2057.37"/>
    <n v="2143.09"/>
    <n v="85.720000000000255"/>
    <n v="2057.37"/>
    <s v="Credit Card"/>
    <x v="0"/>
    <x v="0"/>
    <x v="0"/>
  </r>
  <r>
    <x v="520"/>
    <x v="168"/>
    <s v="Tamil Nadu"/>
    <x v="1"/>
    <x v="1"/>
    <x v="10"/>
    <n v="1"/>
    <n v="556.32000000000005"/>
    <n v="7.0000000000000007E-2"/>
    <n v="517.38"/>
    <n v="556.32000000000005"/>
    <n v="38.940000000000055"/>
    <n v="517.38"/>
    <s v="COD"/>
    <x v="2"/>
    <x v="1"/>
    <x v="3"/>
  </r>
  <r>
    <x v="521"/>
    <x v="123"/>
    <s v="Karnataka"/>
    <x v="1"/>
    <x v="2"/>
    <x v="7"/>
    <n v="1"/>
    <n v="3503.64"/>
    <n v="7.0000000000000007E-2"/>
    <n v="3258.39"/>
    <n v="3503.64"/>
    <n v="245.25"/>
    <n v="3258.39"/>
    <s v="Net Banking"/>
    <x v="0"/>
    <x v="0"/>
    <x v="0"/>
  </r>
  <r>
    <x v="522"/>
    <x v="97"/>
    <s v="Maharashtra"/>
    <x v="2"/>
    <x v="3"/>
    <x v="8"/>
    <n v="5"/>
    <n v="4937.2299999999996"/>
    <n v="0.12"/>
    <n v="21723.81"/>
    <n v="24686.149999999998"/>
    <n v="2962.3399999999965"/>
    <n v="21723.81"/>
    <s v="COD"/>
    <x v="1"/>
    <x v="0"/>
    <x v="0"/>
  </r>
  <r>
    <x v="523"/>
    <x v="54"/>
    <s v="Gujarat"/>
    <x v="1"/>
    <x v="4"/>
    <x v="17"/>
    <n v="3"/>
    <n v="4642.82"/>
    <n v="0.15"/>
    <n v="11839.19"/>
    <n v="13928.46"/>
    <n v="2089.2699999999986"/>
    <n v="11839.19"/>
    <s v="COD"/>
    <x v="1"/>
    <x v="1"/>
    <x v="0"/>
  </r>
  <r>
    <x v="524"/>
    <x v="38"/>
    <s v="Karnataka"/>
    <x v="3"/>
    <x v="3"/>
    <x v="12"/>
    <n v="1"/>
    <n v="217.54"/>
    <n v="0.16"/>
    <n v="182.73"/>
    <n v="217.54"/>
    <n v="34.81"/>
    <n v="182.73"/>
    <s v="Debit Card"/>
    <x v="0"/>
    <x v="2"/>
    <x v="3"/>
  </r>
  <r>
    <x v="525"/>
    <x v="81"/>
    <s v="Maharashtra"/>
    <x v="3"/>
    <x v="2"/>
    <x v="5"/>
    <n v="5"/>
    <n v="4049.61"/>
    <n v="0.05"/>
    <n v="19235.650000000001"/>
    <n v="20248.05"/>
    <n v="1012.3999999999978"/>
    <n v="19235.650000000001"/>
    <s v="UPI"/>
    <x v="2"/>
    <x v="0"/>
    <x v="0"/>
  </r>
  <r>
    <x v="526"/>
    <x v="28"/>
    <s v="Karnataka"/>
    <x v="2"/>
    <x v="4"/>
    <x v="19"/>
    <n v="5"/>
    <n v="1687.23"/>
    <n v="0"/>
    <n v="8436.15"/>
    <n v="8436.15"/>
    <n v="0"/>
    <n v="8436.15"/>
    <s v="UPI"/>
    <x v="1"/>
    <x v="0"/>
    <x v="0"/>
  </r>
  <r>
    <x v="527"/>
    <x v="45"/>
    <s v="Delhi"/>
    <x v="0"/>
    <x v="1"/>
    <x v="13"/>
    <n v="3"/>
    <n v="4619.17"/>
    <n v="0.12"/>
    <n v="12194.61"/>
    <n v="13857.51"/>
    <n v="1662.8999999999996"/>
    <n v="12194.61"/>
    <s v="Debit Card"/>
    <x v="2"/>
    <x v="1"/>
    <x v="0"/>
  </r>
  <r>
    <x v="528"/>
    <x v="73"/>
    <s v="Tamil Nadu"/>
    <x v="0"/>
    <x v="2"/>
    <x v="11"/>
    <n v="4"/>
    <n v="3941.55"/>
    <n v="0.1"/>
    <n v="14189.58"/>
    <n v="15766.2"/>
    <n v="1576.6200000000008"/>
    <n v="14189.58"/>
    <s v="COD"/>
    <x v="2"/>
    <x v="0"/>
    <x v="3"/>
  </r>
  <r>
    <x v="529"/>
    <x v="24"/>
    <s v="Gujarat"/>
    <x v="0"/>
    <x v="4"/>
    <x v="17"/>
    <n v="2"/>
    <n v="2929.25"/>
    <n v="0.08"/>
    <n v="5389.82"/>
    <n v="5858.5"/>
    <n v="468.68000000000029"/>
    <n v="5389.82"/>
    <s v="COD"/>
    <x v="0"/>
    <x v="1"/>
    <x v="2"/>
  </r>
  <r>
    <x v="530"/>
    <x v="37"/>
    <s v="Karnataka"/>
    <x v="3"/>
    <x v="4"/>
    <x v="19"/>
    <n v="5"/>
    <n v="4227.79"/>
    <n v="0.14000000000000001"/>
    <n v="18179.5"/>
    <n v="21138.95"/>
    <n v="2959.4500000000007"/>
    <n v="18179.5"/>
    <s v="Net Banking"/>
    <x v="1"/>
    <x v="1"/>
    <x v="0"/>
  </r>
  <r>
    <x v="531"/>
    <x v="140"/>
    <s v="Maharashtra"/>
    <x v="2"/>
    <x v="4"/>
    <x v="17"/>
    <n v="1"/>
    <n v="2535.5700000000002"/>
    <n v="0.06"/>
    <n v="2383.44"/>
    <n v="2535.5700000000002"/>
    <n v="152.13000000000011"/>
    <n v="2383.44"/>
    <s v="UPI"/>
    <x v="2"/>
    <x v="1"/>
    <x v="0"/>
  </r>
  <r>
    <x v="532"/>
    <x v="82"/>
    <s v="Maharashtra"/>
    <x v="1"/>
    <x v="4"/>
    <x v="16"/>
    <n v="2"/>
    <n v="4575.43"/>
    <n v="0.11"/>
    <n v="8144.27"/>
    <n v="9150.86"/>
    <n v="1006.5900000000001"/>
    <n v="8144.27"/>
    <s v="UPI"/>
    <x v="0"/>
    <x v="2"/>
    <x v="1"/>
  </r>
  <r>
    <x v="533"/>
    <x v="70"/>
    <s v="Karnataka"/>
    <x v="3"/>
    <x v="3"/>
    <x v="12"/>
    <n v="5"/>
    <n v="1620.76"/>
    <n v="0.08"/>
    <n v="7455.5"/>
    <n v="8103.8"/>
    <n v="648.30000000000018"/>
    <n v="7455.5"/>
    <s v="Net Banking"/>
    <x v="1"/>
    <x v="2"/>
    <x v="0"/>
  </r>
  <r>
    <x v="534"/>
    <x v="166"/>
    <s v="Tamil Nadu"/>
    <x v="0"/>
    <x v="0"/>
    <x v="3"/>
    <n v="1"/>
    <n v="1623.81"/>
    <n v="0.01"/>
    <n v="1607.57"/>
    <n v="1623.81"/>
    <n v="16.240000000000009"/>
    <n v="1607.57"/>
    <s v="COD"/>
    <x v="0"/>
    <x v="0"/>
    <x v="0"/>
  </r>
  <r>
    <x v="535"/>
    <x v="46"/>
    <s v="Gujarat"/>
    <x v="2"/>
    <x v="0"/>
    <x v="0"/>
    <n v="5"/>
    <n v="3816.62"/>
    <n v="0.16"/>
    <n v="16029.8"/>
    <n v="19083.099999999999"/>
    <n v="3053.2999999999993"/>
    <n v="16029.8"/>
    <s v="UPI"/>
    <x v="0"/>
    <x v="2"/>
    <x v="0"/>
  </r>
  <r>
    <x v="536"/>
    <x v="20"/>
    <s v="Gujarat"/>
    <x v="0"/>
    <x v="4"/>
    <x v="17"/>
    <n v="1"/>
    <n v="1436.01"/>
    <n v="0.04"/>
    <n v="1378.57"/>
    <n v="1436.01"/>
    <n v="57.440000000000055"/>
    <n v="1378.57"/>
    <s v="UPI"/>
    <x v="2"/>
    <x v="2"/>
    <x v="2"/>
  </r>
  <r>
    <x v="537"/>
    <x v="129"/>
    <s v="Delhi"/>
    <x v="2"/>
    <x v="1"/>
    <x v="13"/>
    <n v="5"/>
    <n v="1660.58"/>
    <n v="0.04"/>
    <n v="7970.78"/>
    <n v="8302.9"/>
    <n v="332.11999999999989"/>
    <n v="7970.78"/>
    <s v="COD"/>
    <x v="2"/>
    <x v="0"/>
    <x v="0"/>
  </r>
  <r>
    <x v="538"/>
    <x v="115"/>
    <s v="Karnataka"/>
    <x v="0"/>
    <x v="3"/>
    <x v="8"/>
    <n v="5"/>
    <n v="2273.87"/>
    <n v="0.03"/>
    <n v="11028.27"/>
    <n v="11369.349999999999"/>
    <n v="341.07999999999811"/>
    <n v="11028.27"/>
    <s v="COD"/>
    <x v="2"/>
    <x v="1"/>
    <x v="0"/>
  </r>
  <r>
    <x v="539"/>
    <x v="147"/>
    <s v="Tamil Nadu"/>
    <x v="1"/>
    <x v="0"/>
    <x v="0"/>
    <n v="5"/>
    <n v="4467.25"/>
    <n v="0.16"/>
    <n v="18762.45"/>
    <n v="22336.25"/>
    <n v="3573.7999999999993"/>
    <n v="18762.45"/>
    <s v="Net Banking"/>
    <x v="0"/>
    <x v="0"/>
    <x v="0"/>
  </r>
  <r>
    <x v="540"/>
    <x v="174"/>
    <s v="Delhi"/>
    <x v="1"/>
    <x v="4"/>
    <x v="17"/>
    <n v="4"/>
    <n v="2882.17"/>
    <n v="0.02"/>
    <n v="11298.11"/>
    <n v="11528.68"/>
    <n v="230.56999999999971"/>
    <n v="11298.11"/>
    <s v="COD"/>
    <x v="0"/>
    <x v="0"/>
    <x v="0"/>
  </r>
  <r>
    <x v="541"/>
    <x v="44"/>
    <s v="Tamil Nadu"/>
    <x v="1"/>
    <x v="4"/>
    <x v="18"/>
    <n v="2"/>
    <n v="4319.37"/>
    <n v="0.15"/>
    <n v="7342.93"/>
    <n v="8638.74"/>
    <n v="1295.8099999999995"/>
    <n v="7342.93"/>
    <s v="Debit Card"/>
    <x v="0"/>
    <x v="1"/>
    <x v="0"/>
  </r>
  <r>
    <x v="542"/>
    <x v="107"/>
    <s v="Tamil Nadu"/>
    <x v="3"/>
    <x v="4"/>
    <x v="17"/>
    <n v="1"/>
    <n v="2429.14"/>
    <n v="0.09"/>
    <n v="2210.52"/>
    <n v="2429.14"/>
    <n v="218.61999999999989"/>
    <n v="2210.52"/>
    <s v="Net Banking"/>
    <x v="0"/>
    <x v="1"/>
    <x v="0"/>
  </r>
  <r>
    <x v="543"/>
    <x v="105"/>
    <s v="Gujarat"/>
    <x v="1"/>
    <x v="4"/>
    <x v="16"/>
    <n v="1"/>
    <n v="1696.76"/>
    <n v="0.16"/>
    <n v="1425.28"/>
    <n v="1696.76"/>
    <n v="271.48"/>
    <n v="1425.28"/>
    <s v="Credit Card"/>
    <x v="2"/>
    <x v="1"/>
    <x v="0"/>
  </r>
  <r>
    <x v="544"/>
    <x v="70"/>
    <s v="Gujarat"/>
    <x v="3"/>
    <x v="2"/>
    <x v="11"/>
    <n v="2"/>
    <n v="4872.07"/>
    <n v="0.1"/>
    <n v="8769.73"/>
    <n v="9744.14"/>
    <n v="974.40999999999985"/>
    <n v="8769.73"/>
    <s v="Debit Card"/>
    <x v="1"/>
    <x v="1"/>
    <x v="3"/>
  </r>
  <r>
    <x v="545"/>
    <x v="36"/>
    <s v="Tamil Nadu"/>
    <x v="0"/>
    <x v="1"/>
    <x v="14"/>
    <n v="5"/>
    <n v="3501.25"/>
    <n v="0.04"/>
    <n v="16806"/>
    <n v="17506.25"/>
    <n v="700.25"/>
    <n v="16806"/>
    <s v="COD"/>
    <x v="2"/>
    <x v="0"/>
    <x v="0"/>
  </r>
  <r>
    <x v="546"/>
    <x v="56"/>
    <s v="Maharashtra"/>
    <x v="3"/>
    <x v="1"/>
    <x v="14"/>
    <n v="4"/>
    <n v="1694.35"/>
    <n v="0.02"/>
    <n v="6641.85"/>
    <n v="6777.4"/>
    <n v="135.54999999999927"/>
    <n v="6641.85"/>
    <s v="COD"/>
    <x v="1"/>
    <x v="1"/>
    <x v="0"/>
  </r>
  <r>
    <x v="547"/>
    <x v="4"/>
    <s v="Gujarat"/>
    <x v="0"/>
    <x v="2"/>
    <x v="7"/>
    <n v="5"/>
    <n v="3879.58"/>
    <n v="0.09"/>
    <n v="17652.09"/>
    <n v="19397.900000000001"/>
    <n v="1745.8100000000013"/>
    <n v="17652.09"/>
    <s v="Credit Card"/>
    <x v="1"/>
    <x v="1"/>
    <x v="0"/>
  </r>
  <r>
    <x v="548"/>
    <x v="47"/>
    <s v="Delhi"/>
    <x v="3"/>
    <x v="3"/>
    <x v="8"/>
    <n v="5"/>
    <n v="1528.37"/>
    <n v="0.15"/>
    <n v="6495.57"/>
    <n v="7641.8499999999995"/>
    <n v="1146.2799999999997"/>
    <n v="6495.57"/>
    <s v="Debit Card"/>
    <x v="2"/>
    <x v="1"/>
    <x v="0"/>
  </r>
  <r>
    <x v="549"/>
    <x v="119"/>
    <s v="Gujarat"/>
    <x v="1"/>
    <x v="4"/>
    <x v="17"/>
    <n v="3"/>
    <n v="4952.42"/>
    <n v="0.15"/>
    <n v="12628.67"/>
    <n v="14857.26"/>
    <n v="2228.59"/>
    <n v="12628.67"/>
    <s v="UPI"/>
    <x v="2"/>
    <x v="0"/>
    <x v="3"/>
  </r>
  <r>
    <x v="550"/>
    <x v="148"/>
    <s v="Karnataka"/>
    <x v="0"/>
    <x v="4"/>
    <x v="19"/>
    <n v="1"/>
    <n v="3546.44"/>
    <n v="0.21"/>
    <n v="2801.69"/>
    <n v="3546.44"/>
    <n v="744.75"/>
    <n v="2801.69"/>
    <s v="COD"/>
    <x v="0"/>
    <x v="1"/>
    <x v="1"/>
  </r>
  <r>
    <x v="551"/>
    <x v="85"/>
    <s v="Tamil Nadu"/>
    <x v="3"/>
    <x v="0"/>
    <x v="4"/>
    <n v="3"/>
    <n v="3587.69"/>
    <n v="0.1"/>
    <n v="9686.76"/>
    <n v="10763.07"/>
    <n v="1076.3099999999995"/>
    <n v="9686.76"/>
    <s v="COD"/>
    <x v="2"/>
    <x v="1"/>
    <x v="0"/>
  </r>
  <r>
    <x v="552"/>
    <x v="151"/>
    <s v="Delhi"/>
    <x v="3"/>
    <x v="2"/>
    <x v="11"/>
    <n v="3"/>
    <n v="4215.82"/>
    <n v="0.04"/>
    <n v="12141.56"/>
    <n v="12647.46"/>
    <n v="505.89999999999964"/>
    <n v="12141.56"/>
    <s v="COD"/>
    <x v="2"/>
    <x v="0"/>
    <x v="0"/>
  </r>
  <r>
    <x v="553"/>
    <x v="70"/>
    <s v="Delhi"/>
    <x v="1"/>
    <x v="0"/>
    <x v="0"/>
    <n v="4"/>
    <n v="4877.38"/>
    <n v="0.03"/>
    <n v="18924.23"/>
    <n v="19509.52"/>
    <n v="585.29000000000087"/>
    <n v="18924.23"/>
    <s v="Net Banking"/>
    <x v="1"/>
    <x v="2"/>
    <x v="1"/>
  </r>
  <r>
    <x v="554"/>
    <x v="171"/>
    <s v="Gujarat"/>
    <x v="2"/>
    <x v="1"/>
    <x v="14"/>
    <n v="5"/>
    <n v="2178.21"/>
    <n v="0.21"/>
    <n v="8603.93"/>
    <n v="10891.05"/>
    <n v="2287.119999999999"/>
    <n v="8603.93"/>
    <s v="Debit Card"/>
    <x v="2"/>
    <x v="1"/>
    <x v="0"/>
  </r>
  <r>
    <x v="555"/>
    <x v="34"/>
    <s v="Gujarat"/>
    <x v="2"/>
    <x v="2"/>
    <x v="7"/>
    <n v="2"/>
    <n v="3589.44"/>
    <n v="7.0000000000000007E-2"/>
    <n v="6676.36"/>
    <n v="7178.88"/>
    <n v="502.52000000000044"/>
    <n v="6676.36"/>
    <s v="Net Banking"/>
    <x v="1"/>
    <x v="0"/>
    <x v="0"/>
  </r>
  <r>
    <x v="556"/>
    <x v="3"/>
    <s v="Karnataka"/>
    <x v="2"/>
    <x v="0"/>
    <x v="3"/>
    <n v="4"/>
    <n v="4812.51"/>
    <n v="0.02"/>
    <n v="18865.04"/>
    <n v="19250.04"/>
    <n v="385"/>
    <n v="18865.04"/>
    <s v="Credit Card"/>
    <x v="1"/>
    <x v="0"/>
    <x v="0"/>
  </r>
  <r>
    <x v="557"/>
    <x v="143"/>
    <s v="Delhi"/>
    <x v="2"/>
    <x v="0"/>
    <x v="0"/>
    <n v="1"/>
    <n v="3451.96"/>
    <n v="0.13"/>
    <n v="3003.21"/>
    <n v="3451.96"/>
    <n v="448.75"/>
    <n v="3003.21"/>
    <s v="Net Banking"/>
    <x v="1"/>
    <x v="0"/>
    <x v="0"/>
  </r>
  <r>
    <x v="558"/>
    <x v="54"/>
    <s v="Tamil Nadu"/>
    <x v="2"/>
    <x v="4"/>
    <x v="19"/>
    <n v="4"/>
    <n v="2912.43"/>
    <n v="0.08"/>
    <n v="10717.74"/>
    <n v="11649.72"/>
    <n v="931.97999999999956"/>
    <n v="10717.74"/>
    <s v="Net Banking"/>
    <x v="1"/>
    <x v="1"/>
    <x v="0"/>
  </r>
  <r>
    <x v="559"/>
    <x v="146"/>
    <s v="Gujarat"/>
    <x v="2"/>
    <x v="0"/>
    <x v="2"/>
    <n v="4"/>
    <n v="2932.89"/>
    <n v="0.14000000000000001"/>
    <n v="10089.14"/>
    <n v="11731.56"/>
    <n v="1642.42"/>
    <n v="10089.14"/>
    <s v="UPI"/>
    <x v="0"/>
    <x v="0"/>
    <x v="3"/>
  </r>
  <r>
    <x v="560"/>
    <x v="101"/>
    <s v="Karnataka"/>
    <x v="2"/>
    <x v="1"/>
    <x v="13"/>
    <n v="2"/>
    <n v="2577.42"/>
    <n v="0.21"/>
    <n v="4072.32"/>
    <n v="5154.84"/>
    <n v="1082.52"/>
    <n v="4072.32"/>
    <s v="Net Banking"/>
    <x v="0"/>
    <x v="1"/>
    <x v="0"/>
  </r>
  <r>
    <x v="561"/>
    <x v="22"/>
    <s v="Karnataka"/>
    <x v="3"/>
    <x v="4"/>
    <x v="17"/>
    <n v="1"/>
    <n v="3058.73"/>
    <n v="0.23"/>
    <n v="2355.2199999999998"/>
    <n v="3058.73"/>
    <n v="703.51000000000022"/>
    <n v="2355.2199999999998"/>
    <s v="Credit Card"/>
    <x v="1"/>
    <x v="0"/>
    <x v="0"/>
  </r>
  <r>
    <x v="562"/>
    <x v="31"/>
    <s v="Karnataka"/>
    <x v="0"/>
    <x v="4"/>
    <x v="16"/>
    <n v="2"/>
    <n v="4016.92"/>
    <n v="0.22"/>
    <n v="6266.4"/>
    <n v="8033.84"/>
    <n v="1767.4400000000005"/>
    <n v="6266.4"/>
    <s v="Debit Card"/>
    <x v="2"/>
    <x v="1"/>
    <x v="2"/>
  </r>
  <r>
    <x v="563"/>
    <x v="1"/>
    <s v="Tamil Nadu"/>
    <x v="3"/>
    <x v="1"/>
    <x v="10"/>
    <n v="2"/>
    <n v="3337.27"/>
    <n v="0.18"/>
    <n v="5473.12"/>
    <n v="6674.54"/>
    <n v="1201.42"/>
    <n v="5473.12"/>
    <s v="Net Banking"/>
    <x v="2"/>
    <x v="2"/>
    <x v="0"/>
  </r>
  <r>
    <x v="564"/>
    <x v="160"/>
    <s v="Karnataka"/>
    <x v="3"/>
    <x v="4"/>
    <x v="19"/>
    <n v="2"/>
    <n v="2373.67"/>
    <n v="0.12"/>
    <n v="4177.66"/>
    <n v="4747.34"/>
    <n v="569.68000000000029"/>
    <n v="4177.66"/>
    <s v="Credit Card"/>
    <x v="0"/>
    <x v="1"/>
    <x v="0"/>
  </r>
  <r>
    <x v="565"/>
    <x v="59"/>
    <s v="Karnataka"/>
    <x v="1"/>
    <x v="2"/>
    <x v="5"/>
    <n v="4"/>
    <n v="158.13"/>
    <n v="0.23"/>
    <n v="487.04"/>
    <n v="632.52"/>
    <n v="145.47999999999996"/>
    <n v="487.04"/>
    <s v="Debit Card"/>
    <x v="1"/>
    <x v="1"/>
    <x v="0"/>
  </r>
  <r>
    <x v="566"/>
    <x v="175"/>
    <s v="Maharashtra"/>
    <x v="2"/>
    <x v="1"/>
    <x v="13"/>
    <n v="3"/>
    <n v="4785.3"/>
    <n v="0.11"/>
    <n v="12776.75"/>
    <n v="14355.900000000001"/>
    <n v="1579.1500000000015"/>
    <n v="12776.75"/>
    <s v="COD"/>
    <x v="1"/>
    <x v="0"/>
    <x v="0"/>
  </r>
  <r>
    <x v="567"/>
    <x v="147"/>
    <s v="Karnataka"/>
    <x v="3"/>
    <x v="4"/>
    <x v="19"/>
    <n v="4"/>
    <n v="3888.44"/>
    <n v="0.19"/>
    <n v="12598.55"/>
    <n v="15553.76"/>
    <n v="2955.2100000000009"/>
    <n v="12598.55"/>
    <s v="COD"/>
    <x v="2"/>
    <x v="0"/>
    <x v="0"/>
  </r>
  <r>
    <x v="568"/>
    <x v="176"/>
    <s v="Gujarat"/>
    <x v="0"/>
    <x v="3"/>
    <x v="9"/>
    <n v="1"/>
    <n v="4175.28"/>
    <n v="0"/>
    <n v="4175.28"/>
    <n v="4175.28"/>
    <n v="0"/>
    <n v="4175.28"/>
    <s v="Credit Card"/>
    <x v="1"/>
    <x v="2"/>
    <x v="0"/>
  </r>
  <r>
    <x v="569"/>
    <x v="11"/>
    <s v="Karnataka"/>
    <x v="3"/>
    <x v="4"/>
    <x v="16"/>
    <n v="1"/>
    <n v="216.13"/>
    <n v="0.02"/>
    <n v="211.81"/>
    <n v="216.13"/>
    <n v="4.3199999999999932"/>
    <n v="211.81"/>
    <s v="UPI"/>
    <x v="0"/>
    <x v="0"/>
    <x v="2"/>
  </r>
  <r>
    <x v="570"/>
    <x v="15"/>
    <s v="Maharashtra"/>
    <x v="3"/>
    <x v="0"/>
    <x v="0"/>
    <n v="4"/>
    <n v="3316.33"/>
    <n v="0.22"/>
    <n v="10346.950000000001"/>
    <n v="13265.32"/>
    <n v="2918.369999999999"/>
    <n v="10346.950000000001"/>
    <s v="COD"/>
    <x v="0"/>
    <x v="0"/>
    <x v="1"/>
  </r>
  <r>
    <x v="571"/>
    <x v="162"/>
    <s v="Karnataka"/>
    <x v="1"/>
    <x v="3"/>
    <x v="9"/>
    <n v="1"/>
    <n v="3230.02"/>
    <n v="0.23"/>
    <n v="2487.12"/>
    <n v="3230.02"/>
    <n v="742.90000000000009"/>
    <n v="2487.12"/>
    <s v="Net Banking"/>
    <x v="1"/>
    <x v="1"/>
    <x v="0"/>
  </r>
  <r>
    <x v="572"/>
    <x v="71"/>
    <s v="Delhi"/>
    <x v="2"/>
    <x v="4"/>
    <x v="17"/>
    <n v="1"/>
    <n v="1975.72"/>
    <n v="0.08"/>
    <n v="1817.66"/>
    <n v="1975.72"/>
    <n v="158.05999999999995"/>
    <n v="1817.66"/>
    <s v="Credit Card"/>
    <x v="2"/>
    <x v="2"/>
    <x v="2"/>
  </r>
  <r>
    <x v="573"/>
    <x v="100"/>
    <s v="Tamil Nadu"/>
    <x v="0"/>
    <x v="4"/>
    <x v="16"/>
    <n v="2"/>
    <n v="3090.48"/>
    <n v="0.04"/>
    <n v="5933.72"/>
    <n v="6180.96"/>
    <n v="247.23999999999978"/>
    <n v="5933.72"/>
    <s v="Credit Card"/>
    <x v="2"/>
    <x v="1"/>
    <x v="0"/>
  </r>
  <r>
    <x v="574"/>
    <x v="54"/>
    <s v="Gujarat"/>
    <x v="2"/>
    <x v="2"/>
    <x v="11"/>
    <n v="3"/>
    <n v="606.11"/>
    <n v="0.02"/>
    <n v="1781.96"/>
    <n v="1818.33"/>
    <n v="36.369999999999891"/>
    <n v="1781.96"/>
    <s v="Credit Card"/>
    <x v="2"/>
    <x v="0"/>
    <x v="3"/>
  </r>
  <r>
    <x v="575"/>
    <x v="176"/>
    <s v="Delhi"/>
    <x v="0"/>
    <x v="0"/>
    <x v="3"/>
    <n v="4"/>
    <n v="1405.54"/>
    <n v="0.18"/>
    <n v="4610.17"/>
    <n v="5622.16"/>
    <n v="1011.9899999999998"/>
    <n v="4610.17"/>
    <s v="Credit Card"/>
    <x v="0"/>
    <x v="1"/>
    <x v="0"/>
  </r>
  <r>
    <x v="576"/>
    <x v="101"/>
    <s v="Tamil Nadu"/>
    <x v="1"/>
    <x v="2"/>
    <x v="5"/>
    <n v="1"/>
    <n v="2746.63"/>
    <n v="0"/>
    <n v="2746.63"/>
    <n v="2746.63"/>
    <n v="0"/>
    <n v="2746.63"/>
    <s v="Net Banking"/>
    <x v="1"/>
    <x v="0"/>
    <x v="0"/>
  </r>
  <r>
    <x v="577"/>
    <x v="51"/>
    <s v="Karnataka"/>
    <x v="2"/>
    <x v="1"/>
    <x v="1"/>
    <n v="1"/>
    <n v="3198.14"/>
    <n v="0.24"/>
    <n v="2430.59"/>
    <n v="3198.14"/>
    <n v="767.54999999999973"/>
    <n v="2430.59"/>
    <s v="UPI"/>
    <x v="2"/>
    <x v="2"/>
    <x v="0"/>
  </r>
  <r>
    <x v="578"/>
    <x v="47"/>
    <s v="Tamil Nadu"/>
    <x v="3"/>
    <x v="4"/>
    <x v="19"/>
    <n v="2"/>
    <n v="965.43"/>
    <n v="0.01"/>
    <n v="1911.55"/>
    <n v="1930.86"/>
    <n v="19.309999999999945"/>
    <n v="1911.55"/>
    <s v="UPI"/>
    <x v="1"/>
    <x v="1"/>
    <x v="0"/>
  </r>
  <r>
    <x v="579"/>
    <x v="132"/>
    <s v="Karnataka"/>
    <x v="0"/>
    <x v="2"/>
    <x v="7"/>
    <n v="4"/>
    <n v="3703.09"/>
    <n v="0.03"/>
    <n v="14367.99"/>
    <n v="14812.36"/>
    <n v="444.3700000000008"/>
    <n v="14367.99"/>
    <s v="Net Banking"/>
    <x v="0"/>
    <x v="2"/>
    <x v="0"/>
  </r>
  <r>
    <x v="580"/>
    <x v="61"/>
    <s v="Tamil Nadu"/>
    <x v="0"/>
    <x v="1"/>
    <x v="10"/>
    <n v="5"/>
    <n v="3252.7"/>
    <n v="0.12"/>
    <n v="14311.88"/>
    <n v="16263.5"/>
    <n v="1951.6200000000008"/>
    <n v="14311.88"/>
    <s v="Net Banking"/>
    <x v="0"/>
    <x v="1"/>
    <x v="0"/>
  </r>
  <r>
    <x v="581"/>
    <x v="102"/>
    <s v="Maharashtra"/>
    <x v="3"/>
    <x v="0"/>
    <x v="2"/>
    <n v="2"/>
    <n v="4054.81"/>
    <n v="0.17"/>
    <n v="6730.98"/>
    <n v="8109.62"/>
    <n v="1378.6400000000003"/>
    <n v="6730.98"/>
    <s v="Net Banking"/>
    <x v="0"/>
    <x v="1"/>
    <x v="0"/>
  </r>
  <r>
    <x v="582"/>
    <x v="75"/>
    <s v="Maharashtra"/>
    <x v="3"/>
    <x v="3"/>
    <x v="8"/>
    <n v="1"/>
    <n v="2408.98"/>
    <n v="0.23"/>
    <n v="1854.91"/>
    <n v="2408.98"/>
    <n v="554.06999999999994"/>
    <n v="1854.91"/>
    <s v="Debit Card"/>
    <x v="2"/>
    <x v="2"/>
    <x v="0"/>
  </r>
  <r>
    <x v="583"/>
    <x v="177"/>
    <s v="Delhi"/>
    <x v="0"/>
    <x v="3"/>
    <x v="8"/>
    <n v="1"/>
    <n v="2335.3000000000002"/>
    <n v="0.04"/>
    <n v="2241.89"/>
    <n v="2335.3000000000002"/>
    <n v="93.410000000000309"/>
    <n v="2241.89"/>
    <s v="Credit Card"/>
    <x v="2"/>
    <x v="0"/>
    <x v="3"/>
  </r>
  <r>
    <x v="584"/>
    <x v="60"/>
    <s v="Tamil Nadu"/>
    <x v="1"/>
    <x v="0"/>
    <x v="0"/>
    <n v="2"/>
    <n v="409.24"/>
    <n v="0.05"/>
    <n v="777.56"/>
    <n v="818.48"/>
    <n v="40.920000000000073"/>
    <n v="777.56"/>
    <s v="COD"/>
    <x v="1"/>
    <x v="1"/>
    <x v="0"/>
  </r>
  <r>
    <x v="585"/>
    <x v="169"/>
    <s v="Karnataka"/>
    <x v="3"/>
    <x v="1"/>
    <x v="10"/>
    <n v="5"/>
    <n v="949.89"/>
    <n v="0.02"/>
    <n v="4654.46"/>
    <n v="4749.45"/>
    <n v="94.989999999999782"/>
    <n v="4654.46"/>
    <s v="Debit Card"/>
    <x v="0"/>
    <x v="1"/>
    <x v="3"/>
  </r>
  <r>
    <x v="586"/>
    <x v="102"/>
    <s v="Gujarat"/>
    <x v="1"/>
    <x v="3"/>
    <x v="9"/>
    <n v="2"/>
    <n v="4635.8100000000004"/>
    <n v="0.01"/>
    <n v="9178.9"/>
    <n v="9271.6200000000008"/>
    <n v="92.720000000001164"/>
    <n v="9178.9"/>
    <s v="Debit Card"/>
    <x v="2"/>
    <x v="2"/>
    <x v="3"/>
  </r>
  <r>
    <x v="587"/>
    <x v="43"/>
    <s v="Maharashtra"/>
    <x v="2"/>
    <x v="0"/>
    <x v="3"/>
    <n v="2"/>
    <n v="4638.07"/>
    <n v="0.18"/>
    <n v="7606.43"/>
    <n v="9276.14"/>
    <n v="1669.7099999999991"/>
    <n v="7606.43"/>
    <s v="Credit Card"/>
    <x v="0"/>
    <x v="0"/>
    <x v="0"/>
  </r>
  <r>
    <x v="588"/>
    <x v="73"/>
    <s v="Delhi"/>
    <x v="0"/>
    <x v="2"/>
    <x v="11"/>
    <n v="3"/>
    <n v="2663.13"/>
    <n v="0.1"/>
    <n v="7190.45"/>
    <n v="7989.39"/>
    <n v="798.94000000000051"/>
    <n v="7190.45"/>
    <s v="Debit Card"/>
    <x v="1"/>
    <x v="2"/>
    <x v="0"/>
  </r>
  <r>
    <x v="589"/>
    <x v="76"/>
    <s v="Karnataka"/>
    <x v="0"/>
    <x v="2"/>
    <x v="7"/>
    <n v="1"/>
    <n v="2832.78"/>
    <n v="0.05"/>
    <n v="2691.14"/>
    <n v="2832.78"/>
    <n v="141.64000000000033"/>
    <n v="2691.14"/>
    <s v="UPI"/>
    <x v="2"/>
    <x v="0"/>
    <x v="0"/>
  </r>
  <r>
    <x v="590"/>
    <x v="115"/>
    <s v="Tamil Nadu"/>
    <x v="1"/>
    <x v="1"/>
    <x v="10"/>
    <n v="1"/>
    <n v="1049.22"/>
    <n v="0.2"/>
    <n v="839.38"/>
    <n v="1049.22"/>
    <n v="209.84000000000003"/>
    <n v="839.38"/>
    <s v="Debit Card"/>
    <x v="2"/>
    <x v="0"/>
    <x v="0"/>
  </r>
  <r>
    <x v="591"/>
    <x v="150"/>
    <s v="Maharashtra"/>
    <x v="0"/>
    <x v="3"/>
    <x v="8"/>
    <n v="2"/>
    <n v="2229.89"/>
    <n v="0.08"/>
    <n v="4103"/>
    <n v="4459.78"/>
    <n v="356.77999999999975"/>
    <n v="4103"/>
    <s v="UPI"/>
    <x v="2"/>
    <x v="1"/>
    <x v="0"/>
  </r>
  <r>
    <x v="592"/>
    <x v="8"/>
    <s v="Delhi"/>
    <x v="1"/>
    <x v="0"/>
    <x v="4"/>
    <n v="5"/>
    <n v="668.72"/>
    <n v="0.22"/>
    <n v="2608.0100000000002"/>
    <n v="3343.6000000000004"/>
    <n v="735.59000000000015"/>
    <n v="2608.0100000000002"/>
    <s v="Credit Card"/>
    <x v="2"/>
    <x v="0"/>
    <x v="0"/>
  </r>
  <r>
    <x v="593"/>
    <x v="72"/>
    <s v="Delhi"/>
    <x v="1"/>
    <x v="4"/>
    <x v="18"/>
    <n v="1"/>
    <n v="1698.05"/>
    <n v="0.02"/>
    <n v="1664.09"/>
    <n v="1698.05"/>
    <n v="33.960000000000036"/>
    <n v="1664.09"/>
    <s v="UPI"/>
    <x v="0"/>
    <x v="0"/>
    <x v="1"/>
  </r>
  <r>
    <x v="594"/>
    <x v="127"/>
    <s v="Maharashtra"/>
    <x v="1"/>
    <x v="2"/>
    <x v="11"/>
    <n v="4"/>
    <n v="366.26"/>
    <n v="0.11"/>
    <n v="1303.8900000000001"/>
    <n v="1465.04"/>
    <n v="161.14999999999986"/>
    <n v="1303.8900000000001"/>
    <s v="Net Banking"/>
    <x v="1"/>
    <x v="2"/>
    <x v="0"/>
  </r>
  <r>
    <x v="595"/>
    <x v="22"/>
    <s v="Tamil Nadu"/>
    <x v="0"/>
    <x v="4"/>
    <x v="16"/>
    <n v="3"/>
    <n v="4880.22"/>
    <n v="0.05"/>
    <n v="13908.63"/>
    <n v="14640.66"/>
    <n v="732.03000000000065"/>
    <n v="13908.63"/>
    <s v="Debit Card"/>
    <x v="1"/>
    <x v="2"/>
    <x v="0"/>
  </r>
  <r>
    <x v="596"/>
    <x v="59"/>
    <s v="Delhi"/>
    <x v="2"/>
    <x v="0"/>
    <x v="2"/>
    <n v="4"/>
    <n v="2149.3000000000002"/>
    <n v="0.19"/>
    <n v="6963.73"/>
    <n v="8597.2000000000007"/>
    <n v="1633.4700000000012"/>
    <n v="6963.73"/>
    <s v="Credit Card"/>
    <x v="2"/>
    <x v="2"/>
    <x v="0"/>
  </r>
  <r>
    <x v="597"/>
    <x v="124"/>
    <s v="Gujarat"/>
    <x v="1"/>
    <x v="1"/>
    <x v="10"/>
    <n v="1"/>
    <n v="2117.31"/>
    <n v="0.13"/>
    <n v="1842.06"/>
    <n v="2117.31"/>
    <n v="275.25"/>
    <n v="1842.06"/>
    <s v="COD"/>
    <x v="0"/>
    <x v="2"/>
    <x v="3"/>
  </r>
  <r>
    <x v="598"/>
    <x v="157"/>
    <s v="Tamil Nadu"/>
    <x v="3"/>
    <x v="4"/>
    <x v="19"/>
    <n v="3"/>
    <n v="2227.8200000000002"/>
    <n v="0.06"/>
    <n v="6282.45"/>
    <n v="6683.4600000000009"/>
    <n v="401.01000000000113"/>
    <n v="6282.45"/>
    <s v="Debit Card"/>
    <x v="0"/>
    <x v="0"/>
    <x v="1"/>
  </r>
  <r>
    <x v="599"/>
    <x v="58"/>
    <s v="Maharashtra"/>
    <x v="0"/>
    <x v="0"/>
    <x v="3"/>
    <n v="5"/>
    <n v="264.74"/>
    <n v="0.13"/>
    <n v="1151.6199999999999"/>
    <n v="1323.7"/>
    <n v="172.08000000000015"/>
    <n v="1151.6199999999999"/>
    <s v="Credit Card"/>
    <x v="2"/>
    <x v="1"/>
    <x v="0"/>
  </r>
  <r>
    <x v="600"/>
    <x v="99"/>
    <s v="Gujarat"/>
    <x v="3"/>
    <x v="3"/>
    <x v="8"/>
    <n v="4"/>
    <n v="4754.68"/>
    <n v="0.03"/>
    <n v="18448.16"/>
    <n v="19018.72"/>
    <n v="570.56000000000131"/>
    <n v="18448.16"/>
    <s v="Credit Card"/>
    <x v="1"/>
    <x v="1"/>
    <x v="0"/>
  </r>
  <r>
    <x v="601"/>
    <x v="38"/>
    <s v="Tamil Nadu"/>
    <x v="1"/>
    <x v="0"/>
    <x v="0"/>
    <n v="4"/>
    <n v="4303.82"/>
    <n v="0.19"/>
    <n v="13944.38"/>
    <n v="17215.28"/>
    <n v="3270.8999999999996"/>
    <n v="13944.38"/>
    <s v="UPI"/>
    <x v="0"/>
    <x v="2"/>
    <x v="0"/>
  </r>
  <r>
    <x v="602"/>
    <x v="52"/>
    <s v="Delhi"/>
    <x v="0"/>
    <x v="3"/>
    <x v="15"/>
    <n v="4"/>
    <n v="3549.12"/>
    <n v="0"/>
    <n v="14196.48"/>
    <n v="14196.48"/>
    <n v="0"/>
    <n v="14196.48"/>
    <s v="UPI"/>
    <x v="1"/>
    <x v="0"/>
    <x v="0"/>
  </r>
  <r>
    <x v="603"/>
    <x v="131"/>
    <s v="Karnataka"/>
    <x v="0"/>
    <x v="4"/>
    <x v="19"/>
    <n v="5"/>
    <n v="2757.93"/>
    <n v="0.2"/>
    <n v="11031.72"/>
    <n v="13789.65"/>
    <n v="2757.9300000000003"/>
    <n v="11031.72"/>
    <s v="Net Banking"/>
    <x v="2"/>
    <x v="0"/>
    <x v="0"/>
  </r>
  <r>
    <x v="604"/>
    <x v="19"/>
    <s v="Gujarat"/>
    <x v="2"/>
    <x v="4"/>
    <x v="19"/>
    <n v="1"/>
    <n v="1976.48"/>
    <n v="0.12"/>
    <n v="1739.3"/>
    <n v="1976.48"/>
    <n v="237.18000000000006"/>
    <n v="1739.3"/>
    <s v="UPI"/>
    <x v="0"/>
    <x v="2"/>
    <x v="0"/>
  </r>
  <r>
    <x v="605"/>
    <x v="60"/>
    <s v="Gujarat"/>
    <x v="3"/>
    <x v="1"/>
    <x v="13"/>
    <n v="3"/>
    <n v="1269.3"/>
    <n v="0.03"/>
    <n v="3693.66"/>
    <n v="3807.8999999999996"/>
    <n v="114.23999999999978"/>
    <n v="3693.66"/>
    <s v="Debit Card"/>
    <x v="0"/>
    <x v="1"/>
    <x v="3"/>
  </r>
  <r>
    <x v="606"/>
    <x v="34"/>
    <s v="Karnataka"/>
    <x v="1"/>
    <x v="3"/>
    <x v="9"/>
    <n v="4"/>
    <n v="1458.01"/>
    <n v="0.02"/>
    <n v="5715.4"/>
    <n v="5832.04"/>
    <n v="116.64000000000033"/>
    <n v="5715.4"/>
    <s v="UPI"/>
    <x v="1"/>
    <x v="1"/>
    <x v="0"/>
  </r>
  <r>
    <x v="607"/>
    <x v="158"/>
    <s v="Tamil Nadu"/>
    <x v="0"/>
    <x v="1"/>
    <x v="13"/>
    <n v="5"/>
    <n v="4507.3100000000004"/>
    <n v="0.11"/>
    <n v="20057.53"/>
    <n v="22536.550000000003"/>
    <n v="2479.0200000000041"/>
    <n v="20057.53"/>
    <s v="COD"/>
    <x v="1"/>
    <x v="1"/>
    <x v="0"/>
  </r>
  <r>
    <x v="608"/>
    <x v="29"/>
    <s v="Maharashtra"/>
    <x v="2"/>
    <x v="2"/>
    <x v="7"/>
    <n v="3"/>
    <n v="4795.46"/>
    <n v="0.02"/>
    <n v="14098.65"/>
    <n v="14386.380000000001"/>
    <n v="287.73000000000138"/>
    <n v="14098.65"/>
    <s v="Net Banking"/>
    <x v="0"/>
    <x v="2"/>
    <x v="0"/>
  </r>
  <r>
    <x v="609"/>
    <x v="122"/>
    <s v="Delhi"/>
    <x v="3"/>
    <x v="3"/>
    <x v="15"/>
    <n v="1"/>
    <n v="1536.53"/>
    <n v="0.24"/>
    <n v="1167.76"/>
    <n v="1536.53"/>
    <n v="368.77"/>
    <n v="1167.76"/>
    <s v="Debit Card"/>
    <x v="1"/>
    <x v="0"/>
    <x v="0"/>
  </r>
  <r>
    <x v="610"/>
    <x v="59"/>
    <s v="Maharashtra"/>
    <x v="2"/>
    <x v="2"/>
    <x v="5"/>
    <n v="1"/>
    <n v="207.98"/>
    <n v="0.2"/>
    <n v="166.38"/>
    <n v="207.98"/>
    <n v="41.599999999999994"/>
    <n v="166.38"/>
    <s v="UPI"/>
    <x v="0"/>
    <x v="0"/>
    <x v="0"/>
  </r>
  <r>
    <x v="611"/>
    <x v="178"/>
    <s v="Tamil Nadu"/>
    <x v="3"/>
    <x v="4"/>
    <x v="17"/>
    <n v="5"/>
    <n v="4225.3500000000004"/>
    <n v="0.11"/>
    <n v="18802.810000000001"/>
    <n v="21126.75"/>
    <n v="2323.9399999999987"/>
    <n v="18802.810000000001"/>
    <s v="COD"/>
    <x v="1"/>
    <x v="1"/>
    <x v="1"/>
  </r>
  <r>
    <x v="612"/>
    <x v="2"/>
    <s v="Karnataka"/>
    <x v="3"/>
    <x v="4"/>
    <x v="16"/>
    <n v="3"/>
    <n v="4856.55"/>
    <n v="0.19"/>
    <n v="11801.42"/>
    <n v="14569.650000000001"/>
    <n v="2768.2300000000014"/>
    <n v="11801.42"/>
    <s v="Debit Card"/>
    <x v="2"/>
    <x v="2"/>
    <x v="0"/>
  </r>
  <r>
    <x v="613"/>
    <x v="122"/>
    <s v="Gujarat"/>
    <x v="3"/>
    <x v="2"/>
    <x v="11"/>
    <n v="5"/>
    <n v="1497.71"/>
    <n v="0.24"/>
    <n v="5691.3"/>
    <n v="7488.55"/>
    <n v="1797.25"/>
    <n v="5691.3"/>
    <s v="Debit Card"/>
    <x v="1"/>
    <x v="0"/>
    <x v="0"/>
  </r>
  <r>
    <x v="614"/>
    <x v="3"/>
    <s v="Karnataka"/>
    <x v="0"/>
    <x v="0"/>
    <x v="0"/>
    <n v="4"/>
    <n v="1376"/>
    <n v="0.05"/>
    <n v="5228.8"/>
    <n v="5504"/>
    <n v="275.19999999999982"/>
    <n v="5228.8"/>
    <s v="COD"/>
    <x v="0"/>
    <x v="0"/>
    <x v="0"/>
  </r>
  <r>
    <x v="615"/>
    <x v="52"/>
    <s v="Karnataka"/>
    <x v="1"/>
    <x v="4"/>
    <x v="16"/>
    <n v="2"/>
    <n v="2714.85"/>
    <n v="0.03"/>
    <n v="5266.81"/>
    <n v="5429.7"/>
    <n v="162.88999999999942"/>
    <n v="5266.81"/>
    <s v="Net Banking"/>
    <x v="1"/>
    <x v="2"/>
    <x v="1"/>
  </r>
  <r>
    <x v="616"/>
    <x v="148"/>
    <s v="Karnataka"/>
    <x v="2"/>
    <x v="3"/>
    <x v="15"/>
    <n v="5"/>
    <n v="4880.45"/>
    <n v="0.08"/>
    <n v="22450.07"/>
    <n v="24402.25"/>
    <n v="1952.1800000000003"/>
    <n v="22450.07"/>
    <s v="Debit Card"/>
    <x v="0"/>
    <x v="0"/>
    <x v="0"/>
  </r>
  <r>
    <x v="617"/>
    <x v="127"/>
    <s v="Gujarat"/>
    <x v="0"/>
    <x v="4"/>
    <x v="16"/>
    <n v="1"/>
    <n v="3685.04"/>
    <n v="0.23"/>
    <n v="2837.48"/>
    <n v="3685.04"/>
    <n v="847.56"/>
    <n v="2837.48"/>
    <s v="Net Banking"/>
    <x v="2"/>
    <x v="2"/>
    <x v="0"/>
  </r>
  <r>
    <x v="618"/>
    <x v="131"/>
    <s v="Tamil Nadu"/>
    <x v="3"/>
    <x v="2"/>
    <x v="11"/>
    <n v="3"/>
    <n v="369.66"/>
    <n v="0.16"/>
    <n v="931.54"/>
    <n v="1108.98"/>
    <n v="177.44000000000005"/>
    <n v="931.54"/>
    <s v="UPI"/>
    <x v="0"/>
    <x v="0"/>
    <x v="3"/>
  </r>
  <r>
    <x v="619"/>
    <x v="155"/>
    <s v="Maharashtra"/>
    <x v="1"/>
    <x v="4"/>
    <x v="16"/>
    <n v="4"/>
    <n v="3417.61"/>
    <n v="0.24"/>
    <n v="10389.530000000001"/>
    <n v="13670.44"/>
    <n v="3280.91"/>
    <n v="10389.530000000001"/>
    <s v="Credit Card"/>
    <x v="1"/>
    <x v="0"/>
    <x v="0"/>
  </r>
  <r>
    <x v="620"/>
    <x v="158"/>
    <s v="Karnataka"/>
    <x v="2"/>
    <x v="4"/>
    <x v="19"/>
    <n v="4"/>
    <n v="1911.19"/>
    <n v="0.09"/>
    <n v="6956.73"/>
    <n v="7644.76"/>
    <n v="688.03000000000065"/>
    <n v="6956.73"/>
    <s v="Net Banking"/>
    <x v="0"/>
    <x v="1"/>
    <x v="0"/>
  </r>
  <r>
    <x v="621"/>
    <x v="74"/>
    <s v="Delhi"/>
    <x v="1"/>
    <x v="2"/>
    <x v="7"/>
    <n v="4"/>
    <n v="4038.06"/>
    <n v="7.0000000000000007E-2"/>
    <n v="15021.58"/>
    <n v="16152.24"/>
    <n v="1130.6599999999999"/>
    <n v="15021.58"/>
    <s v="Net Banking"/>
    <x v="1"/>
    <x v="0"/>
    <x v="0"/>
  </r>
  <r>
    <x v="622"/>
    <x v="60"/>
    <s v="Gujarat"/>
    <x v="2"/>
    <x v="2"/>
    <x v="11"/>
    <n v="2"/>
    <n v="1118.1400000000001"/>
    <n v="0.12"/>
    <n v="1967.93"/>
    <n v="2236.2800000000002"/>
    <n v="268.35000000000014"/>
    <n v="1967.93"/>
    <s v="COD"/>
    <x v="0"/>
    <x v="0"/>
    <x v="0"/>
  </r>
  <r>
    <x v="623"/>
    <x v="135"/>
    <s v="Maharashtra"/>
    <x v="3"/>
    <x v="1"/>
    <x v="14"/>
    <n v="3"/>
    <n v="2131.12"/>
    <n v="0.14000000000000001"/>
    <n v="5498.29"/>
    <n v="6393.36"/>
    <n v="895.06999999999971"/>
    <n v="5498.29"/>
    <s v="Credit Card"/>
    <x v="2"/>
    <x v="0"/>
    <x v="0"/>
  </r>
  <r>
    <x v="624"/>
    <x v="29"/>
    <s v="Gujarat"/>
    <x v="1"/>
    <x v="2"/>
    <x v="6"/>
    <n v="3"/>
    <n v="4189.47"/>
    <n v="0.08"/>
    <n v="11562.94"/>
    <n v="12568.41"/>
    <n v="1005.4699999999993"/>
    <n v="11562.94"/>
    <s v="Net Banking"/>
    <x v="0"/>
    <x v="0"/>
    <x v="0"/>
  </r>
  <r>
    <x v="625"/>
    <x v="115"/>
    <s v="Karnataka"/>
    <x v="1"/>
    <x v="0"/>
    <x v="4"/>
    <n v="4"/>
    <n v="708.47"/>
    <n v="0.17"/>
    <n v="2352.12"/>
    <n v="2833.88"/>
    <n v="481.76000000000022"/>
    <n v="2352.12"/>
    <s v="UPI"/>
    <x v="1"/>
    <x v="1"/>
    <x v="0"/>
  </r>
  <r>
    <x v="626"/>
    <x v="46"/>
    <s v="Maharashtra"/>
    <x v="1"/>
    <x v="3"/>
    <x v="8"/>
    <n v="1"/>
    <n v="3034.57"/>
    <n v="0.09"/>
    <n v="2761.46"/>
    <n v="3034.57"/>
    <n v="273.11000000000013"/>
    <n v="2761.46"/>
    <s v="UPI"/>
    <x v="2"/>
    <x v="1"/>
    <x v="1"/>
  </r>
  <r>
    <x v="627"/>
    <x v="38"/>
    <s v="Karnataka"/>
    <x v="0"/>
    <x v="2"/>
    <x v="7"/>
    <n v="5"/>
    <n v="185.97"/>
    <n v="0.06"/>
    <n v="874.06"/>
    <n v="929.85"/>
    <n v="55.790000000000077"/>
    <n v="874.06"/>
    <s v="COD"/>
    <x v="1"/>
    <x v="0"/>
    <x v="0"/>
  </r>
  <r>
    <x v="628"/>
    <x v="154"/>
    <s v="Karnataka"/>
    <x v="0"/>
    <x v="2"/>
    <x v="11"/>
    <n v="3"/>
    <n v="1869.7"/>
    <n v="0.16"/>
    <n v="4711.6400000000003"/>
    <n v="5609.1"/>
    <n v="897.46"/>
    <n v="4711.6400000000003"/>
    <s v="Debit Card"/>
    <x v="0"/>
    <x v="1"/>
    <x v="0"/>
  </r>
  <r>
    <x v="629"/>
    <x v="26"/>
    <s v="Gujarat"/>
    <x v="2"/>
    <x v="1"/>
    <x v="13"/>
    <n v="2"/>
    <n v="3846.98"/>
    <n v="0.15"/>
    <n v="6539.87"/>
    <n v="7693.96"/>
    <n v="1154.0900000000001"/>
    <n v="6539.87"/>
    <s v="Debit Card"/>
    <x v="1"/>
    <x v="2"/>
    <x v="1"/>
  </r>
  <r>
    <x v="630"/>
    <x v="123"/>
    <s v="Karnataka"/>
    <x v="2"/>
    <x v="4"/>
    <x v="17"/>
    <n v="5"/>
    <n v="1822.98"/>
    <n v="0.04"/>
    <n v="8750.2999999999993"/>
    <n v="9114.9"/>
    <n v="364.60000000000036"/>
    <n v="8750.2999999999993"/>
    <s v="Credit Card"/>
    <x v="1"/>
    <x v="2"/>
    <x v="0"/>
  </r>
  <r>
    <x v="631"/>
    <x v="112"/>
    <s v="Karnataka"/>
    <x v="0"/>
    <x v="2"/>
    <x v="5"/>
    <n v="2"/>
    <n v="857.32"/>
    <n v="0.06"/>
    <n v="1611.76"/>
    <n v="1714.64"/>
    <n v="102.88000000000011"/>
    <n v="1611.76"/>
    <s v="Debit Card"/>
    <x v="0"/>
    <x v="2"/>
    <x v="0"/>
  </r>
  <r>
    <x v="632"/>
    <x v="124"/>
    <s v="Delhi"/>
    <x v="2"/>
    <x v="0"/>
    <x v="0"/>
    <n v="3"/>
    <n v="1626.71"/>
    <n v="0.09"/>
    <n v="4440.92"/>
    <n v="4880.13"/>
    <n v="439.21000000000004"/>
    <n v="4440.92"/>
    <s v="Credit Card"/>
    <x v="2"/>
    <x v="1"/>
    <x v="0"/>
  </r>
  <r>
    <x v="633"/>
    <x v="169"/>
    <s v="Maharashtra"/>
    <x v="3"/>
    <x v="4"/>
    <x v="19"/>
    <n v="2"/>
    <n v="3471.43"/>
    <n v="0.08"/>
    <n v="6387.43"/>
    <n v="6942.86"/>
    <n v="555.42999999999938"/>
    <n v="6387.43"/>
    <s v="Debit Card"/>
    <x v="0"/>
    <x v="2"/>
    <x v="2"/>
  </r>
  <r>
    <x v="634"/>
    <x v="68"/>
    <s v="Maharashtra"/>
    <x v="0"/>
    <x v="2"/>
    <x v="7"/>
    <n v="4"/>
    <n v="308.33"/>
    <n v="0.03"/>
    <n v="1196.32"/>
    <n v="1233.32"/>
    <n v="37"/>
    <n v="1196.32"/>
    <s v="Credit Card"/>
    <x v="2"/>
    <x v="0"/>
    <x v="0"/>
  </r>
  <r>
    <x v="635"/>
    <x v="153"/>
    <s v="Maharashtra"/>
    <x v="3"/>
    <x v="4"/>
    <x v="19"/>
    <n v="1"/>
    <n v="3797.3"/>
    <n v="0.2"/>
    <n v="3037.84"/>
    <n v="3797.3"/>
    <n v="759.46"/>
    <n v="3037.84"/>
    <s v="UPI"/>
    <x v="1"/>
    <x v="0"/>
    <x v="0"/>
  </r>
  <r>
    <x v="636"/>
    <x v="6"/>
    <s v="Karnataka"/>
    <x v="2"/>
    <x v="3"/>
    <x v="12"/>
    <n v="2"/>
    <n v="4244.72"/>
    <n v="0.24"/>
    <n v="6451.97"/>
    <n v="8489.44"/>
    <n v="2037.4700000000003"/>
    <n v="6451.97"/>
    <s v="Credit Card"/>
    <x v="0"/>
    <x v="0"/>
    <x v="0"/>
  </r>
  <r>
    <x v="637"/>
    <x v="23"/>
    <s v="Gujarat"/>
    <x v="3"/>
    <x v="1"/>
    <x v="10"/>
    <n v="1"/>
    <n v="4115.97"/>
    <n v="0.19"/>
    <n v="3333.94"/>
    <n v="4115.97"/>
    <n v="782.0300000000002"/>
    <n v="3333.94"/>
    <s v="COD"/>
    <x v="0"/>
    <x v="0"/>
    <x v="0"/>
  </r>
  <r>
    <x v="638"/>
    <x v="136"/>
    <s v="Gujarat"/>
    <x v="1"/>
    <x v="4"/>
    <x v="16"/>
    <n v="1"/>
    <n v="4628.74"/>
    <n v="0.23"/>
    <n v="3564.13"/>
    <n v="4628.74"/>
    <n v="1064.6099999999997"/>
    <n v="3564.13"/>
    <s v="Credit Card"/>
    <x v="1"/>
    <x v="0"/>
    <x v="0"/>
  </r>
  <r>
    <x v="639"/>
    <x v="128"/>
    <s v="Tamil Nadu"/>
    <x v="3"/>
    <x v="1"/>
    <x v="10"/>
    <n v="3"/>
    <n v="4908.38"/>
    <n v="0.11"/>
    <n v="13105.37"/>
    <n v="14725.14"/>
    <n v="1619.7699999999986"/>
    <n v="13105.37"/>
    <s v="Credit Card"/>
    <x v="0"/>
    <x v="0"/>
    <x v="0"/>
  </r>
  <r>
    <x v="640"/>
    <x v="49"/>
    <s v="Tamil Nadu"/>
    <x v="0"/>
    <x v="4"/>
    <x v="19"/>
    <n v="2"/>
    <n v="2529.5"/>
    <n v="0.09"/>
    <n v="4603.6899999999996"/>
    <n v="5059"/>
    <n v="455.3100000000004"/>
    <n v="4603.6899999999996"/>
    <s v="Credit Card"/>
    <x v="1"/>
    <x v="1"/>
    <x v="0"/>
  </r>
  <r>
    <x v="641"/>
    <x v="173"/>
    <s v="Tamil Nadu"/>
    <x v="3"/>
    <x v="2"/>
    <x v="7"/>
    <n v="5"/>
    <n v="3707.25"/>
    <n v="0.17"/>
    <n v="15385.09"/>
    <n v="18536.25"/>
    <n v="3151.16"/>
    <n v="15385.09"/>
    <s v="UPI"/>
    <x v="2"/>
    <x v="1"/>
    <x v="0"/>
  </r>
  <r>
    <x v="642"/>
    <x v="132"/>
    <s v="Delhi"/>
    <x v="0"/>
    <x v="4"/>
    <x v="18"/>
    <n v="3"/>
    <n v="978.56"/>
    <n v="0.25"/>
    <n v="2201.7600000000002"/>
    <n v="2935.68"/>
    <n v="733.91999999999962"/>
    <n v="2201.7600000000002"/>
    <s v="Credit Card"/>
    <x v="2"/>
    <x v="1"/>
    <x v="0"/>
  </r>
  <r>
    <x v="643"/>
    <x v="87"/>
    <s v="Maharashtra"/>
    <x v="3"/>
    <x v="1"/>
    <x v="13"/>
    <n v="4"/>
    <n v="3505.68"/>
    <n v="0.24"/>
    <n v="10657.27"/>
    <n v="14022.72"/>
    <n v="3365.4499999999989"/>
    <n v="10657.27"/>
    <s v="Debit Card"/>
    <x v="2"/>
    <x v="0"/>
    <x v="0"/>
  </r>
  <r>
    <x v="644"/>
    <x v="177"/>
    <s v="Delhi"/>
    <x v="2"/>
    <x v="3"/>
    <x v="9"/>
    <n v="1"/>
    <n v="1241.06"/>
    <n v="0.11"/>
    <n v="1104.54"/>
    <n v="1241.06"/>
    <n v="136.51999999999998"/>
    <n v="1104.54"/>
    <s v="COD"/>
    <x v="2"/>
    <x v="1"/>
    <x v="3"/>
  </r>
  <r>
    <x v="645"/>
    <x v="124"/>
    <s v="Tamil Nadu"/>
    <x v="2"/>
    <x v="1"/>
    <x v="1"/>
    <n v="5"/>
    <n v="4755.68"/>
    <n v="0.25"/>
    <n v="17833.8"/>
    <n v="23778.400000000001"/>
    <n v="5944.6000000000022"/>
    <n v="17833.8"/>
    <s v="UPI"/>
    <x v="2"/>
    <x v="0"/>
    <x v="0"/>
  </r>
  <r>
    <x v="646"/>
    <x v="66"/>
    <s v="Maharashtra"/>
    <x v="0"/>
    <x v="2"/>
    <x v="7"/>
    <n v="4"/>
    <n v="1231.03"/>
    <n v="0.24"/>
    <n v="3742.33"/>
    <n v="4924.12"/>
    <n v="1181.79"/>
    <n v="3742.33"/>
    <s v="UPI"/>
    <x v="2"/>
    <x v="2"/>
    <x v="0"/>
  </r>
  <r>
    <x v="647"/>
    <x v="6"/>
    <s v="Maharashtra"/>
    <x v="0"/>
    <x v="0"/>
    <x v="3"/>
    <n v="5"/>
    <n v="3428.1"/>
    <n v="0.04"/>
    <n v="16454.88"/>
    <n v="17140.5"/>
    <n v="685.61999999999898"/>
    <n v="16454.88"/>
    <s v="Debit Card"/>
    <x v="2"/>
    <x v="0"/>
    <x v="3"/>
  </r>
  <r>
    <x v="648"/>
    <x v="2"/>
    <s v="Tamil Nadu"/>
    <x v="0"/>
    <x v="1"/>
    <x v="14"/>
    <n v="4"/>
    <n v="2502.23"/>
    <n v="7.0000000000000007E-2"/>
    <n v="9308.2999999999993"/>
    <n v="10008.92"/>
    <n v="700.6200000000008"/>
    <n v="9308.2999999999993"/>
    <s v="Debit Card"/>
    <x v="2"/>
    <x v="1"/>
    <x v="2"/>
  </r>
  <r>
    <x v="649"/>
    <x v="65"/>
    <s v="Maharashtra"/>
    <x v="0"/>
    <x v="0"/>
    <x v="3"/>
    <n v="3"/>
    <n v="4279.08"/>
    <n v="0.11"/>
    <n v="11425.14"/>
    <n v="12837.24"/>
    <n v="1412.1000000000004"/>
    <n v="11425.14"/>
    <s v="Net Banking"/>
    <x v="2"/>
    <x v="2"/>
    <x v="0"/>
  </r>
  <r>
    <x v="650"/>
    <x v="63"/>
    <s v="Tamil Nadu"/>
    <x v="1"/>
    <x v="4"/>
    <x v="16"/>
    <n v="3"/>
    <n v="3607.04"/>
    <n v="0.12"/>
    <n v="9522.59"/>
    <n v="10821.119999999999"/>
    <n v="1298.5299999999988"/>
    <n v="9522.59"/>
    <s v="Net Banking"/>
    <x v="0"/>
    <x v="2"/>
    <x v="0"/>
  </r>
  <r>
    <x v="651"/>
    <x v="89"/>
    <s v="Tamil Nadu"/>
    <x v="1"/>
    <x v="1"/>
    <x v="14"/>
    <n v="5"/>
    <n v="373.11"/>
    <n v="7.0000000000000007E-2"/>
    <n v="1734.96"/>
    <n v="1865.5500000000002"/>
    <n v="130.59000000000015"/>
    <n v="1734.96"/>
    <s v="COD"/>
    <x v="0"/>
    <x v="0"/>
    <x v="0"/>
  </r>
  <r>
    <x v="652"/>
    <x v="179"/>
    <s v="Karnataka"/>
    <x v="0"/>
    <x v="4"/>
    <x v="17"/>
    <n v="5"/>
    <n v="321.08"/>
    <n v="0.21"/>
    <n v="1268.27"/>
    <n v="1605.3999999999999"/>
    <n v="337.12999999999988"/>
    <n v="1268.27"/>
    <s v="Credit Card"/>
    <x v="0"/>
    <x v="1"/>
    <x v="3"/>
  </r>
  <r>
    <x v="653"/>
    <x v="28"/>
    <s v="Maharashtra"/>
    <x v="3"/>
    <x v="4"/>
    <x v="18"/>
    <n v="3"/>
    <n v="2118.46"/>
    <n v="0.01"/>
    <n v="6291.83"/>
    <n v="6355.38"/>
    <n v="63.550000000000182"/>
    <n v="6291.83"/>
    <s v="Net Banking"/>
    <x v="2"/>
    <x v="2"/>
    <x v="0"/>
  </r>
  <r>
    <x v="654"/>
    <x v="60"/>
    <s v="Maharashtra"/>
    <x v="1"/>
    <x v="4"/>
    <x v="19"/>
    <n v="3"/>
    <n v="931.92"/>
    <n v="0.13"/>
    <n v="2432.31"/>
    <n v="2795.7599999999998"/>
    <n v="363.44999999999982"/>
    <n v="2432.31"/>
    <s v="UPI"/>
    <x v="0"/>
    <x v="2"/>
    <x v="0"/>
  </r>
  <r>
    <x v="655"/>
    <x v="64"/>
    <s v="Karnataka"/>
    <x v="1"/>
    <x v="2"/>
    <x v="5"/>
    <n v="4"/>
    <n v="2981.15"/>
    <n v="0.25"/>
    <n v="8943.4500000000007"/>
    <n v="11924.6"/>
    <n v="2981.1499999999996"/>
    <n v="8943.4500000000007"/>
    <s v="Credit Card"/>
    <x v="1"/>
    <x v="1"/>
    <x v="0"/>
  </r>
  <r>
    <x v="656"/>
    <x v="67"/>
    <s v="Maharashtra"/>
    <x v="3"/>
    <x v="0"/>
    <x v="3"/>
    <n v="4"/>
    <n v="2563.5700000000002"/>
    <n v="0.19"/>
    <n v="8305.9699999999993"/>
    <n v="10254.280000000001"/>
    <n v="1948.3100000000013"/>
    <n v="8305.9699999999993"/>
    <s v="Debit Card"/>
    <x v="2"/>
    <x v="1"/>
    <x v="0"/>
  </r>
  <r>
    <x v="657"/>
    <x v="28"/>
    <s v="Delhi"/>
    <x v="2"/>
    <x v="4"/>
    <x v="18"/>
    <n v="1"/>
    <n v="4217.8599999999997"/>
    <n v="0.13"/>
    <n v="3669.54"/>
    <n v="4217.8599999999997"/>
    <n v="548.31999999999971"/>
    <n v="3669.54"/>
    <s v="Net Banking"/>
    <x v="1"/>
    <x v="1"/>
    <x v="0"/>
  </r>
  <r>
    <x v="658"/>
    <x v="72"/>
    <s v="Delhi"/>
    <x v="2"/>
    <x v="1"/>
    <x v="14"/>
    <n v="1"/>
    <n v="3616.76"/>
    <n v="0.14000000000000001"/>
    <n v="3110.41"/>
    <n v="3616.76"/>
    <n v="506.35000000000036"/>
    <n v="3110.41"/>
    <s v="COD"/>
    <x v="1"/>
    <x v="0"/>
    <x v="0"/>
  </r>
  <r>
    <x v="659"/>
    <x v="0"/>
    <s v="Tamil Nadu"/>
    <x v="1"/>
    <x v="1"/>
    <x v="14"/>
    <n v="1"/>
    <n v="3292.53"/>
    <n v="0.08"/>
    <n v="3029.13"/>
    <n v="3292.53"/>
    <n v="263.40000000000009"/>
    <n v="3029.13"/>
    <s v="Debit Card"/>
    <x v="2"/>
    <x v="1"/>
    <x v="0"/>
  </r>
  <r>
    <x v="660"/>
    <x v="20"/>
    <s v="Tamil Nadu"/>
    <x v="3"/>
    <x v="4"/>
    <x v="16"/>
    <n v="5"/>
    <n v="2625.31"/>
    <n v="0.17"/>
    <n v="10895.04"/>
    <n v="13126.55"/>
    <n v="2231.5099999999984"/>
    <n v="10895.04"/>
    <s v="Net Banking"/>
    <x v="2"/>
    <x v="0"/>
    <x v="1"/>
  </r>
  <r>
    <x v="661"/>
    <x v="89"/>
    <s v="Gujarat"/>
    <x v="1"/>
    <x v="1"/>
    <x v="10"/>
    <n v="4"/>
    <n v="1412.89"/>
    <n v="0.16"/>
    <n v="4747.3100000000004"/>
    <n v="5651.56"/>
    <n v="904.25"/>
    <n v="4747.3100000000004"/>
    <s v="Net Banking"/>
    <x v="0"/>
    <x v="0"/>
    <x v="1"/>
  </r>
  <r>
    <x v="662"/>
    <x v="9"/>
    <s v="Karnataka"/>
    <x v="1"/>
    <x v="0"/>
    <x v="4"/>
    <n v="2"/>
    <n v="837.32"/>
    <n v="0.17"/>
    <n v="1389.95"/>
    <n v="1674.64"/>
    <n v="284.69000000000005"/>
    <n v="1389.95"/>
    <s v="Net Banking"/>
    <x v="0"/>
    <x v="1"/>
    <x v="0"/>
  </r>
  <r>
    <x v="663"/>
    <x v="84"/>
    <s v="Tamil Nadu"/>
    <x v="3"/>
    <x v="0"/>
    <x v="4"/>
    <n v="2"/>
    <n v="1356.59"/>
    <n v="0.15"/>
    <n v="2306.1999999999998"/>
    <n v="2713.18"/>
    <n v="406.98"/>
    <n v="2306.1999999999998"/>
    <s v="UPI"/>
    <x v="2"/>
    <x v="1"/>
    <x v="0"/>
  </r>
  <r>
    <x v="664"/>
    <x v="50"/>
    <s v="Delhi"/>
    <x v="0"/>
    <x v="3"/>
    <x v="8"/>
    <n v="4"/>
    <n v="2843.14"/>
    <n v="0.11"/>
    <n v="10121.58"/>
    <n v="11372.56"/>
    <n v="1250.9799999999996"/>
    <n v="10121.58"/>
    <s v="UPI"/>
    <x v="2"/>
    <x v="0"/>
    <x v="0"/>
  </r>
  <r>
    <x v="665"/>
    <x v="148"/>
    <s v="Maharashtra"/>
    <x v="1"/>
    <x v="4"/>
    <x v="16"/>
    <n v="5"/>
    <n v="962.33"/>
    <n v="0.21"/>
    <n v="3801.2"/>
    <n v="4811.6500000000005"/>
    <n v="1010.4500000000007"/>
    <n v="3801.2"/>
    <s v="UPI"/>
    <x v="2"/>
    <x v="0"/>
    <x v="3"/>
  </r>
  <r>
    <x v="666"/>
    <x v="167"/>
    <s v="Karnataka"/>
    <x v="0"/>
    <x v="0"/>
    <x v="0"/>
    <n v="1"/>
    <n v="4512.82"/>
    <n v="0.1"/>
    <n v="4061.54"/>
    <n v="4512.82"/>
    <n v="451.27999999999975"/>
    <n v="4061.54"/>
    <s v="COD"/>
    <x v="2"/>
    <x v="1"/>
    <x v="0"/>
  </r>
  <r>
    <x v="667"/>
    <x v="16"/>
    <s v="Maharashtra"/>
    <x v="2"/>
    <x v="3"/>
    <x v="12"/>
    <n v="5"/>
    <n v="4671.38"/>
    <n v="0.13"/>
    <n v="20320.5"/>
    <n v="23356.9"/>
    <n v="3036.4000000000015"/>
    <n v="20320.5"/>
    <s v="COD"/>
    <x v="1"/>
    <x v="0"/>
    <x v="0"/>
  </r>
  <r>
    <x v="668"/>
    <x v="117"/>
    <s v="Gujarat"/>
    <x v="3"/>
    <x v="0"/>
    <x v="4"/>
    <n v="3"/>
    <n v="4178.4399999999996"/>
    <n v="0.18"/>
    <n v="10278.959999999999"/>
    <n v="12535.32"/>
    <n v="2256.3600000000006"/>
    <n v="10278.959999999999"/>
    <s v="Credit Card"/>
    <x v="2"/>
    <x v="0"/>
    <x v="1"/>
  </r>
  <r>
    <x v="669"/>
    <x v="93"/>
    <s v="Maharashtra"/>
    <x v="0"/>
    <x v="3"/>
    <x v="12"/>
    <n v="3"/>
    <n v="2253.4299999999998"/>
    <n v="0.06"/>
    <n v="6354.67"/>
    <n v="6760.2899999999991"/>
    <n v="405.61999999999898"/>
    <n v="6354.67"/>
    <s v="Debit Card"/>
    <x v="0"/>
    <x v="0"/>
    <x v="0"/>
  </r>
  <r>
    <x v="670"/>
    <x v="171"/>
    <s v="Karnataka"/>
    <x v="2"/>
    <x v="4"/>
    <x v="19"/>
    <n v="4"/>
    <n v="3445.42"/>
    <n v="0.24"/>
    <n v="10474.08"/>
    <n v="13781.68"/>
    <n v="3307.6000000000004"/>
    <n v="10474.08"/>
    <s v="COD"/>
    <x v="2"/>
    <x v="2"/>
    <x v="0"/>
  </r>
  <r>
    <x v="671"/>
    <x v="122"/>
    <s v="Maharashtra"/>
    <x v="2"/>
    <x v="4"/>
    <x v="17"/>
    <n v="1"/>
    <n v="3484.34"/>
    <n v="0.2"/>
    <n v="2787.47"/>
    <n v="3484.34"/>
    <n v="696.87000000000035"/>
    <n v="2787.47"/>
    <s v="COD"/>
    <x v="0"/>
    <x v="2"/>
    <x v="0"/>
  </r>
  <r>
    <x v="672"/>
    <x v="62"/>
    <s v="Maharashtra"/>
    <x v="2"/>
    <x v="4"/>
    <x v="17"/>
    <n v="4"/>
    <n v="2003.51"/>
    <n v="0.23"/>
    <n v="6170.81"/>
    <n v="8014.04"/>
    <n v="1843.2299999999996"/>
    <n v="6170.81"/>
    <s v="COD"/>
    <x v="0"/>
    <x v="1"/>
    <x v="0"/>
  </r>
  <r>
    <x v="673"/>
    <x v="46"/>
    <s v="Delhi"/>
    <x v="0"/>
    <x v="3"/>
    <x v="9"/>
    <n v="3"/>
    <n v="4409.3900000000003"/>
    <n v="0.19"/>
    <n v="10714.82"/>
    <n v="13228.170000000002"/>
    <n v="2513.3500000000022"/>
    <n v="10714.82"/>
    <s v="Debit Card"/>
    <x v="2"/>
    <x v="1"/>
    <x v="0"/>
  </r>
  <r>
    <x v="674"/>
    <x v="169"/>
    <s v="Tamil Nadu"/>
    <x v="2"/>
    <x v="0"/>
    <x v="3"/>
    <n v="4"/>
    <n v="4396.13"/>
    <n v="0.21"/>
    <n v="13891.77"/>
    <n v="17584.52"/>
    <n v="3692.75"/>
    <n v="13891.77"/>
    <s v="Net Banking"/>
    <x v="2"/>
    <x v="2"/>
    <x v="0"/>
  </r>
  <r>
    <x v="675"/>
    <x v="1"/>
    <s v="Gujarat"/>
    <x v="3"/>
    <x v="4"/>
    <x v="18"/>
    <n v="3"/>
    <n v="2320.98"/>
    <n v="0.01"/>
    <n v="6893.31"/>
    <n v="6962.9400000000005"/>
    <n v="69.630000000000109"/>
    <n v="6893.31"/>
    <s v="COD"/>
    <x v="1"/>
    <x v="2"/>
    <x v="0"/>
  </r>
  <r>
    <x v="676"/>
    <x v="111"/>
    <s v="Tamil Nadu"/>
    <x v="3"/>
    <x v="3"/>
    <x v="8"/>
    <n v="3"/>
    <n v="1637.24"/>
    <n v="0.02"/>
    <n v="4813.49"/>
    <n v="4911.72"/>
    <n v="98.230000000000473"/>
    <n v="4813.49"/>
    <s v="Debit Card"/>
    <x v="1"/>
    <x v="2"/>
    <x v="0"/>
  </r>
  <r>
    <x v="677"/>
    <x v="118"/>
    <s v="Karnataka"/>
    <x v="2"/>
    <x v="3"/>
    <x v="15"/>
    <n v="2"/>
    <n v="1377.33"/>
    <n v="0.17"/>
    <n v="2286.37"/>
    <n v="2754.66"/>
    <n v="468.28999999999996"/>
    <n v="2286.37"/>
    <s v="Net Banking"/>
    <x v="2"/>
    <x v="1"/>
    <x v="0"/>
  </r>
  <r>
    <x v="678"/>
    <x v="173"/>
    <s v="Delhi"/>
    <x v="3"/>
    <x v="2"/>
    <x v="6"/>
    <n v="5"/>
    <n v="1199.99"/>
    <n v="0.24"/>
    <n v="4559.96"/>
    <n v="5999.95"/>
    <n v="1439.9899999999998"/>
    <n v="4559.96"/>
    <s v="Net Banking"/>
    <x v="2"/>
    <x v="0"/>
    <x v="1"/>
  </r>
  <r>
    <x v="679"/>
    <x v="48"/>
    <s v="Karnataka"/>
    <x v="0"/>
    <x v="2"/>
    <x v="11"/>
    <n v="4"/>
    <n v="3128.22"/>
    <n v="0.15"/>
    <n v="10635.95"/>
    <n v="12512.88"/>
    <n v="1876.9299999999985"/>
    <n v="10635.95"/>
    <s v="Debit Card"/>
    <x v="0"/>
    <x v="2"/>
    <x v="2"/>
  </r>
  <r>
    <x v="680"/>
    <x v="154"/>
    <s v="Maharashtra"/>
    <x v="3"/>
    <x v="3"/>
    <x v="8"/>
    <n v="4"/>
    <n v="4153.5600000000004"/>
    <n v="0.12"/>
    <n v="14620.53"/>
    <n v="16614.240000000002"/>
    <n v="1993.7100000000009"/>
    <n v="14620.53"/>
    <s v="COD"/>
    <x v="2"/>
    <x v="2"/>
    <x v="0"/>
  </r>
  <r>
    <x v="681"/>
    <x v="142"/>
    <s v="Tamil Nadu"/>
    <x v="3"/>
    <x v="4"/>
    <x v="17"/>
    <n v="4"/>
    <n v="4296.05"/>
    <n v="0.15"/>
    <n v="14606.57"/>
    <n v="17184.2"/>
    <n v="2577.630000000001"/>
    <n v="14606.57"/>
    <s v="Net Banking"/>
    <x v="0"/>
    <x v="1"/>
    <x v="0"/>
  </r>
  <r>
    <x v="682"/>
    <x v="118"/>
    <s v="Maharashtra"/>
    <x v="1"/>
    <x v="2"/>
    <x v="11"/>
    <n v="2"/>
    <n v="3126.63"/>
    <n v="0.23"/>
    <n v="4815.01"/>
    <n v="6253.26"/>
    <n v="1438.25"/>
    <n v="4815.01"/>
    <s v="UPI"/>
    <x v="2"/>
    <x v="1"/>
    <x v="0"/>
  </r>
  <r>
    <x v="683"/>
    <x v="45"/>
    <s v="Karnataka"/>
    <x v="2"/>
    <x v="2"/>
    <x v="11"/>
    <n v="2"/>
    <n v="3595.35"/>
    <n v="0.18"/>
    <n v="5896.37"/>
    <n v="7190.7"/>
    <n v="1294.33"/>
    <n v="5896.37"/>
    <s v="Net Banking"/>
    <x v="1"/>
    <x v="0"/>
    <x v="0"/>
  </r>
  <r>
    <x v="684"/>
    <x v="149"/>
    <s v="Maharashtra"/>
    <x v="0"/>
    <x v="1"/>
    <x v="13"/>
    <n v="4"/>
    <n v="4550.3100000000004"/>
    <n v="0.25"/>
    <n v="13650.93"/>
    <n v="18201.240000000002"/>
    <n v="4550.3100000000013"/>
    <n v="13650.93"/>
    <s v="UPI"/>
    <x v="0"/>
    <x v="0"/>
    <x v="0"/>
  </r>
  <r>
    <x v="685"/>
    <x v="117"/>
    <s v="Karnataka"/>
    <x v="3"/>
    <x v="1"/>
    <x v="14"/>
    <n v="3"/>
    <n v="747.97"/>
    <n v="0.22"/>
    <n v="1750.25"/>
    <n v="2243.91"/>
    <n v="493.65999999999985"/>
    <n v="1750.25"/>
    <s v="Net Banking"/>
    <x v="1"/>
    <x v="2"/>
    <x v="0"/>
  </r>
  <r>
    <x v="686"/>
    <x v="112"/>
    <s v="Karnataka"/>
    <x v="2"/>
    <x v="1"/>
    <x v="14"/>
    <n v="1"/>
    <n v="1654.86"/>
    <n v="0.13"/>
    <n v="1439.73"/>
    <n v="1654.86"/>
    <n v="215.12999999999988"/>
    <n v="1439.73"/>
    <s v="Net Banking"/>
    <x v="0"/>
    <x v="2"/>
    <x v="0"/>
  </r>
  <r>
    <x v="687"/>
    <x v="102"/>
    <s v="Tamil Nadu"/>
    <x v="2"/>
    <x v="0"/>
    <x v="4"/>
    <n v="3"/>
    <n v="4638.5600000000004"/>
    <n v="7.0000000000000007E-2"/>
    <n v="12941.58"/>
    <n v="13915.68"/>
    <n v="974.10000000000036"/>
    <n v="12941.58"/>
    <s v="UPI"/>
    <x v="1"/>
    <x v="1"/>
    <x v="0"/>
  </r>
  <r>
    <x v="688"/>
    <x v="152"/>
    <s v="Karnataka"/>
    <x v="0"/>
    <x v="2"/>
    <x v="11"/>
    <n v="5"/>
    <n v="4279.8599999999997"/>
    <n v="0.16"/>
    <n v="17975.41"/>
    <n v="21399.3"/>
    <n v="3423.8899999999994"/>
    <n v="17975.41"/>
    <s v="Net Banking"/>
    <x v="0"/>
    <x v="1"/>
    <x v="0"/>
  </r>
  <r>
    <x v="689"/>
    <x v="156"/>
    <s v="Delhi"/>
    <x v="1"/>
    <x v="0"/>
    <x v="4"/>
    <n v="3"/>
    <n v="901.42"/>
    <n v="0.12"/>
    <n v="2379.75"/>
    <n v="2704.2599999999998"/>
    <n v="324.50999999999976"/>
    <n v="2379.75"/>
    <s v="Credit Card"/>
    <x v="2"/>
    <x v="2"/>
    <x v="0"/>
  </r>
  <r>
    <x v="690"/>
    <x v="180"/>
    <s v="Tamil Nadu"/>
    <x v="3"/>
    <x v="4"/>
    <x v="18"/>
    <n v="2"/>
    <n v="705.91"/>
    <n v="0.02"/>
    <n v="1383.58"/>
    <n v="1411.82"/>
    <n v="28.240000000000009"/>
    <n v="1383.58"/>
    <s v="Net Banking"/>
    <x v="0"/>
    <x v="1"/>
    <x v="3"/>
  </r>
  <r>
    <x v="691"/>
    <x v="47"/>
    <s v="Gujarat"/>
    <x v="3"/>
    <x v="1"/>
    <x v="1"/>
    <n v="5"/>
    <n v="4990.22"/>
    <n v="0"/>
    <n v="24951.1"/>
    <n v="24951.100000000002"/>
    <n v="0"/>
    <n v="24951.100000000002"/>
    <s v="COD"/>
    <x v="0"/>
    <x v="0"/>
    <x v="0"/>
  </r>
  <r>
    <x v="692"/>
    <x v="146"/>
    <s v="Tamil Nadu"/>
    <x v="1"/>
    <x v="0"/>
    <x v="4"/>
    <n v="1"/>
    <n v="1492.98"/>
    <n v="0.25"/>
    <n v="1119.74"/>
    <n v="1492.98"/>
    <n v="373.24"/>
    <n v="1119.74"/>
    <s v="Credit Card"/>
    <x v="2"/>
    <x v="2"/>
    <x v="0"/>
  </r>
  <r>
    <x v="693"/>
    <x v="118"/>
    <s v="Delhi"/>
    <x v="2"/>
    <x v="0"/>
    <x v="2"/>
    <n v="4"/>
    <n v="4170.43"/>
    <n v="0.16"/>
    <n v="14012.64"/>
    <n v="16681.72"/>
    <n v="2669.0800000000017"/>
    <n v="14012.64"/>
    <s v="Credit Card"/>
    <x v="0"/>
    <x v="1"/>
    <x v="0"/>
  </r>
  <r>
    <x v="694"/>
    <x v="119"/>
    <s v="Maharashtra"/>
    <x v="3"/>
    <x v="0"/>
    <x v="2"/>
    <n v="3"/>
    <n v="4742.3500000000004"/>
    <n v="0.25"/>
    <n v="10670.29"/>
    <n v="14227.050000000001"/>
    <n v="3556.76"/>
    <n v="10670.29"/>
    <s v="COD"/>
    <x v="2"/>
    <x v="0"/>
    <x v="0"/>
  </r>
  <r>
    <x v="695"/>
    <x v="144"/>
    <s v="Karnataka"/>
    <x v="1"/>
    <x v="0"/>
    <x v="2"/>
    <n v="1"/>
    <n v="2781.07"/>
    <n v="0.15"/>
    <n v="2363.91"/>
    <n v="2781.07"/>
    <n v="417.16000000000031"/>
    <n v="2363.91"/>
    <s v="Credit Card"/>
    <x v="1"/>
    <x v="2"/>
    <x v="0"/>
  </r>
  <r>
    <x v="696"/>
    <x v="52"/>
    <s v="Maharashtra"/>
    <x v="3"/>
    <x v="3"/>
    <x v="15"/>
    <n v="2"/>
    <n v="2003.66"/>
    <n v="0.1"/>
    <n v="3606.59"/>
    <n v="4007.32"/>
    <n v="400.73"/>
    <n v="3606.59"/>
    <s v="Credit Card"/>
    <x v="0"/>
    <x v="0"/>
    <x v="0"/>
  </r>
  <r>
    <x v="697"/>
    <x v="33"/>
    <s v="Karnataka"/>
    <x v="3"/>
    <x v="2"/>
    <x v="5"/>
    <n v="3"/>
    <n v="3361.05"/>
    <n v="0.21"/>
    <n v="7965.69"/>
    <n v="10083.150000000001"/>
    <n v="2117.4600000000019"/>
    <n v="7965.69"/>
    <s v="COD"/>
    <x v="0"/>
    <x v="0"/>
    <x v="0"/>
  </r>
  <r>
    <x v="698"/>
    <x v="50"/>
    <s v="Karnataka"/>
    <x v="3"/>
    <x v="2"/>
    <x v="5"/>
    <n v="4"/>
    <n v="542.09"/>
    <n v="0.11"/>
    <n v="1929.84"/>
    <n v="2168.36"/>
    <n v="238.52000000000021"/>
    <n v="1929.84"/>
    <s v="COD"/>
    <x v="1"/>
    <x v="1"/>
    <x v="0"/>
  </r>
  <r>
    <x v="699"/>
    <x v="82"/>
    <s v="Maharashtra"/>
    <x v="3"/>
    <x v="2"/>
    <x v="7"/>
    <n v="4"/>
    <n v="3414.56"/>
    <n v="0.16"/>
    <n v="11472.92"/>
    <n v="13658.24"/>
    <n v="2185.3199999999997"/>
    <n v="11472.92"/>
    <s v="COD"/>
    <x v="2"/>
    <x v="0"/>
    <x v="1"/>
  </r>
  <r>
    <x v="700"/>
    <x v="24"/>
    <s v="Karnataka"/>
    <x v="3"/>
    <x v="1"/>
    <x v="13"/>
    <n v="1"/>
    <n v="4545.32"/>
    <n v="0.12"/>
    <n v="3999.88"/>
    <n v="4545.32"/>
    <n v="545.4399999999996"/>
    <n v="3999.88"/>
    <s v="Net Banking"/>
    <x v="2"/>
    <x v="2"/>
    <x v="0"/>
  </r>
  <r>
    <x v="701"/>
    <x v="167"/>
    <s v="Gujarat"/>
    <x v="0"/>
    <x v="4"/>
    <x v="16"/>
    <n v="5"/>
    <n v="333.87"/>
    <n v="0.02"/>
    <n v="1635.96"/>
    <n v="1669.35"/>
    <n v="33.389999999999873"/>
    <n v="1635.96"/>
    <s v="Net Banking"/>
    <x v="2"/>
    <x v="2"/>
    <x v="0"/>
  </r>
  <r>
    <x v="702"/>
    <x v="97"/>
    <s v="Tamil Nadu"/>
    <x v="0"/>
    <x v="2"/>
    <x v="7"/>
    <n v="3"/>
    <n v="1348.82"/>
    <n v="0.02"/>
    <n v="3965.53"/>
    <n v="4046.46"/>
    <n v="80.929999999999836"/>
    <n v="3965.53"/>
    <s v="COD"/>
    <x v="2"/>
    <x v="0"/>
    <x v="0"/>
  </r>
  <r>
    <x v="703"/>
    <x v="3"/>
    <s v="Delhi"/>
    <x v="1"/>
    <x v="2"/>
    <x v="11"/>
    <n v="1"/>
    <n v="2139.63"/>
    <n v="0.18"/>
    <n v="1754.5"/>
    <n v="2139.63"/>
    <n v="385.13000000000011"/>
    <n v="1754.5"/>
    <s v="Net Banking"/>
    <x v="0"/>
    <x v="1"/>
    <x v="3"/>
  </r>
  <r>
    <x v="704"/>
    <x v="74"/>
    <s v="Karnataka"/>
    <x v="0"/>
    <x v="2"/>
    <x v="6"/>
    <n v="2"/>
    <n v="483.28"/>
    <n v="0.25"/>
    <n v="724.92"/>
    <n v="966.56"/>
    <n v="241.64"/>
    <n v="724.92"/>
    <s v="Debit Card"/>
    <x v="0"/>
    <x v="1"/>
    <x v="0"/>
  </r>
  <r>
    <x v="705"/>
    <x v="23"/>
    <s v="Tamil Nadu"/>
    <x v="1"/>
    <x v="0"/>
    <x v="0"/>
    <n v="2"/>
    <n v="3313.42"/>
    <n v="0.12"/>
    <n v="5831.62"/>
    <n v="6626.84"/>
    <n v="795.22000000000025"/>
    <n v="5831.62"/>
    <s v="Credit Card"/>
    <x v="0"/>
    <x v="1"/>
    <x v="0"/>
  </r>
  <r>
    <x v="706"/>
    <x v="61"/>
    <s v="Tamil Nadu"/>
    <x v="3"/>
    <x v="1"/>
    <x v="1"/>
    <n v="2"/>
    <n v="762.06"/>
    <n v="0.05"/>
    <n v="1447.91"/>
    <n v="1524.12"/>
    <n v="76.209999999999809"/>
    <n v="1447.91"/>
    <s v="UPI"/>
    <x v="0"/>
    <x v="2"/>
    <x v="1"/>
  </r>
  <r>
    <x v="707"/>
    <x v="101"/>
    <s v="Delhi"/>
    <x v="3"/>
    <x v="3"/>
    <x v="15"/>
    <n v="5"/>
    <n v="1035.48"/>
    <n v="0.08"/>
    <n v="4763.21"/>
    <n v="5177.3999999999996"/>
    <n v="414.1899999999996"/>
    <n v="4763.21"/>
    <s v="Debit Card"/>
    <x v="2"/>
    <x v="1"/>
    <x v="0"/>
  </r>
  <r>
    <x v="708"/>
    <x v="64"/>
    <s v="Delhi"/>
    <x v="3"/>
    <x v="0"/>
    <x v="0"/>
    <n v="4"/>
    <n v="4822.95"/>
    <n v="0.12"/>
    <n v="16976.78"/>
    <n v="19291.8"/>
    <n v="2315.0200000000004"/>
    <n v="16976.78"/>
    <s v="Debit Card"/>
    <x v="1"/>
    <x v="1"/>
    <x v="0"/>
  </r>
  <r>
    <x v="709"/>
    <x v="65"/>
    <s v="Maharashtra"/>
    <x v="1"/>
    <x v="1"/>
    <x v="14"/>
    <n v="1"/>
    <n v="3189.01"/>
    <n v="0.18"/>
    <n v="2614.9899999999998"/>
    <n v="3189.01"/>
    <n v="574.02000000000044"/>
    <n v="2614.9899999999998"/>
    <s v="UPI"/>
    <x v="0"/>
    <x v="1"/>
    <x v="0"/>
  </r>
  <r>
    <x v="710"/>
    <x v="128"/>
    <s v="Maharashtra"/>
    <x v="1"/>
    <x v="1"/>
    <x v="1"/>
    <n v="4"/>
    <n v="2615.44"/>
    <n v="0.18"/>
    <n v="8578.64"/>
    <n v="10461.76"/>
    <n v="1883.1200000000008"/>
    <n v="8578.64"/>
    <s v="Net Banking"/>
    <x v="2"/>
    <x v="0"/>
    <x v="0"/>
  </r>
  <r>
    <x v="711"/>
    <x v="148"/>
    <s v="Tamil Nadu"/>
    <x v="1"/>
    <x v="0"/>
    <x v="0"/>
    <n v="5"/>
    <n v="411.2"/>
    <n v="0.22"/>
    <n v="1603.68"/>
    <n v="2056"/>
    <n v="452.31999999999994"/>
    <n v="1603.68"/>
    <s v="COD"/>
    <x v="2"/>
    <x v="1"/>
    <x v="0"/>
  </r>
  <r>
    <x v="712"/>
    <x v="109"/>
    <s v="Tamil Nadu"/>
    <x v="1"/>
    <x v="1"/>
    <x v="1"/>
    <n v="2"/>
    <n v="1511.25"/>
    <n v="0.05"/>
    <n v="2871.38"/>
    <n v="3022.5"/>
    <n v="151.11999999999989"/>
    <n v="2871.38"/>
    <s v="Net Banking"/>
    <x v="0"/>
    <x v="1"/>
    <x v="0"/>
  </r>
  <r>
    <x v="713"/>
    <x v="142"/>
    <s v="Gujarat"/>
    <x v="2"/>
    <x v="3"/>
    <x v="9"/>
    <n v="3"/>
    <n v="3642.68"/>
    <n v="0.1"/>
    <n v="9835.24"/>
    <n v="10928.039999999999"/>
    <n v="1092.7999999999993"/>
    <n v="9835.24"/>
    <s v="Net Banking"/>
    <x v="0"/>
    <x v="1"/>
    <x v="3"/>
  </r>
  <r>
    <x v="714"/>
    <x v="65"/>
    <s v="Karnataka"/>
    <x v="1"/>
    <x v="3"/>
    <x v="12"/>
    <n v="4"/>
    <n v="732.57"/>
    <n v="0.05"/>
    <n v="2783.77"/>
    <n v="2930.28"/>
    <n v="146.51000000000022"/>
    <n v="2783.77"/>
    <s v="Credit Card"/>
    <x v="1"/>
    <x v="0"/>
    <x v="0"/>
  </r>
  <r>
    <x v="715"/>
    <x v="44"/>
    <s v="Karnataka"/>
    <x v="2"/>
    <x v="2"/>
    <x v="5"/>
    <n v="5"/>
    <n v="330.54"/>
    <n v="0"/>
    <n v="1652.7"/>
    <n v="1652.7"/>
    <n v="0"/>
    <n v="1652.7"/>
    <s v="Debit Card"/>
    <x v="0"/>
    <x v="1"/>
    <x v="0"/>
  </r>
  <r>
    <x v="716"/>
    <x v="51"/>
    <s v="Maharashtra"/>
    <x v="1"/>
    <x v="3"/>
    <x v="8"/>
    <n v="1"/>
    <n v="3126.06"/>
    <n v="0.03"/>
    <n v="3032.28"/>
    <n v="3126.06"/>
    <n v="93.779999999999745"/>
    <n v="3032.28"/>
    <s v="UPI"/>
    <x v="2"/>
    <x v="2"/>
    <x v="0"/>
  </r>
  <r>
    <x v="717"/>
    <x v="24"/>
    <s v="Maharashtra"/>
    <x v="0"/>
    <x v="4"/>
    <x v="17"/>
    <n v="2"/>
    <n v="4281.7"/>
    <n v="0.22"/>
    <n v="6679.45"/>
    <n v="8563.4"/>
    <n v="1883.9499999999998"/>
    <n v="6679.45"/>
    <s v="COD"/>
    <x v="2"/>
    <x v="0"/>
    <x v="0"/>
  </r>
  <r>
    <x v="718"/>
    <x v="102"/>
    <s v="Maharashtra"/>
    <x v="0"/>
    <x v="2"/>
    <x v="5"/>
    <n v="5"/>
    <n v="3932.57"/>
    <n v="0.24"/>
    <n v="14943.77"/>
    <n v="19662.850000000002"/>
    <n v="4719.0800000000017"/>
    <n v="14943.77"/>
    <s v="Credit Card"/>
    <x v="1"/>
    <x v="0"/>
    <x v="0"/>
  </r>
  <r>
    <x v="719"/>
    <x v="172"/>
    <s v="Delhi"/>
    <x v="0"/>
    <x v="3"/>
    <x v="8"/>
    <n v="3"/>
    <n v="3570"/>
    <n v="0.19"/>
    <n v="8675.1"/>
    <n v="10710"/>
    <n v="2034.8999999999996"/>
    <n v="8675.1"/>
    <s v="UPI"/>
    <x v="0"/>
    <x v="1"/>
    <x v="0"/>
  </r>
  <r>
    <x v="720"/>
    <x v="20"/>
    <s v="Delhi"/>
    <x v="3"/>
    <x v="4"/>
    <x v="17"/>
    <n v="4"/>
    <n v="4851.22"/>
    <n v="0.19"/>
    <n v="15717.95"/>
    <n v="19404.88"/>
    <n v="3686.9300000000003"/>
    <n v="15717.95"/>
    <s v="Credit Card"/>
    <x v="0"/>
    <x v="2"/>
    <x v="3"/>
  </r>
  <r>
    <x v="721"/>
    <x v="142"/>
    <s v="Karnataka"/>
    <x v="2"/>
    <x v="2"/>
    <x v="6"/>
    <n v="1"/>
    <n v="1403.48"/>
    <n v="0.18"/>
    <n v="1150.8499999999999"/>
    <n v="1403.48"/>
    <n v="252.63000000000011"/>
    <n v="1150.8499999999999"/>
    <s v="COD"/>
    <x v="0"/>
    <x v="1"/>
    <x v="0"/>
  </r>
  <r>
    <x v="722"/>
    <x v="150"/>
    <s v="Gujarat"/>
    <x v="1"/>
    <x v="3"/>
    <x v="12"/>
    <n v="2"/>
    <n v="4028.67"/>
    <n v="0.1"/>
    <n v="7251.61"/>
    <n v="8057.34"/>
    <n v="805.73000000000047"/>
    <n v="7251.61"/>
    <s v="Net Banking"/>
    <x v="0"/>
    <x v="1"/>
    <x v="2"/>
  </r>
  <r>
    <x v="723"/>
    <x v="155"/>
    <s v="Maharashtra"/>
    <x v="0"/>
    <x v="1"/>
    <x v="1"/>
    <n v="1"/>
    <n v="3616.37"/>
    <n v="0.13"/>
    <n v="3146.24"/>
    <n v="3616.37"/>
    <n v="470.13000000000011"/>
    <n v="3146.24"/>
    <s v="Net Banking"/>
    <x v="0"/>
    <x v="2"/>
    <x v="0"/>
  </r>
  <r>
    <x v="724"/>
    <x v="179"/>
    <s v="Tamil Nadu"/>
    <x v="0"/>
    <x v="2"/>
    <x v="11"/>
    <n v="1"/>
    <n v="3334.86"/>
    <n v="0.16"/>
    <n v="2801.28"/>
    <n v="3334.86"/>
    <n v="533.57999999999993"/>
    <n v="2801.28"/>
    <s v="Credit Card"/>
    <x v="2"/>
    <x v="0"/>
    <x v="2"/>
  </r>
  <r>
    <x v="725"/>
    <x v="157"/>
    <s v="Tamil Nadu"/>
    <x v="2"/>
    <x v="1"/>
    <x v="1"/>
    <n v="5"/>
    <n v="4380.38"/>
    <n v="0.18"/>
    <n v="17959.560000000001"/>
    <n v="21901.9"/>
    <n v="3942.34"/>
    <n v="17959.560000000001"/>
    <s v="Net Banking"/>
    <x v="1"/>
    <x v="1"/>
    <x v="0"/>
  </r>
  <r>
    <x v="726"/>
    <x v="35"/>
    <s v="Tamil Nadu"/>
    <x v="1"/>
    <x v="4"/>
    <x v="16"/>
    <n v="2"/>
    <n v="4449.1400000000003"/>
    <n v="0.16"/>
    <n v="7474.56"/>
    <n v="8898.2800000000007"/>
    <n v="1423.7200000000003"/>
    <n v="7474.56"/>
    <s v="Net Banking"/>
    <x v="1"/>
    <x v="0"/>
    <x v="0"/>
  </r>
  <r>
    <x v="727"/>
    <x v="125"/>
    <s v="Karnataka"/>
    <x v="3"/>
    <x v="2"/>
    <x v="11"/>
    <n v="5"/>
    <n v="1739.02"/>
    <n v="0.18"/>
    <n v="7129.98"/>
    <n v="8695.1"/>
    <n v="1565.1200000000008"/>
    <n v="7129.98"/>
    <s v="Credit Card"/>
    <x v="0"/>
    <x v="0"/>
    <x v="0"/>
  </r>
  <r>
    <x v="728"/>
    <x v="54"/>
    <s v="Delhi"/>
    <x v="3"/>
    <x v="1"/>
    <x v="1"/>
    <n v="5"/>
    <n v="1630.04"/>
    <n v="0.09"/>
    <n v="7416.68"/>
    <n v="8150.2"/>
    <n v="733.51999999999953"/>
    <n v="7416.68"/>
    <s v="Credit Card"/>
    <x v="1"/>
    <x v="0"/>
    <x v="0"/>
  </r>
  <r>
    <x v="729"/>
    <x v="51"/>
    <s v="Delhi"/>
    <x v="2"/>
    <x v="1"/>
    <x v="1"/>
    <n v="4"/>
    <n v="4936.08"/>
    <n v="0.03"/>
    <n v="19151.990000000002"/>
    <n v="19744.32"/>
    <n v="592.32999999999811"/>
    <n v="19151.990000000002"/>
    <s v="UPI"/>
    <x v="1"/>
    <x v="2"/>
    <x v="0"/>
  </r>
  <r>
    <x v="730"/>
    <x v="63"/>
    <s v="Maharashtra"/>
    <x v="1"/>
    <x v="1"/>
    <x v="1"/>
    <n v="1"/>
    <n v="2298.81"/>
    <n v="0.14000000000000001"/>
    <n v="1976.98"/>
    <n v="2298.81"/>
    <n v="321.82999999999993"/>
    <n v="1976.98"/>
    <s v="Credit Card"/>
    <x v="1"/>
    <x v="2"/>
    <x v="0"/>
  </r>
  <r>
    <x v="731"/>
    <x v="14"/>
    <s v="Karnataka"/>
    <x v="3"/>
    <x v="3"/>
    <x v="12"/>
    <n v="5"/>
    <n v="3394.93"/>
    <n v="0.18"/>
    <n v="13919.21"/>
    <n v="16974.649999999998"/>
    <n v="3055.4399999999987"/>
    <n v="13919.21"/>
    <s v="UPI"/>
    <x v="2"/>
    <x v="0"/>
    <x v="0"/>
  </r>
  <r>
    <x v="732"/>
    <x v="150"/>
    <s v="Karnataka"/>
    <x v="0"/>
    <x v="1"/>
    <x v="10"/>
    <n v="2"/>
    <n v="3587.04"/>
    <n v="0.21"/>
    <n v="5667.52"/>
    <n v="7174.08"/>
    <n v="1506.5599999999995"/>
    <n v="5667.52"/>
    <s v="Net Banking"/>
    <x v="0"/>
    <x v="2"/>
    <x v="0"/>
  </r>
  <r>
    <x v="733"/>
    <x v="167"/>
    <s v="Delhi"/>
    <x v="1"/>
    <x v="3"/>
    <x v="15"/>
    <n v="3"/>
    <n v="3416.43"/>
    <n v="0.1"/>
    <n v="9224.36"/>
    <n v="10249.289999999999"/>
    <n v="1024.9299999999985"/>
    <n v="9224.36"/>
    <s v="Net Banking"/>
    <x v="0"/>
    <x v="0"/>
    <x v="1"/>
  </r>
  <r>
    <x v="734"/>
    <x v="42"/>
    <s v="Tamil Nadu"/>
    <x v="3"/>
    <x v="1"/>
    <x v="14"/>
    <n v="4"/>
    <n v="3685.41"/>
    <n v="0.1"/>
    <n v="13267.48"/>
    <n v="14741.64"/>
    <n v="1474.1599999999999"/>
    <n v="13267.48"/>
    <s v="Net Banking"/>
    <x v="1"/>
    <x v="2"/>
    <x v="0"/>
  </r>
  <r>
    <x v="735"/>
    <x v="9"/>
    <s v="Delhi"/>
    <x v="3"/>
    <x v="2"/>
    <x v="5"/>
    <n v="1"/>
    <n v="3502.91"/>
    <n v="0.11"/>
    <n v="3117.59"/>
    <n v="3502.91"/>
    <n v="385.31999999999971"/>
    <n v="3117.59"/>
    <s v="COD"/>
    <x v="1"/>
    <x v="2"/>
    <x v="1"/>
  </r>
  <r>
    <x v="736"/>
    <x v="99"/>
    <s v="Gujarat"/>
    <x v="3"/>
    <x v="4"/>
    <x v="19"/>
    <n v="1"/>
    <n v="1910.97"/>
    <n v="7.0000000000000007E-2"/>
    <n v="1777.2"/>
    <n v="1910.97"/>
    <n v="133.76999999999998"/>
    <n v="1777.2"/>
    <s v="Net Banking"/>
    <x v="0"/>
    <x v="0"/>
    <x v="0"/>
  </r>
  <r>
    <x v="737"/>
    <x v="147"/>
    <s v="Karnataka"/>
    <x v="1"/>
    <x v="4"/>
    <x v="17"/>
    <n v="1"/>
    <n v="3976.9"/>
    <n v="0.04"/>
    <n v="3817.82"/>
    <n v="3976.9"/>
    <n v="159.07999999999993"/>
    <n v="3817.82"/>
    <s v="UPI"/>
    <x v="2"/>
    <x v="0"/>
    <x v="0"/>
  </r>
  <r>
    <x v="738"/>
    <x v="79"/>
    <s v="Delhi"/>
    <x v="0"/>
    <x v="4"/>
    <x v="17"/>
    <n v="4"/>
    <n v="110.22"/>
    <n v="0.14000000000000001"/>
    <n v="379.16"/>
    <n v="440.88"/>
    <n v="61.71999999999997"/>
    <n v="379.16"/>
    <s v="Debit Card"/>
    <x v="1"/>
    <x v="2"/>
    <x v="0"/>
  </r>
  <r>
    <x v="739"/>
    <x v="181"/>
    <s v="Gujarat"/>
    <x v="3"/>
    <x v="1"/>
    <x v="1"/>
    <n v="4"/>
    <n v="2428.61"/>
    <n v="0.18"/>
    <n v="7965.84"/>
    <n v="9714.44"/>
    <n v="1748.6000000000004"/>
    <n v="7965.84"/>
    <s v="Net Banking"/>
    <x v="2"/>
    <x v="0"/>
    <x v="3"/>
  </r>
  <r>
    <x v="740"/>
    <x v="92"/>
    <s v="Tamil Nadu"/>
    <x v="1"/>
    <x v="1"/>
    <x v="14"/>
    <n v="3"/>
    <n v="537.64"/>
    <n v="0.16"/>
    <n v="1354.85"/>
    <n v="1612.92"/>
    <n v="258.07000000000016"/>
    <n v="1354.85"/>
    <s v="Net Banking"/>
    <x v="0"/>
    <x v="0"/>
    <x v="0"/>
  </r>
  <r>
    <x v="741"/>
    <x v="172"/>
    <s v="Gujarat"/>
    <x v="0"/>
    <x v="2"/>
    <x v="6"/>
    <n v="4"/>
    <n v="3705.97"/>
    <n v="0.16"/>
    <n v="12452.06"/>
    <n v="14823.88"/>
    <n v="2371.8199999999997"/>
    <n v="12452.06"/>
    <s v="Credit Card"/>
    <x v="1"/>
    <x v="2"/>
    <x v="0"/>
  </r>
  <r>
    <x v="742"/>
    <x v="157"/>
    <s v="Gujarat"/>
    <x v="3"/>
    <x v="4"/>
    <x v="19"/>
    <n v="5"/>
    <n v="2754.99"/>
    <n v="0.19"/>
    <n v="11157.71"/>
    <n v="13774.949999999999"/>
    <n v="2617.2399999999998"/>
    <n v="11157.71"/>
    <s v="Credit Card"/>
    <x v="0"/>
    <x v="0"/>
    <x v="3"/>
  </r>
  <r>
    <x v="743"/>
    <x v="138"/>
    <s v="Maharashtra"/>
    <x v="1"/>
    <x v="1"/>
    <x v="13"/>
    <n v="1"/>
    <n v="1447.32"/>
    <n v="0.05"/>
    <n v="1374.95"/>
    <n v="1447.32"/>
    <n v="72.369999999999891"/>
    <n v="1374.95"/>
    <s v="COD"/>
    <x v="0"/>
    <x v="0"/>
    <x v="0"/>
  </r>
  <r>
    <x v="744"/>
    <x v="56"/>
    <s v="Tamil Nadu"/>
    <x v="3"/>
    <x v="1"/>
    <x v="1"/>
    <n v="4"/>
    <n v="4323.67"/>
    <n v="0.01"/>
    <n v="17121.73"/>
    <n v="17294.68"/>
    <n v="172.95000000000073"/>
    <n v="17121.73"/>
    <s v="COD"/>
    <x v="0"/>
    <x v="1"/>
    <x v="0"/>
  </r>
  <r>
    <x v="745"/>
    <x v="119"/>
    <s v="Tamil Nadu"/>
    <x v="3"/>
    <x v="1"/>
    <x v="1"/>
    <n v="1"/>
    <n v="4900.95"/>
    <n v="0.14000000000000001"/>
    <n v="4214.82"/>
    <n v="4900.95"/>
    <n v="686.13000000000011"/>
    <n v="4214.82"/>
    <s v="UPI"/>
    <x v="0"/>
    <x v="1"/>
    <x v="0"/>
  </r>
  <r>
    <x v="746"/>
    <x v="132"/>
    <s v="Karnataka"/>
    <x v="0"/>
    <x v="0"/>
    <x v="4"/>
    <n v="2"/>
    <n v="388.68"/>
    <n v="0.24"/>
    <n v="590.79"/>
    <n v="777.36"/>
    <n v="186.57000000000005"/>
    <n v="590.79"/>
    <s v="Net Banking"/>
    <x v="1"/>
    <x v="2"/>
    <x v="0"/>
  </r>
  <r>
    <x v="747"/>
    <x v="165"/>
    <s v="Maharashtra"/>
    <x v="0"/>
    <x v="4"/>
    <x v="18"/>
    <n v="4"/>
    <n v="4475.75"/>
    <n v="0.06"/>
    <n v="16828.82"/>
    <n v="17903"/>
    <n v="1074.1800000000003"/>
    <n v="16828.82"/>
    <s v="UPI"/>
    <x v="0"/>
    <x v="2"/>
    <x v="0"/>
  </r>
  <r>
    <x v="748"/>
    <x v="73"/>
    <s v="Tamil Nadu"/>
    <x v="1"/>
    <x v="1"/>
    <x v="10"/>
    <n v="4"/>
    <n v="4751.8500000000004"/>
    <n v="7.0000000000000007E-2"/>
    <n v="17676.88"/>
    <n v="19007.400000000001"/>
    <n v="1330.5200000000004"/>
    <n v="17676.88"/>
    <s v="COD"/>
    <x v="1"/>
    <x v="1"/>
    <x v="0"/>
  </r>
  <r>
    <x v="749"/>
    <x v="101"/>
    <s v="Maharashtra"/>
    <x v="0"/>
    <x v="0"/>
    <x v="3"/>
    <n v="2"/>
    <n v="4577.3"/>
    <n v="0"/>
    <n v="9154.6"/>
    <n v="9154.6"/>
    <n v="0"/>
    <n v="9154.6"/>
    <s v="Net Banking"/>
    <x v="1"/>
    <x v="0"/>
    <x v="0"/>
  </r>
  <r>
    <x v="750"/>
    <x v="154"/>
    <s v="Karnataka"/>
    <x v="3"/>
    <x v="1"/>
    <x v="10"/>
    <n v="4"/>
    <n v="511.15"/>
    <n v="0.16"/>
    <n v="1717.46"/>
    <n v="2044.6"/>
    <n v="327.13999999999987"/>
    <n v="1717.46"/>
    <s v="COD"/>
    <x v="2"/>
    <x v="2"/>
    <x v="0"/>
  </r>
  <r>
    <x v="751"/>
    <x v="62"/>
    <s v="Gujarat"/>
    <x v="2"/>
    <x v="3"/>
    <x v="12"/>
    <n v="4"/>
    <n v="304.77999999999997"/>
    <n v="0.2"/>
    <n v="975.3"/>
    <n v="1219.1199999999999"/>
    <n v="243.81999999999994"/>
    <n v="975.3"/>
    <s v="Net Banking"/>
    <x v="1"/>
    <x v="0"/>
    <x v="0"/>
  </r>
  <r>
    <x v="752"/>
    <x v="45"/>
    <s v="Maharashtra"/>
    <x v="3"/>
    <x v="3"/>
    <x v="8"/>
    <n v="5"/>
    <n v="1329.36"/>
    <n v="0.17"/>
    <n v="5516.84"/>
    <n v="6646.7999999999993"/>
    <n v="1129.9599999999991"/>
    <n v="5516.84"/>
    <s v="Net Banking"/>
    <x v="2"/>
    <x v="1"/>
    <x v="0"/>
  </r>
  <r>
    <x v="753"/>
    <x v="94"/>
    <s v="Maharashtra"/>
    <x v="0"/>
    <x v="1"/>
    <x v="1"/>
    <n v="5"/>
    <n v="2859.1"/>
    <n v="0.08"/>
    <n v="13151.86"/>
    <n v="14295.5"/>
    <n v="1143.6399999999994"/>
    <n v="13151.86"/>
    <s v="Debit Card"/>
    <x v="1"/>
    <x v="1"/>
    <x v="3"/>
  </r>
  <r>
    <x v="754"/>
    <x v="83"/>
    <s v="Tamil Nadu"/>
    <x v="2"/>
    <x v="1"/>
    <x v="1"/>
    <n v="5"/>
    <n v="4791.34"/>
    <n v="0.08"/>
    <n v="22040.16"/>
    <n v="23956.7"/>
    <n v="1916.5400000000009"/>
    <n v="22040.16"/>
    <s v="Debit Card"/>
    <x v="1"/>
    <x v="0"/>
    <x v="0"/>
  </r>
  <r>
    <x v="755"/>
    <x v="113"/>
    <s v="Delhi"/>
    <x v="3"/>
    <x v="2"/>
    <x v="6"/>
    <n v="2"/>
    <n v="2353.02"/>
    <n v="0.15"/>
    <n v="4000.13"/>
    <n v="4706.04"/>
    <n v="705.90999999999985"/>
    <n v="4000.13"/>
    <s v="UPI"/>
    <x v="2"/>
    <x v="2"/>
    <x v="0"/>
  </r>
  <r>
    <x v="756"/>
    <x v="143"/>
    <s v="Maharashtra"/>
    <x v="1"/>
    <x v="0"/>
    <x v="3"/>
    <n v="2"/>
    <n v="2124.5"/>
    <n v="0.22"/>
    <n v="3314.22"/>
    <n v="4249"/>
    <n v="934.7800000000002"/>
    <n v="3314.22"/>
    <s v="Credit Card"/>
    <x v="1"/>
    <x v="0"/>
    <x v="3"/>
  </r>
  <r>
    <x v="757"/>
    <x v="143"/>
    <s v="Maharashtra"/>
    <x v="2"/>
    <x v="1"/>
    <x v="13"/>
    <n v="4"/>
    <n v="3394"/>
    <n v="0.09"/>
    <n v="12354.16"/>
    <n v="13576"/>
    <n v="1221.8400000000001"/>
    <n v="12354.16"/>
    <s v="COD"/>
    <x v="0"/>
    <x v="1"/>
    <x v="0"/>
  </r>
  <r>
    <x v="758"/>
    <x v="9"/>
    <s v="Tamil Nadu"/>
    <x v="2"/>
    <x v="0"/>
    <x v="0"/>
    <n v="4"/>
    <n v="145.88"/>
    <n v="0.19"/>
    <n v="472.65"/>
    <n v="583.52"/>
    <n v="110.87"/>
    <n v="472.65"/>
    <s v="UPI"/>
    <x v="0"/>
    <x v="1"/>
    <x v="0"/>
  </r>
  <r>
    <x v="759"/>
    <x v="39"/>
    <s v="Delhi"/>
    <x v="3"/>
    <x v="1"/>
    <x v="1"/>
    <n v="3"/>
    <n v="280.3"/>
    <n v="0.12"/>
    <n v="739.99"/>
    <n v="840.90000000000009"/>
    <n v="100.91000000000008"/>
    <n v="739.99"/>
    <s v="Debit Card"/>
    <x v="2"/>
    <x v="0"/>
    <x v="0"/>
  </r>
  <r>
    <x v="760"/>
    <x v="149"/>
    <s v="Karnataka"/>
    <x v="3"/>
    <x v="2"/>
    <x v="7"/>
    <n v="4"/>
    <n v="935.34"/>
    <n v="0.05"/>
    <n v="3554.29"/>
    <n v="3741.36"/>
    <n v="187.07000000000016"/>
    <n v="3554.29"/>
    <s v="COD"/>
    <x v="1"/>
    <x v="0"/>
    <x v="0"/>
  </r>
  <r>
    <x v="761"/>
    <x v="153"/>
    <s v="Delhi"/>
    <x v="3"/>
    <x v="3"/>
    <x v="8"/>
    <n v="2"/>
    <n v="4416.92"/>
    <n v="0.18"/>
    <n v="7243.75"/>
    <n v="8833.84"/>
    <n v="1590.0900000000001"/>
    <n v="7243.75"/>
    <s v="UPI"/>
    <x v="1"/>
    <x v="1"/>
    <x v="3"/>
  </r>
  <r>
    <x v="762"/>
    <x v="177"/>
    <s v="Gujarat"/>
    <x v="2"/>
    <x v="0"/>
    <x v="2"/>
    <n v="4"/>
    <n v="3240.73"/>
    <n v="0.24"/>
    <n v="9851.82"/>
    <n v="12962.92"/>
    <n v="3111.1000000000004"/>
    <n v="9851.82"/>
    <s v="Net Banking"/>
    <x v="0"/>
    <x v="2"/>
    <x v="0"/>
  </r>
  <r>
    <x v="763"/>
    <x v="102"/>
    <s v="Maharashtra"/>
    <x v="3"/>
    <x v="2"/>
    <x v="6"/>
    <n v="4"/>
    <n v="1871.21"/>
    <n v="0.19"/>
    <n v="6062.72"/>
    <n v="7484.84"/>
    <n v="1422.12"/>
    <n v="6062.72"/>
    <s v="COD"/>
    <x v="2"/>
    <x v="0"/>
    <x v="0"/>
  </r>
  <r>
    <x v="764"/>
    <x v="177"/>
    <s v="Karnataka"/>
    <x v="3"/>
    <x v="2"/>
    <x v="5"/>
    <n v="2"/>
    <n v="1740.06"/>
    <n v="0.22"/>
    <n v="2714.49"/>
    <n v="3480.12"/>
    <n v="765.63000000000011"/>
    <n v="2714.49"/>
    <s v="Credit Card"/>
    <x v="2"/>
    <x v="2"/>
    <x v="2"/>
  </r>
  <r>
    <x v="765"/>
    <x v="135"/>
    <s v="Delhi"/>
    <x v="0"/>
    <x v="2"/>
    <x v="7"/>
    <n v="3"/>
    <n v="1622.95"/>
    <n v="0.16"/>
    <n v="4089.83"/>
    <n v="4868.8500000000004"/>
    <n v="779.02000000000044"/>
    <n v="4089.83"/>
    <s v="Debit Card"/>
    <x v="0"/>
    <x v="2"/>
    <x v="0"/>
  </r>
  <r>
    <x v="766"/>
    <x v="139"/>
    <s v="Karnataka"/>
    <x v="2"/>
    <x v="0"/>
    <x v="2"/>
    <n v="4"/>
    <n v="1267.96"/>
    <n v="0.09"/>
    <n v="4615.37"/>
    <n v="5071.84"/>
    <n v="456.47000000000025"/>
    <n v="4615.37"/>
    <s v="Debit Card"/>
    <x v="0"/>
    <x v="2"/>
    <x v="0"/>
  </r>
  <r>
    <x v="767"/>
    <x v="94"/>
    <s v="Gujarat"/>
    <x v="0"/>
    <x v="3"/>
    <x v="8"/>
    <n v="1"/>
    <n v="3164.21"/>
    <n v="0.14000000000000001"/>
    <n v="2721.22"/>
    <n v="3164.21"/>
    <n v="442.99000000000024"/>
    <n v="2721.22"/>
    <s v="COD"/>
    <x v="2"/>
    <x v="2"/>
    <x v="1"/>
  </r>
  <r>
    <x v="768"/>
    <x v="12"/>
    <s v="Maharashtra"/>
    <x v="0"/>
    <x v="2"/>
    <x v="6"/>
    <n v="4"/>
    <n v="368.47"/>
    <n v="0.15"/>
    <n v="1252.8"/>
    <n v="1473.88"/>
    <n v="221.08000000000015"/>
    <n v="1252.8"/>
    <s v="Debit Card"/>
    <x v="0"/>
    <x v="1"/>
    <x v="0"/>
  </r>
  <r>
    <x v="769"/>
    <x v="165"/>
    <s v="Karnataka"/>
    <x v="0"/>
    <x v="0"/>
    <x v="0"/>
    <n v="1"/>
    <n v="3124.78"/>
    <n v="0.1"/>
    <n v="2812.3"/>
    <n v="3124.78"/>
    <n v="312.48"/>
    <n v="2812.3"/>
    <s v="Net Banking"/>
    <x v="2"/>
    <x v="0"/>
    <x v="0"/>
  </r>
  <r>
    <x v="770"/>
    <x v="144"/>
    <s v="Gujarat"/>
    <x v="1"/>
    <x v="2"/>
    <x v="5"/>
    <n v="3"/>
    <n v="3289.51"/>
    <n v="0.17"/>
    <n v="8190.88"/>
    <n v="9868.5300000000007"/>
    <n v="1677.6500000000005"/>
    <n v="8190.88"/>
    <s v="COD"/>
    <x v="0"/>
    <x v="2"/>
    <x v="0"/>
  </r>
  <r>
    <x v="771"/>
    <x v="65"/>
    <s v="Maharashtra"/>
    <x v="3"/>
    <x v="1"/>
    <x v="10"/>
    <n v="5"/>
    <n v="3595.17"/>
    <n v="0.15"/>
    <n v="15279.47"/>
    <n v="17975.849999999999"/>
    <n v="2696.3799999999992"/>
    <n v="15279.47"/>
    <s v="Credit Card"/>
    <x v="0"/>
    <x v="2"/>
    <x v="0"/>
  </r>
  <r>
    <x v="772"/>
    <x v="57"/>
    <s v="Tamil Nadu"/>
    <x v="0"/>
    <x v="4"/>
    <x v="17"/>
    <n v="5"/>
    <n v="2278.66"/>
    <n v="0.06"/>
    <n v="10709.7"/>
    <n v="11393.3"/>
    <n v="683.59999999999854"/>
    <n v="10709.7"/>
    <s v="Net Banking"/>
    <x v="1"/>
    <x v="2"/>
    <x v="0"/>
  </r>
  <r>
    <x v="773"/>
    <x v="58"/>
    <s v="Gujarat"/>
    <x v="1"/>
    <x v="1"/>
    <x v="14"/>
    <n v="5"/>
    <n v="4437.59"/>
    <n v="0.19"/>
    <n v="17972.240000000002"/>
    <n v="22187.95"/>
    <n v="4215.7099999999991"/>
    <n v="17972.240000000002"/>
    <s v="UPI"/>
    <x v="2"/>
    <x v="2"/>
    <x v="0"/>
  </r>
  <r>
    <x v="774"/>
    <x v="41"/>
    <s v="Karnataka"/>
    <x v="0"/>
    <x v="4"/>
    <x v="17"/>
    <n v="5"/>
    <n v="3322.62"/>
    <n v="0.04"/>
    <n v="15948.58"/>
    <n v="16613.099999999999"/>
    <n v="664.51999999999862"/>
    <n v="15948.58"/>
    <s v="Credit Card"/>
    <x v="1"/>
    <x v="2"/>
    <x v="0"/>
  </r>
  <r>
    <x v="775"/>
    <x v="17"/>
    <s v="Delhi"/>
    <x v="2"/>
    <x v="3"/>
    <x v="12"/>
    <n v="2"/>
    <n v="3372.51"/>
    <n v="0.17"/>
    <n v="5598.37"/>
    <n v="6745.02"/>
    <n v="1146.6500000000005"/>
    <n v="5598.37"/>
    <s v="Credit Card"/>
    <x v="2"/>
    <x v="1"/>
    <x v="1"/>
  </r>
  <r>
    <x v="776"/>
    <x v="136"/>
    <s v="Gujarat"/>
    <x v="1"/>
    <x v="1"/>
    <x v="1"/>
    <n v="3"/>
    <n v="895.17"/>
    <n v="0.11"/>
    <n v="2390.1"/>
    <n v="2685.5099999999998"/>
    <n v="295.40999999999985"/>
    <n v="2390.1"/>
    <s v="UPI"/>
    <x v="2"/>
    <x v="2"/>
    <x v="0"/>
  </r>
  <r>
    <x v="777"/>
    <x v="99"/>
    <s v="Delhi"/>
    <x v="1"/>
    <x v="0"/>
    <x v="4"/>
    <n v="2"/>
    <n v="1271.19"/>
    <n v="0.18"/>
    <n v="2084.75"/>
    <n v="2542.38"/>
    <n v="457.63000000000011"/>
    <n v="2084.75"/>
    <s v="Net Banking"/>
    <x v="1"/>
    <x v="1"/>
    <x v="0"/>
  </r>
  <r>
    <x v="778"/>
    <x v="19"/>
    <s v="Karnataka"/>
    <x v="1"/>
    <x v="3"/>
    <x v="8"/>
    <n v="3"/>
    <n v="247.09"/>
    <n v="0.03"/>
    <n v="719.03"/>
    <n v="741.27"/>
    <n v="22.240000000000009"/>
    <n v="719.03"/>
    <s v="Credit Card"/>
    <x v="0"/>
    <x v="1"/>
    <x v="0"/>
  </r>
  <r>
    <x v="779"/>
    <x v="74"/>
    <s v="Maharashtra"/>
    <x v="3"/>
    <x v="1"/>
    <x v="1"/>
    <n v="2"/>
    <n v="1492.09"/>
    <n v="0.05"/>
    <n v="2834.97"/>
    <n v="2984.18"/>
    <n v="149.21000000000004"/>
    <n v="2834.97"/>
    <s v="Credit Card"/>
    <x v="0"/>
    <x v="1"/>
    <x v="0"/>
  </r>
  <r>
    <x v="780"/>
    <x v="142"/>
    <s v="Delhi"/>
    <x v="3"/>
    <x v="1"/>
    <x v="10"/>
    <n v="2"/>
    <n v="4230.12"/>
    <n v="0.23"/>
    <n v="6514.38"/>
    <n v="8460.24"/>
    <n v="1945.8599999999997"/>
    <n v="6514.38"/>
    <s v="Debit Card"/>
    <x v="0"/>
    <x v="2"/>
    <x v="0"/>
  </r>
  <r>
    <x v="781"/>
    <x v="6"/>
    <s v="Delhi"/>
    <x v="1"/>
    <x v="0"/>
    <x v="2"/>
    <n v="2"/>
    <n v="1911.24"/>
    <n v="0.09"/>
    <n v="3478.46"/>
    <n v="3822.48"/>
    <n v="344.02"/>
    <n v="3478.46"/>
    <s v="UPI"/>
    <x v="2"/>
    <x v="2"/>
    <x v="1"/>
  </r>
  <r>
    <x v="782"/>
    <x v="33"/>
    <s v="Delhi"/>
    <x v="1"/>
    <x v="0"/>
    <x v="0"/>
    <n v="2"/>
    <n v="2709.52"/>
    <n v="0.17"/>
    <n v="4497.8"/>
    <n v="5419.04"/>
    <n v="921.23999999999978"/>
    <n v="4497.8"/>
    <s v="Debit Card"/>
    <x v="0"/>
    <x v="1"/>
    <x v="2"/>
  </r>
  <r>
    <x v="783"/>
    <x v="23"/>
    <s v="Gujarat"/>
    <x v="0"/>
    <x v="3"/>
    <x v="8"/>
    <n v="5"/>
    <n v="1541.5"/>
    <n v="0.04"/>
    <n v="7399.2"/>
    <n v="7707.5"/>
    <n v="308.30000000000018"/>
    <n v="7399.2"/>
    <s v="COD"/>
    <x v="0"/>
    <x v="2"/>
    <x v="0"/>
  </r>
  <r>
    <x v="784"/>
    <x v="176"/>
    <s v="Gujarat"/>
    <x v="0"/>
    <x v="4"/>
    <x v="16"/>
    <n v="2"/>
    <n v="3663.76"/>
    <n v="0.2"/>
    <n v="5862.02"/>
    <n v="7327.52"/>
    <n v="1465.5"/>
    <n v="5862.02"/>
    <s v="COD"/>
    <x v="2"/>
    <x v="0"/>
    <x v="0"/>
  </r>
  <r>
    <x v="785"/>
    <x v="2"/>
    <s v="Tamil Nadu"/>
    <x v="1"/>
    <x v="2"/>
    <x v="6"/>
    <n v="2"/>
    <n v="1676.93"/>
    <n v="0.09"/>
    <n v="3052.01"/>
    <n v="3353.86"/>
    <n v="301.84999999999991"/>
    <n v="3052.01"/>
    <s v="COD"/>
    <x v="2"/>
    <x v="0"/>
    <x v="0"/>
  </r>
  <r>
    <x v="786"/>
    <x v="47"/>
    <s v="Karnataka"/>
    <x v="1"/>
    <x v="2"/>
    <x v="5"/>
    <n v="5"/>
    <n v="3283.71"/>
    <n v="0.05"/>
    <n v="15597.62"/>
    <n v="16418.55"/>
    <n v="820.92999999999847"/>
    <n v="15597.62"/>
    <s v="COD"/>
    <x v="2"/>
    <x v="2"/>
    <x v="1"/>
  </r>
  <r>
    <x v="787"/>
    <x v="5"/>
    <s v="Karnataka"/>
    <x v="0"/>
    <x v="2"/>
    <x v="11"/>
    <n v="5"/>
    <n v="870.33"/>
    <n v="0.21"/>
    <n v="3437.8"/>
    <n v="4351.6500000000005"/>
    <n v="913.85000000000036"/>
    <n v="3437.8"/>
    <s v="Net Banking"/>
    <x v="2"/>
    <x v="1"/>
    <x v="0"/>
  </r>
  <r>
    <x v="788"/>
    <x v="137"/>
    <s v="Tamil Nadu"/>
    <x v="2"/>
    <x v="0"/>
    <x v="2"/>
    <n v="2"/>
    <n v="2961.41"/>
    <n v="0.12"/>
    <n v="5212.08"/>
    <n v="5922.82"/>
    <n v="710.73999999999978"/>
    <n v="5212.08"/>
    <s v="COD"/>
    <x v="2"/>
    <x v="0"/>
    <x v="0"/>
  </r>
  <r>
    <x v="789"/>
    <x v="78"/>
    <s v="Tamil Nadu"/>
    <x v="3"/>
    <x v="2"/>
    <x v="5"/>
    <n v="3"/>
    <n v="1437.8"/>
    <n v="0.01"/>
    <n v="4270.2700000000004"/>
    <n v="4313.3999999999996"/>
    <n v="43.1299999999992"/>
    <n v="4270.2700000000004"/>
    <s v="UPI"/>
    <x v="2"/>
    <x v="1"/>
    <x v="0"/>
  </r>
  <r>
    <x v="790"/>
    <x v="166"/>
    <s v="Maharashtra"/>
    <x v="3"/>
    <x v="0"/>
    <x v="2"/>
    <n v="5"/>
    <n v="2778.59"/>
    <n v="0.02"/>
    <n v="13615.09"/>
    <n v="13892.95"/>
    <n v="277.86000000000058"/>
    <n v="13615.09"/>
    <s v="UPI"/>
    <x v="1"/>
    <x v="1"/>
    <x v="0"/>
  </r>
  <r>
    <x v="791"/>
    <x v="85"/>
    <s v="Maharashtra"/>
    <x v="2"/>
    <x v="0"/>
    <x v="2"/>
    <n v="3"/>
    <n v="1063.57"/>
    <n v="0.08"/>
    <n v="2935.45"/>
    <n v="3190.71"/>
    <n v="255.26000000000022"/>
    <n v="2935.45"/>
    <s v="COD"/>
    <x v="0"/>
    <x v="1"/>
    <x v="0"/>
  </r>
  <r>
    <x v="792"/>
    <x v="160"/>
    <s v="Gujarat"/>
    <x v="1"/>
    <x v="1"/>
    <x v="10"/>
    <n v="3"/>
    <n v="1481.04"/>
    <n v="0.09"/>
    <n v="4043.24"/>
    <n v="4443.12"/>
    <n v="399.88000000000011"/>
    <n v="4043.24"/>
    <s v="UPI"/>
    <x v="0"/>
    <x v="1"/>
    <x v="3"/>
  </r>
  <r>
    <x v="793"/>
    <x v="69"/>
    <s v="Gujarat"/>
    <x v="3"/>
    <x v="0"/>
    <x v="3"/>
    <n v="2"/>
    <n v="1211.94"/>
    <n v="0.19"/>
    <n v="1963.34"/>
    <n v="2423.88"/>
    <n v="460.54000000000019"/>
    <n v="1963.34"/>
    <s v="Debit Card"/>
    <x v="2"/>
    <x v="1"/>
    <x v="0"/>
  </r>
  <r>
    <x v="794"/>
    <x v="178"/>
    <s v="Tamil Nadu"/>
    <x v="1"/>
    <x v="1"/>
    <x v="14"/>
    <n v="3"/>
    <n v="4244.43"/>
    <n v="0.11"/>
    <n v="11332.63"/>
    <n v="12733.29"/>
    <n v="1400.6600000000017"/>
    <n v="11332.63"/>
    <s v="UPI"/>
    <x v="0"/>
    <x v="0"/>
    <x v="0"/>
  </r>
  <r>
    <x v="795"/>
    <x v="168"/>
    <s v="Karnataka"/>
    <x v="2"/>
    <x v="2"/>
    <x v="7"/>
    <n v="2"/>
    <n v="1597.3"/>
    <n v="0.18"/>
    <n v="2619.5700000000002"/>
    <n v="3194.6"/>
    <n v="575.02999999999975"/>
    <n v="2619.5700000000002"/>
    <s v="Debit Card"/>
    <x v="1"/>
    <x v="1"/>
    <x v="0"/>
  </r>
  <r>
    <x v="796"/>
    <x v="57"/>
    <s v="Tamil Nadu"/>
    <x v="3"/>
    <x v="2"/>
    <x v="5"/>
    <n v="3"/>
    <n v="2976.08"/>
    <n v="0.14000000000000001"/>
    <n v="7678.29"/>
    <n v="8928.24"/>
    <n v="1249.9499999999998"/>
    <n v="7678.29"/>
    <s v="COD"/>
    <x v="2"/>
    <x v="2"/>
    <x v="0"/>
  </r>
  <r>
    <x v="797"/>
    <x v="152"/>
    <s v="Tamil Nadu"/>
    <x v="2"/>
    <x v="4"/>
    <x v="18"/>
    <n v="1"/>
    <n v="2719"/>
    <n v="0.05"/>
    <n v="2583.0500000000002"/>
    <n v="2719"/>
    <n v="135.94999999999982"/>
    <n v="2583.0500000000002"/>
    <s v="Debit Card"/>
    <x v="2"/>
    <x v="2"/>
    <x v="0"/>
  </r>
  <r>
    <x v="798"/>
    <x v="63"/>
    <s v="Maharashtra"/>
    <x v="1"/>
    <x v="2"/>
    <x v="6"/>
    <n v="5"/>
    <n v="970.42"/>
    <n v="0.21"/>
    <n v="3833.16"/>
    <n v="4852.0999999999995"/>
    <n v="1018.9399999999996"/>
    <n v="3833.16"/>
    <s v="Debit Card"/>
    <x v="0"/>
    <x v="0"/>
    <x v="0"/>
  </r>
  <r>
    <x v="799"/>
    <x v="24"/>
    <s v="Tamil Nadu"/>
    <x v="0"/>
    <x v="3"/>
    <x v="8"/>
    <n v="2"/>
    <n v="1526.42"/>
    <n v="0.13"/>
    <n v="2655.97"/>
    <n v="3052.84"/>
    <n v="396.87000000000035"/>
    <n v="2655.97"/>
    <s v="UPI"/>
    <x v="0"/>
    <x v="1"/>
    <x v="0"/>
  </r>
  <r>
    <x v="800"/>
    <x v="35"/>
    <s v="Karnataka"/>
    <x v="1"/>
    <x v="0"/>
    <x v="4"/>
    <n v="2"/>
    <n v="4949.0200000000004"/>
    <n v="0.03"/>
    <n v="9601.1"/>
    <n v="9898.0400000000009"/>
    <n v="296.94000000000051"/>
    <n v="9601.1"/>
    <s v="Net Banking"/>
    <x v="2"/>
    <x v="1"/>
    <x v="0"/>
  </r>
  <r>
    <x v="801"/>
    <x v="112"/>
    <s v="Delhi"/>
    <x v="2"/>
    <x v="2"/>
    <x v="11"/>
    <n v="4"/>
    <n v="4107.6899999999996"/>
    <n v="0.17"/>
    <n v="13637.53"/>
    <n v="16430.759999999998"/>
    <n v="2793.2299999999977"/>
    <n v="13637.53"/>
    <s v="Debit Card"/>
    <x v="2"/>
    <x v="2"/>
    <x v="0"/>
  </r>
  <r>
    <x v="802"/>
    <x v="104"/>
    <s v="Karnataka"/>
    <x v="3"/>
    <x v="1"/>
    <x v="14"/>
    <n v="2"/>
    <n v="2284.08"/>
    <n v="0.21"/>
    <n v="3608.85"/>
    <n v="4568.16"/>
    <n v="959.31"/>
    <n v="3608.85"/>
    <s v="Debit Card"/>
    <x v="0"/>
    <x v="0"/>
    <x v="0"/>
  </r>
  <r>
    <x v="803"/>
    <x v="89"/>
    <s v="Tamil Nadu"/>
    <x v="2"/>
    <x v="1"/>
    <x v="14"/>
    <n v="1"/>
    <n v="3712.72"/>
    <n v="7.0000000000000007E-2"/>
    <n v="3452.83"/>
    <n v="3712.72"/>
    <n v="259.88999999999987"/>
    <n v="3452.83"/>
    <s v="Net Banking"/>
    <x v="1"/>
    <x v="1"/>
    <x v="0"/>
  </r>
  <r>
    <x v="804"/>
    <x v="5"/>
    <s v="Gujarat"/>
    <x v="1"/>
    <x v="4"/>
    <x v="18"/>
    <n v="2"/>
    <n v="979.93"/>
    <n v="0.15"/>
    <n v="1665.88"/>
    <n v="1959.86"/>
    <n v="293.97999999999979"/>
    <n v="1665.88"/>
    <s v="Debit Card"/>
    <x v="2"/>
    <x v="1"/>
    <x v="0"/>
  </r>
  <r>
    <x v="805"/>
    <x v="176"/>
    <s v="Tamil Nadu"/>
    <x v="0"/>
    <x v="3"/>
    <x v="8"/>
    <n v="2"/>
    <n v="1441.5"/>
    <n v="0.16"/>
    <n v="2421.7199999999998"/>
    <n v="2883"/>
    <n v="461.2800000000002"/>
    <n v="2421.7199999999998"/>
    <s v="Credit Card"/>
    <x v="0"/>
    <x v="1"/>
    <x v="0"/>
  </r>
  <r>
    <x v="806"/>
    <x v="94"/>
    <s v="Tamil Nadu"/>
    <x v="1"/>
    <x v="3"/>
    <x v="15"/>
    <n v="3"/>
    <n v="475.01"/>
    <n v="0.03"/>
    <n v="1382.28"/>
    <n v="1425.03"/>
    <n v="42.75"/>
    <n v="1382.28"/>
    <s v="COD"/>
    <x v="0"/>
    <x v="1"/>
    <x v="0"/>
  </r>
  <r>
    <x v="807"/>
    <x v="82"/>
    <s v="Gujarat"/>
    <x v="1"/>
    <x v="4"/>
    <x v="16"/>
    <n v="1"/>
    <n v="458.66"/>
    <n v="0.17"/>
    <n v="380.69"/>
    <n v="458.66"/>
    <n v="77.970000000000027"/>
    <n v="380.69"/>
    <s v="Credit Card"/>
    <x v="2"/>
    <x v="0"/>
    <x v="0"/>
  </r>
  <r>
    <x v="808"/>
    <x v="31"/>
    <s v="Tamil Nadu"/>
    <x v="1"/>
    <x v="2"/>
    <x v="11"/>
    <n v="3"/>
    <n v="661.95"/>
    <n v="0.23"/>
    <n v="1529.1"/>
    <n v="1985.8500000000001"/>
    <n v="456.75000000000023"/>
    <n v="1529.1"/>
    <s v="Credit Card"/>
    <x v="0"/>
    <x v="1"/>
    <x v="0"/>
  </r>
  <r>
    <x v="809"/>
    <x v="10"/>
    <s v="Gujarat"/>
    <x v="3"/>
    <x v="0"/>
    <x v="0"/>
    <n v="4"/>
    <n v="787.25"/>
    <n v="0.21"/>
    <n v="2487.71"/>
    <n v="3149"/>
    <n v="661.29"/>
    <n v="2487.71"/>
    <s v="Debit Card"/>
    <x v="1"/>
    <x v="2"/>
    <x v="3"/>
  </r>
  <r>
    <x v="810"/>
    <x v="99"/>
    <s v="Delhi"/>
    <x v="0"/>
    <x v="1"/>
    <x v="13"/>
    <n v="5"/>
    <n v="3733.09"/>
    <n v="0.04"/>
    <n v="17918.830000000002"/>
    <n v="18665.45"/>
    <n v="746.61999999999898"/>
    <n v="17918.830000000002"/>
    <s v="UPI"/>
    <x v="0"/>
    <x v="0"/>
    <x v="0"/>
  </r>
  <r>
    <x v="811"/>
    <x v="60"/>
    <s v="Karnataka"/>
    <x v="0"/>
    <x v="3"/>
    <x v="15"/>
    <n v="1"/>
    <n v="4474.17"/>
    <n v="0.13"/>
    <n v="3892.53"/>
    <n v="4474.17"/>
    <n v="581.63999999999987"/>
    <n v="3892.53"/>
    <s v="Debit Card"/>
    <x v="0"/>
    <x v="1"/>
    <x v="3"/>
  </r>
  <r>
    <x v="812"/>
    <x v="85"/>
    <s v="Tamil Nadu"/>
    <x v="3"/>
    <x v="1"/>
    <x v="13"/>
    <n v="1"/>
    <n v="3031.21"/>
    <n v="0.01"/>
    <n v="3000.9"/>
    <n v="3031.21"/>
    <n v="30.309999999999945"/>
    <n v="3000.9"/>
    <s v="UPI"/>
    <x v="2"/>
    <x v="1"/>
    <x v="1"/>
  </r>
  <r>
    <x v="813"/>
    <x v="59"/>
    <s v="Delhi"/>
    <x v="0"/>
    <x v="4"/>
    <x v="16"/>
    <n v="4"/>
    <n v="236.93"/>
    <n v="0"/>
    <n v="947.72"/>
    <n v="947.72"/>
    <n v="0"/>
    <n v="947.72"/>
    <s v="Credit Card"/>
    <x v="0"/>
    <x v="2"/>
    <x v="0"/>
  </r>
  <r>
    <x v="814"/>
    <x v="123"/>
    <s v="Delhi"/>
    <x v="3"/>
    <x v="0"/>
    <x v="4"/>
    <n v="5"/>
    <n v="627.65"/>
    <n v="0.08"/>
    <n v="2887.19"/>
    <n v="3138.25"/>
    <n v="251.05999999999995"/>
    <n v="2887.19"/>
    <s v="Credit Card"/>
    <x v="2"/>
    <x v="0"/>
    <x v="0"/>
  </r>
  <r>
    <x v="815"/>
    <x v="127"/>
    <s v="Tamil Nadu"/>
    <x v="1"/>
    <x v="1"/>
    <x v="14"/>
    <n v="2"/>
    <n v="618.84"/>
    <n v="0.08"/>
    <n v="1138.67"/>
    <n v="1237.68"/>
    <n v="99.009999999999991"/>
    <n v="1138.67"/>
    <s v="Credit Card"/>
    <x v="0"/>
    <x v="2"/>
    <x v="0"/>
  </r>
  <r>
    <x v="816"/>
    <x v="36"/>
    <s v="Delhi"/>
    <x v="2"/>
    <x v="0"/>
    <x v="3"/>
    <n v="1"/>
    <n v="3324.01"/>
    <n v="7.0000000000000007E-2"/>
    <n v="3091.33"/>
    <n v="3324.01"/>
    <n v="232.68000000000029"/>
    <n v="3091.33"/>
    <s v="Net Banking"/>
    <x v="0"/>
    <x v="0"/>
    <x v="0"/>
  </r>
  <r>
    <x v="817"/>
    <x v="18"/>
    <s v="Karnataka"/>
    <x v="3"/>
    <x v="3"/>
    <x v="15"/>
    <n v="1"/>
    <n v="3591.4"/>
    <n v="0.2"/>
    <n v="2873.12"/>
    <n v="3591.4"/>
    <n v="718.2800000000002"/>
    <n v="2873.12"/>
    <s v="COD"/>
    <x v="2"/>
    <x v="0"/>
    <x v="0"/>
  </r>
  <r>
    <x v="818"/>
    <x v="122"/>
    <s v="Tamil Nadu"/>
    <x v="1"/>
    <x v="0"/>
    <x v="2"/>
    <n v="2"/>
    <n v="3213.23"/>
    <n v="0.22"/>
    <n v="5012.6400000000003"/>
    <n v="6426.46"/>
    <n v="1413.8199999999997"/>
    <n v="5012.6400000000003"/>
    <s v="Debit Card"/>
    <x v="2"/>
    <x v="1"/>
    <x v="0"/>
  </r>
  <r>
    <x v="819"/>
    <x v="33"/>
    <s v="Tamil Nadu"/>
    <x v="3"/>
    <x v="0"/>
    <x v="3"/>
    <n v="2"/>
    <n v="2566.7600000000002"/>
    <n v="0.18"/>
    <n v="4209.49"/>
    <n v="5133.5200000000004"/>
    <n v="924.03000000000065"/>
    <n v="4209.49"/>
    <s v="COD"/>
    <x v="1"/>
    <x v="2"/>
    <x v="0"/>
  </r>
  <r>
    <x v="820"/>
    <x v="35"/>
    <s v="Delhi"/>
    <x v="2"/>
    <x v="0"/>
    <x v="2"/>
    <n v="5"/>
    <n v="489.01"/>
    <n v="0.03"/>
    <n v="2371.6999999999998"/>
    <n v="2445.0500000000002"/>
    <n v="73.350000000000364"/>
    <n v="2371.6999999999998"/>
    <s v="Net Banking"/>
    <x v="0"/>
    <x v="1"/>
    <x v="0"/>
  </r>
  <r>
    <x v="821"/>
    <x v="144"/>
    <s v="Maharashtra"/>
    <x v="3"/>
    <x v="2"/>
    <x v="11"/>
    <n v="5"/>
    <n v="4943.8999999999996"/>
    <n v="0.11"/>
    <n v="22000.35"/>
    <n v="24719.5"/>
    <n v="2719.1500000000015"/>
    <n v="22000.35"/>
    <s v="Debit Card"/>
    <x v="1"/>
    <x v="1"/>
    <x v="0"/>
  </r>
  <r>
    <x v="822"/>
    <x v="113"/>
    <s v="Karnataka"/>
    <x v="3"/>
    <x v="0"/>
    <x v="3"/>
    <n v="3"/>
    <n v="1779.37"/>
    <n v="0.05"/>
    <n v="5071.2"/>
    <n v="5338.11"/>
    <n v="266.90999999999985"/>
    <n v="5071.2"/>
    <s v="Credit Card"/>
    <x v="0"/>
    <x v="2"/>
    <x v="3"/>
  </r>
  <r>
    <x v="823"/>
    <x v="107"/>
    <s v="Gujarat"/>
    <x v="0"/>
    <x v="3"/>
    <x v="15"/>
    <n v="4"/>
    <n v="3185.93"/>
    <n v="0.02"/>
    <n v="12488.85"/>
    <n v="12743.72"/>
    <n v="254.86999999999898"/>
    <n v="12488.85"/>
    <s v="UPI"/>
    <x v="0"/>
    <x v="1"/>
    <x v="2"/>
  </r>
  <r>
    <x v="824"/>
    <x v="22"/>
    <s v="Delhi"/>
    <x v="3"/>
    <x v="0"/>
    <x v="4"/>
    <n v="2"/>
    <n v="3003.89"/>
    <n v="0.21"/>
    <n v="4746.1499999999996"/>
    <n v="6007.78"/>
    <n v="1261.6300000000001"/>
    <n v="4746.1499999999996"/>
    <s v="Debit Card"/>
    <x v="0"/>
    <x v="2"/>
    <x v="0"/>
  </r>
  <r>
    <x v="825"/>
    <x v="115"/>
    <s v="Karnataka"/>
    <x v="2"/>
    <x v="2"/>
    <x v="5"/>
    <n v="2"/>
    <n v="1300.1300000000001"/>
    <n v="0.04"/>
    <n v="2496.25"/>
    <n v="2600.2600000000002"/>
    <n v="104.01000000000022"/>
    <n v="2496.25"/>
    <s v="Debit Card"/>
    <x v="1"/>
    <x v="2"/>
    <x v="0"/>
  </r>
  <r>
    <x v="826"/>
    <x v="128"/>
    <s v="Karnataka"/>
    <x v="1"/>
    <x v="2"/>
    <x v="11"/>
    <n v="3"/>
    <n v="2051.4"/>
    <n v="0.04"/>
    <n v="5908.03"/>
    <n v="6154.2000000000007"/>
    <n v="246.17000000000098"/>
    <n v="5908.03"/>
    <s v="Net Banking"/>
    <x v="0"/>
    <x v="1"/>
    <x v="0"/>
  </r>
  <r>
    <x v="827"/>
    <x v="44"/>
    <s v="Tamil Nadu"/>
    <x v="3"/>
    <x v="2"/>
    <x v="11"/>
    <n v="4"/>
    <n v="4284.8100000000004"/>
    <n v="0.19"/>
    <n v="13882.78"/>
    <n v="17139.240000000002"/>
    <n v="3256.4600000000009"/>
    <n v="13882.78"/>
    <s v="Credit Card"/>
    <x v="2"/>
    <x v="1"/>
    <x v="0"/>
  </r>
  <r>
    <x v="828"/>
    <x v="145"/>
    <s v="Tamil Nadu"/>
    <x v="0"/>
    <x v="3"/>
    <x v="9"/>
    <n v="4"/>
    <n v="1487.81"/>
    <n v="0.14000000000000001"/>
    <n v="5118.07"/>
    <n v="5951.24"/>
    <n v="833.17000000000007"/>
    <n v="5118.07"/>
    <s v="Net Banking"/>
    <x v="2"/>
    <x v="1"/>
    <x v="0"/>
  </r>
  <r>
    <x v="829"/>
    <x v="69"/>
    <s v="Delhi"/>
    <x v="1"/>
    <x v="2"/>
    <x v="11"/>
    <n v="1"/>
    <n v="4322.1099999999997"/>
    <n v="0.18"/>
    <n v="3544.13"/>
    <n v="4322.1099999999997"/>
    <n v="777.97999999999956"/>
    <n v="3544.13"/>
    <s v="Debit Card"/>
    <x v="0"/>
    <x v="1"/>
    <x v="0"/>
  </r>
  <r>
    <x v="830"/>
    <x v="151"/>
    <s v="Karnataka"/>
    <x v="0"/>
    <x v="2"/>
    <x v="5"/>
    <n v="3"/>
    <n v="3241.14"/>
    <n v="0.15"/>
    <n v="8264.91"/>
    <n v="9723.42"/>
    <n v="1458.5100000000002"/>
    <n v="8264.91"/>
    <s v="Net Banking"/>
    <x v="2"/>
    <x v="1"/>
    <x v="2"/>
  </r>
  <r>
    <x v="831"/>
    <x v="158"/>
    <s v="Gujarat"/>
    <x v="2"/>
    <x v="0"/>
    <x v="3"/>
    <n v="4"/>
    <n v="4789.7700000000004"/>
    <n v="0.19"/>
    <n v="15518.85"/>
    <n v="19159.080000000002"/>
    <n v="3640.2300000000014"/>
    <n v="15518.85"/>
    <s v="Debit Card"/>
    <x v="0"/>
    <x v="0"/>
    <x v="0"/>
  </r>
  <r>
    <x v="832"/>
    <x v="113"/>
    <s v="Maharashtra"/>
    <x v="0"/>
    <x v="2"/>
    <x v="6"/>
    <n v="2"/>
    <n v="1287.53"/>
    <n v="0.01"/>
    <n v="2549.31"/>
    <n v="2575.06"/>
    <n v="25.75"/>
    <n v="2549.31"/>
    <s v="Net Banking"/>
    <x v="2"/>
    <x v="1"/>
    <x v="0"/>
  </r>
  <r>
    <x v="833"/>
    <x v="150"/>
    <s v="Gujarat"/>
    <x v="3"/>
    <x v="3"/>
    <x v="9"/>
    <n v="2"/>
    <n v="1346.01"/>
    <n v="0.15"/>
    <n v="2288.2199999999998"/>
    <n v="2692.02"/>
    <n v="403.80000000000018"/>
    <n v="2288.2199999999998"/>
    <s v="Net Banking"/>
    <x v="1"/>
    <x v="0"/>
    <x v="0"/>
  </r>
  <r>
    <x v="834"/>
    <x v="80"/>
    <s v="Tamil Nadu"/>
    <x v="1"/>
    <x v="0"/>
    <x v="3"/>
    <n v="5"/>
    <n v="4558.75"/>
    <n v="0.22"/>
    <n v="17779.12"/>
    <n v="22793.75"/>
    <n v="5014.630000000001"/>
    <n v="17779.12"/>
    <s v="COD"/>
    <x v="0"/>
    <x v="2"/>
    <x v="0"/>
  </r>
  <r>
    <x v="835"/>
    <x v="22"/>
    <s v="Gujarat"/>
    <x v="0"/>
    <x v="4"/>
    <x v="18"/>
    <n v="4"/>
    <n v="3787.07"/>
    <n v="0.23"/>
    <n v="11664.18"/>
    <n v="15148.28"/>
    <n v="3484.1000000000004"/>
    <n v="11664.18"/>
    <s v="UPI"/>
    <x v="1"/>
    <x v="2"/>
    <x v="0"/>
  </r>
  <r>
    <x v="836"/>
    <x v="111"/>
    <s v="Karnataka"/>
    <x v="1"/>
    <x v="4"/>
    <x v="16"/>
    <n v="4"/>
    <n v="3525.14"/>
    <n v="0"/>
    <n v="14100.56"/>
    <n v="14100.56"/>
    <n v="0"/>
    <n v="14100.56"/>
    <s v="Debit Card"/>
    <x v="1"/>
    <x v="2"/>
    <x v="0"/>
  </r>
  <r>
    <x v="837"/>
    <x v="88"/>
    <s v="Gujarat"/>
    <x v="3"/>
    <x v="0"/>
    <x v="3"/>
    <n v="3"/>
    <n v="3691.91"/>
    <n v="0.04"/>
    <n v="10632.7"/>
    <n v="11075.73"/>
    <n v="443.02999999999884"/>
    <n v="10632.7"/>
    <s v="Net Banking"/>
    <x v="1"/>
    <x v="1"/>
    <x v="0"/>
  </r>
  <r>
    <x v="838"/>
    <x v="106"/>
    <s v="Delhi"/>
    <x v="0"/>
    <x v="3"/>
    <x v="15"/>
    <n v="4"/>
    <n v="2878.75"/>
    <n v="0.05"/>
    <n v="10939.25"/>
    <n v="11515"/>
    <n v="575.75"/>
    <n v="10939.25"/>
    <s v="COD"/>
    <x v="0"/>
    <x v="2"/>
    <x v="0"/>
  </r>
  <r>
    <x v="839"/>
    <x v="10"/>
    <s v="Tamil Nadu"/>
    <x v="2"/>
    <x v="3"/>
    <x v="9"/>
    <n v="5"/>
    <n v="635.05999999999995"/>
    <n v="0.16"/>
    <n v="2667.25"/>
    <n v="3175.2999999999997"/>
    <n v="508.04999999999973"/>
    <n v="2667.25"/>
    <s v="Net Banking"/>
    <x v="1"/>
    <x v="2"/>
    <x v="0"/>
  </r>
  <r>
    <x v="840"/>
    <x v="143"/>
    <s v="Maharashtra"/>
    <x v="0"/>
    <x v="0"/>
    <x v="2"/>
    <n v="5"/>
    <n v="1250.42"/>
    <n v="0.12"/>
    <n v="5501.85"/>
    <n v="6252.1"/>
    <n v="750.25"/>
    <n v="5501.85"/>
    <s v="UPI"/>
    <x v="0"/>
    <x v="2"/>
    <x v="0"/>
  </r>
  <r>
    <x v="841"/>
    <x v="78"/>
    <s v="Maharashtra"/>
    <x v="1"/>
    <x v="0"/>
    <x v="0"/>
    <n v="1"/>
    <n v="1940.76"/>
    <n v="0.13"/>
    <n v="1688.46"/>
    <n v="1940.76"/>
    <n v="252.29999999999995"/>
    <n v="1688.46"/>
    <s v="Debit Card"/>
    <x v="1"/>
    <x v="1"/>
    <x v="0"/>
  </r>
  <r>
    <x v="842"/>
    <x v="136"/>
    <s v="Karnataka"/>
    <x v="1"/>
    <x v="4"/>
    <x v="18"/>
    <n v="3"/>
    <n v="4997.28"/>
    <n v="0.2"/>
    <n v="11993.47"/>
    <n v="14991.84"/>
    <n v="2998.3700000000008"/>
    <n v="11993.47"/>
    <s v="UPI"/>
    <x v="1"/>
    <x v="1"/>
    <x v="0"/>
  </r>
  <r>
    <x v="843"/>
    <x v="24"/>
    <s v="Karnataka"/>
    <x v="0"/>
    <x v="0"/>
    <x v="2"/>
    <n v="4"/>
    <n v="4365.6499999999996"/>
    <n v="0.1"/>
    <n v="15716.34"/>
    <n v="17462.599999999999"/>
    <n v="1746.2599999999984"/>
    <n v="15716.34"/>
    <s v="Credit Card"/>
    <x v="0"/>
    <x v="2"/>
    <x v="0"/>
  </r>
  <r>
    <x v="844"/>
    <x v="10"/>
    <s v="Delhi"/>
    <x v="1"/>
    <x v="1"/>
    <x v="1"/>
    <n v="5"/>
    <n v="3462.31"/>
    <n v="0.22"/>
    <n v="13503.01"/>
    <n v="17311.55"/>
    <n v="3808.5399999999991"/>
    <n v="13503.01"/>
    <s v="UPI"/>
    <x v="2"/>
    <x v="0"/>
    <x v="0"/>
  </r>
  <r>
    <x v="845"/>
    <x v="20"/>
    <s v="Maharashtra"/>
    <x v="1"/>
    <x v="0"/>
    <x v="2"/>
    <n v="3"/>
    <n v="3421.85"/>
    <n v="0.06"/>
    <n v="9649.6200000000008"/>
    <n v="10265.549999999999"/>
    <n v="615.92999999999847"/>
    <n v="9649.6200000000008"/>
    <s v="UPI"/>
    <x v="0"/>
    <x v="1"/>
    <x v="0"/>
  </r>
  <r>
    <x v="846"/>
    <x v="36"/>
    <s v="Tamil Nadu"/>
    <x v="3"/>
    <x v="0"/>
    <x v="2"/>
    <n v="1"/>
    <n v="3697.96"/>
    <n v="7.0000000000000007E-2"/>
    <n v="3439.1"/>
    <n v="3697.96"/>
    <n v="258.86000000000013"/>
    <n v="3439.1"/>
    <s v="Net Banking"/>
    <x v="1"/>
    <x v="2"/>
    <x v="1"/>
  </r>
  <r>
    <x v="847"/>
    <x v="56"/>
    <s v="Delhi"/>
    <x v="3"/>
    <x v="1"/>
    <x v="13"/>
    <n v="3"/>
    <n v="4178.54"/>
    <n v="0.25"/>
    <n v="9401.7199999999993"/>
    <n v="12535.619999999999"/>
    <n v="3133.8999999999996"/>
    <n v="9401.7199999999993"/>
    <s v="Net Banking"/>
    <x v="0"/>
    <x v="1"/>
    <x v="1"/>
  </r>
  <r>
    <x v="848"/>
    <x v="174"/>
    <s v="Gujarat"/>
    <x v="0"/>
    <x v="0"/>
    <x v="3"/>
    <n v="2"/>
    <n v="935.12"/>
    <n v="0.24"/>
    <n v="1421.38"/>
    <n v="1870.24"/>
    <n v="448.8599999999999"/>
    <n v="1421.38"/>
    <s v="Debit Card"/>
    <x v="0"/>
    <x v="0"/>
    <x v="0"/>
  </r>
  <r>
    <x v="849"/>
    <x v="138"/>
    <s v="Karnataka"/>
    <x v="0"/>
    <x v="0"/>
    <x v="4"/>
    <n v="2"/>
    <n v="3623.96"/>
    <n v="0.17"/>
    <n v="6015.77"/>
    <n v="7247.92"/>
    <n v="1232.1499999999996"/>
    <n v="6015.77"/>
    <s v="Net Banking"/>
    <x v="2"/>
    <x v="0"/>
    <x v="0"/>
  </r>
  <r>
    <x v="850"/>
    <x v="161"/>
    <s v="Maharashtra"/>
    <x v="2"/>
    <x v="1"/>
    <x v="14"/>
    <n v="5"/>
    <n v="3855.05"/>
    <n v="0.15"/>
    <n v="16383.96"/>
    <n v="19275.25"/>
    <n v="2891.2900000000009"/>
    <n v="16383.96"/>
    <s v="UPI"/>
    <x v="0"/>
    <x v="0"/>
    <x v="0"/>
  </r>
  <r>
    <x v="851"/>
    <x v="102"/>
    <s v="Delhi"/>
    <x v="3"/>
    <x v="2"/>
    <x v="5"/>
    <n v="1"/>
    <n v="1525.78"/>
    <n v="0.03"/>
    <n v="1480.01"/>
    <n v="1525.78"/>
    <n v="45.769999999999982"/>
    <n v="1480.01"/>
    <s v="Debit Card"/>
    <x v="2"/>
    <x v="1"/>
    <x v="0"/>
  </r>
  <r>
    <x v="852"/>
    <x v="38"/>
    <s v="Delhi"/>
    <x v="3"/>
    <x v="0"/>
    <x v="2"/>
    <n v="5"/>
    <n v="3710.9"/>
    <n v="0.08"/>
    <n v="17070.14"/>
    <n v="18554.5"/>
    <n v="1484.3600000000006"/>
    <n v="17070.14"/>
    <s v="UPI"/>
    <x v="2"/>
    <x v="0"/>
    <x v="3"/>
  </r>
  <r>
    <x v="853"/>
    <x v="97"/>
    <s v="Karnataka"/>
    <x v="1"/>
    <x v="2"/>
    <x v="6"/>
    <n v="5"/>
    <n v="2994.8"/>
    <n v="0.03"/>
    <n v="14524.78"/>
    <n v="14974"/>
    <n v="449.21999999999935"/>
    <n v="14524.78"/>
    <s v="Debit Card"/>
    <x v="1"/>
    <x v="2"/>
    <x v="0"/>
  </r>
  <r>
    <x v="854"/>
    <x v="60"/>
    <s v="Tamil Nadu"/>
    <x v="0"/>
    <x v="4"/>
    <x v="16"/>
    <n v="5"/>
    <n v="1488.62"/>
    <n v="0.19"/>
    <n v="6028.91"/>
    <n v="7443.0999999999995"/>
    <n v="1414.1899999999996"/>
    <n v="6028.91"/>
    <s v="Net Banking"/>
    <x v="0"/>
    <x v="0"/>
    <x v="0"/>
  </r>
  <r>
    <x v="855"/>
    <x v="137"/>
    <s v="Karnataka"/>
    <x v="0"/>
    <x v="4"/>
    <x v="19"/>
    <n v="2"/>
    <n v="2525.63"/>
    <n v="0.18"/>
    <n v="4142.03"/>
    <n v="5051.26"/>
    <n v="909.23000000000047"/>
    <n v="4142.03"/>
    <s v="COD"/>
    <x v="2"/>
    <x v="1"/>
    <x v="2"/>
  </r>
  <r>
    <x v="856"/>
    <x v="27"/>
    <s v="Delhi"/>
    <x v="1"/>
    <x v="4"/>
    <x v="16"/>
    <n v="1"/>
    <n v="4623.47"/>
    <n v="0.19"/>
    <n v="3745.01"/>
    <n v="4623.47"/>
    <n v="878.46"/>
    <n v="3745.01"/>
    <s v="Debit Card"/>
    <x v="1"/>
    <x v="1"/>
    <x v="0"/>
  </r>
  <r>
    <x v="857"/>
    <x v="171"/>
    <s v="Gujarat"/>
    <x v="1"/>
    <x v="3"/>
    <x v="8"/>
    <n v="4"/>
    <n v="3421.7"/>
    <n v="0.25"/>
    <n v="10265.1"/>
    <n v="13686.8"/>
    <n v="3421.6999999999989"/>
    <n v="10265.1"/>
    <s v="Net Banking"/>
    <x v="2"/>
    <x v="1"/>
    <x v="0"/>
  </r>
  <r>
    <x v="858"/>
    <x v="99"/>
    <s v="Delhi"/>
    <x v="0"/>
    <x v="4"/>
    <x v="17"/>
    <n v="1"/>
    <n v="741.41"/>
    <n v="0.19"/>
    <n v="600.54"/>
    <n v="741.41"/>
    <n v="140.87"/>
    <n v="600.54"/>
    <s v="COD"/>
    <x v="2"/>
    <x v="0"/>
    <x v="3"/>
  </r>
  <r>
    <x v="859"/>
    <x v="115"/>
    <s v="Delhi"/>
    <x v="3"/>
    <x v="4"/>
    <x v="18"/>
    <n v="4"/>
    <n v="3510.18"/>
    <n v="7.0000000000000007E-2"/>
    <n v="13057.87"/>
    <n v="14040.72"/>
    <n v="982.84999999999854"/>
    <n v="13057.87"/>
    <s v="COD"/>
    <x v="0"/>
    <x v="2"/>
    <x v="0"/>
  </r>
  <r>
    <x v="860"/>
    <x v="84"/>
    <s v="Karnataka"/>
    <x v="3"/>
    <x v="3"/>
    <x v="8"/>
    <n v="2"/>
    <n v="1945.12"/>
    <n v="0.25"/>
    <n v="2917.68"/>
    <n v="3890.24"/>
    <n v="972.56"/>
    <n v="2917.68"/>
    <s v="COD"/>
    <x v="0"/>
    <x v="0"/>
    <x v="1"/>
  </r>
  <r>
    <x v="861"/>
    <x v="70"/>
    <s v="Tamil Nadu"/>
    <x v="1"/>
    <x v="0"/>
    <x v="2"/>
    <n v="1"/>
    <n v="4903.3599999999997"/>
    <n v="0.16"/>
    <n v="4118.82"/>
    <n v="4903.3599999999997"/>
    <n v="784.54"/>
    <n v="4118.82"/>
    <s v="Debit Card"/>
    <x v="0"/>
    <x v="0"/>
    <x v="2"/>
  </r>
  <r>
    <x v="862"/>
    <x v="4"/>
    <s v="Maharashtra"/>
    <x v="1"/>
    <x v="2"/>
    <x v="11"/>
    <n v="4"/>
    <n v="2494.27"/>
    <n v="0.17"/>
    <n v="8280.98"/>
    <n v="9977.08"/>
    <n v="1696.1000000000004"/>
    <n v="8280.98"/>
    <s v="Credit Card"/>
    <x v="0"/>
    <x v="2"/>
    <x v="3"/>
  </r>
  <r>
    <x v="863"/>
    <x v="40"/>
    <s v="Tamil Nadu"/>
    <x v="0"/>
    <x v="0"/>
    <x v="3"/>
    <n v="4"/>
    <n v="1899.88"/>
    <n v="0.03"/>
    <n v="7371.53"/>
    <n v="7599.52"/>
    <n v="227.99000000000069"/>
    <n v="7371.53"/>
    <s v="UPI"/>
    <x v="1"/>
    <x v="2"/>
    <x v="0"/>
  </r>
  <r>
    <x v="864"/>
    <x v="127"/>
    <s v="Maharashtra"/>
    <x v="3"/>
    <x v="1"/>
    <x v="10"/>
    <n v="5"/>
    <n v="2449.54"/>
    <n v="0.17"/>
    <n v="10165.59"/>
    <n v="12247.7"/>
    <n v="2082.1100000000006"/>
    <n v="10165.59"/>
    <s v="COD"/>
    <x v="1"/>
    <x v="2"/>
    <x v="0"/>
  </r>
  <r>
    <x v="865"/>
    <x v="170"/>
    <s v="Gujarat"/>
    <x v="3"/>
    <x v="2"/>
    <x v="6"/>
    <n v="3"/>
    <n v="411.14"/>
    <n v="0.23"/>
    <n v="949.73"/>
    <n v="1233.42"/>
    <n v="283.69000000000005"/>
    <n v="949.73"/>
    <s v="Debit Card"/>
    <x v="0"/>
    <x v="0"/>
    <x v="0"/>
  </r>
  <r>
    <x v="866"/>
    <x v="129"/>
    <s v="Gujarat"/>
    <x v="0"/>
    <x v="0"/>
    <x v="3"/>
    <n v="4"/>
    <n v="413.27"/>
    <n v="0.21"/>
    <n v="1305.93"/>
    <n v="1653.08"/>
    <n v="347.14999999999986"/>
    <n v="1305.93"/>
    <s v="COD"/>
    <x v="1"/>
    <x v="0"/>
    <x v="3"/>
  </r>
  <r>
    <x v="867"/>
    <x v="109"/>
    <s v="Delhi"/>
    <x v="0"/>
    <x v="3"/>
    <x v="8"/>
    <n v="2"/>
    <n v="126.09"/>
    <n v="0.11"/>
    <n v="224.44"/>
    <n v="252.18"/>
    <n v="27.740000000000009"/>
    <n v="224.44"/>
    <s v="COD"/>
    <x v="1"/>
    <x v="1"/>
    <x v="0"/>
  </r>
  <r>
    <x v="868"/>
    <x v="133"/>
    <s v="Delhi"/>
    <x v="2"/>
    <x v="1"/>
    <x v="10"/>
    <n v="3"/>
    <n v="4272.1099999999997"/>
    <n v="0.01"/>
    <n v="12688.17"/>
    <n v="12816.329999999998"/>
    <n v="128.15999999999804"/>
    <n v="12688.17"/>
    <s v="Credit Card"/>
    <x v="1"/>
    <x v="2"/>
    <x v="0"/>
  </r>
  <r>
    <x v="869"/>
    <x v="4"/>
    <s v="Tamil Nadu"/>
    <x v="1"/>
    <x v="1"/>
    <x v="10"/>
    <n v="3"/>
    <n v="326.20999999999998"/>
    <n v="0.24"/>
    <n v="743.76"/>
    <n v="978.62999999999988"/>
    <n v="234.86999999999989"/>
    <n v="743.76"/>
    <s v="Credit Card"/>
    <x v="0"/>
    <x v="1"/>
    <x v="0"/>
  </r>
  <r>
    <x v="870"/>
    <x v="143"/>
    <s v="Gujarat"/>
    <x v="0"/>
    <x v="2"/>
    <x v="6"/>
    <n v="5"/>
    <n v="2601.89"/>
    <n v="0.17"/>
    <n v="10797.84"/>
    <n v="13009.449999999999"/>
    <n v="2211.6099999999988"/>
    <n v="10797.84"/>
    <s v="UPI"/>
    <x v="1"/>
    <x v="0"/>
    <x v="0"/>
  </r>
  <r>
    <x v="871"/>
    <x v="53"/>
    <s v="Karnataka"/>
    <x v="3"/>
    <x v="3"/>
    <x v="12"/>
    <n v="5"/>
    <n v="2805.15"/>
    <n v="0.15"/>
    <n v="11921.89"/>
    <n v="14025.75"/>
    <n v="2103.8600000000006"/>
    <n v="11921.89"/>
    <s v="Debit Card"/>
    <x v="0"/>
    <x v="1"/>
    <x v="0"/>
  </r>
  <r>
    <x v="872"/>
    <x v="141"/>
    <s v="Gujarat"/>
    <x v="0"/>
    <x v="2"/>
    <x v="7"/>
    <n v="4"/>
    <n v="3283.87"/>
    <n v="0.04"/>
    <n v="12610.06"/>
    <n v="13135.48"/>
    <n v="525.42000000000007"/>
    <n v="12610.06"/>
    <s v="UPI"/>
    <x v="2"/>
    <x v="1"/>
    <x v="1"/>
  </r>
  <r>
    <x v="873"/>
    <x v="165"/>
    <s v="Gujarat"/>
    <x v="2"/>
    <x v="2"/>
    <x v="11"/>
    <n v="3"/>
    <n v="4977.26"/>
    <n v="0.17"/>
    <n v="12393.38"/>
    <n v="14931.78"/>
    <n v="2538.4000000000015"/>
    <n v="12393.38"/>
    <s v="Debit Card"/>
    <x v="0"/>
    <x v="2"/>
    <x v="0"/>
  </r>
  <r>
    <x v="874"/>
    <x v="19"/>
    <s v="Tamil Nadu"/>
    <x v="0"/>
    <x v="1"/>
    <x v="10"/>
    <n v="4"/>
    <n v="1956.82"/>
    <n v="0.24"/>
    <n v="5948.73"/>
    <n v="7827.28"/>
    <n v="1878.5500000000002"/>
    <n v="5948.73"/>
    <s v="Debit Card"/>
    <x v="2"/>
    <x v="2"/>
    <x v="0"/>
  </r>
  <r>
    <x v="875"/>
    <x v="81"/>
    <s v="Gujarat"/>
    <x v="2"/>
    <x v="1"/>
    <x v="13"/>
    <n v="3"/>
    <n v="3236.87"/>
    <n v="0.09"/>
    <n v="8836.66"/>
    <n v="9710.61"/>
    <n v="873.95000000000073"/>
    <n v="8836.66"/>
    <s v="Net Banking"/>
    <x v="0"/>
    <x v="1"/>
    <x v="0"/>
  </r>
  <r>
    <x v="876"/>
    <x v="41"/>
    <s v="Maharashtra"/>
    <x v="3"/>
    <x v="3"/>
    <x v="9"/>
    <n v="2"/>
    <n v="1955.3"/>
    <n v="0.03"/>
    <n v="3793.28"/>
    <n v="3910.6"/>
    <n v="117.31999999999971"/>
    <n v="3793.28"/>
    <s v="Credit Card"/>
    <x v="2"/>
    <x v="2"/>
    <x v="0"/>
  </r>
  <r>
    <x v="877"/>
    <x v="83"/>
    <s v="Maharashtra"/>
    <x v="0"/>
    <x v="4"/>
    <x v="18"/>
    <n v="5"/>
    <n v="4340.45"/>
    <n v="0.14000000000000001"/>
    <n v="18663.939999999999"/>
    <n v="21702.25"/>
    <n v="3038.3100000000013"/>
    <n v="18663.939999999999"/>
    <s v="COD"/>
    <x v="2"/>
    <x v="0"/>
    <x v="1"/>
  </r>
  <r>
    <x v="878"/>
    <x v="10"/>
    <s v="Tamil Nadu"/>
    <x v="1"/>
    <x v="3"/>
    <x v="9"/>
    <n v="5"/>
    <n v="2803.19"/>
    <n v="0.22"/>
    <n v="10932.44"/>
    <n v="14015.95"/>
    <n v="3083.51"/>
    <n v="10932.44"/>
    <s v="Debit Card"/>
    <x v="2"/>
    <x v="1"/>
    <x v="0"/>
  </r>
  <r>
    <x v="879"/>
    <x v="50"/>
    <s v="Gujarat"/>
    <x v="0"/>
    <x v="4"/>
    <x v="19"/>
    <n v="2"/>
    <n v="799.08"/>
    <n v="0.14000000000000001"/>
    <n v="1374.42"/>
    <n v="1598.16"/>
    <n v="223.74"/>
    <n v="1374.42"/>
    <s v="Debit Card"/>
    <x v="1"/>
    <x v="1"/>
    <x v="1"/>
  </r>
  <r>
    <x v="880"/>
    <x v="53"/>
    <s v="Gujarat"/>
    <x v="2"/>
    <x v="4"/>
    <x v="16"/>
    <n v="4"/>
    <n v="997.21"/>
    <n v="0.25"/>
    <n v="2991.63"/>
    <n v="3988.84"/>
    <n v="997.21"/>
    <n v="2991.63"/>
    <s v="Net Banking"/>
    <x v="1"/>
    <x v="1"/>
    <x v="0"/>
  </r>
  <r>
    <x v="881"/>
    <x v="103"/>
    <s v="Karnataka"/>
    <x v="0"/>
    <x v="2"/>
    <x v="11"/>
    <n v="4"/>
    <n v="3875.83"/>
    <n v="0.21"/>
    <n v="12247.62"/>
    <n v="15503.32"/>
    <n v="3255.6999999999989"/>
    <n v="12247.62"/>
    <s v="Credit Card"/>
    <x v="2"/>
    <x v="0"/>
    <x v="0"/>
  </r>
  <r>
    <x v="882"/>
    <x v="108"/>
    <s v="Delhi"/>
    <x v="0"/>
    <x v="3"/>
    <x v="8"/>
    <n v="1"/>
    <n v="3742.71"/>
    <n v="0.14000000000000001"/>
    <n v="3218.73"/>
    <n v="3742.71"/>
    <n v="523.98"/>
    <n v="3218.73"/>
    <s v="COD"/>
    <x v="0"/>
    <x v="1"/>
    <x v="2"/>
  </r>
  <r>
    <x v="883"/>
    <x v="66"/>
    <s v="Tamil Nadu"/>
    <x v="3"/>
    <x v="2"/>
    <x v="11"/>
    <n v="5"/>
    <n v="3519.62"/>
    <n v="0.1"/>
    <n v="15838.29"/>
    <n v="17598.099999999999"/>
    <n v="1759.8099999999977"/>
    <n v="15838.29"/>
    <s v="Net Banking"/>
    <x v="1"/>
    <x v="0"/>
    <x v="1"/>
  </r>
  <r>
    <x v="884"/>
    <x v="112"/>
    <s v="Gujarat"/>
    <x v="3"/>
    <x v="0"/>
    <x v="3"/>
    <n v="5"/>
    <n v="3451.98"/>
    <n v="0.01"/>
    <n v="17087.3"/>
    <n v="17259.900000000001"/>
    <n v="172.60000000000218"/>
    <n v="17087.3"/>
    <s v="UPI"/>
    <x v="0"/>
    <x v="1"/>
    <x v="0"/>
  </r>
  <r>
    <x v="885"/>
    <x v="175"/>
    <s v="Delhi"/>
    <x v="1"/>
    <x v="1"/>
    <x v="10"/>
    <n v="2"/>
    <n v="2617.0500000000002"/>
    <n v="0.24"/>
    <n v="3977.92"/>
    <n v="5234.1000000000004"/>
    <n v="1256.1800000000003"/>
    <n v="3977.92"/>
    <s v="Credit Card"/>
    <x v="2"/>
    <x v="1"/>
    <x v="0"/>
  </r>
  <r>
    <x v="886"/>
    <x v="108"/>
    <s v="Karnataka"/>
    <x v="3"/>
    <x v="4"/>
    <x v="19"/>
    <n v="1"/>
    <n v="1521.32"/>
    <n v="0.12"/>
    <n v="1338.76"/>
    <n v="1521.32"/>
    <n v="182.55999999999995"/>
    <n v="1338.76"/>
    <s v="Debit Card"/>
    <x v="1"/>
    <x v="1"/>
    <x v="0"/>
  </r>
  <r>
    <x v="887"/>
    <x v="146"/>
    <s v="Delhi"/>
    <x v="1"/>
    <x v="1"/>
    <x v="14"/>
    <n v="5"/>
    <n v="4146.0600000000004"/>
    <n v="0.01"/>
    <n v="20523"/>
    <n v="20730.300000000003"/>
    <n v="207.30000000000291"/>
    <n v="20523"/>
    <s v="UPI"/>
    <x v="1"/>
    <x v="1"/>
    <x v="0"/>
  </r>
  <r>
    <x v="888"/>
    <x v="39"/>
    <s v="Karnataka"/>
    <x v="1"/>
    <x v="0"/>
    <x v="3"/>
    <n v="1"/>
    <n v="125.26"/>
    <n v="0.22"/>
    <n v="97.7"/>
    <n v="125.26"/>
    <n v="27.560000000000002"/>
    <n v="97.7"/>
    <s v="UPI"/>
    <x v="2"/>
    <x v="2"/>
    <x v="0"/>
  </r>
  <r>
    <x v="889"/>
    <x v="90"/>
    <s v="Tamil Nadu"/>
    <x v="1"/>
    <x v="0"/>
    <x v="3"/>
    <n v="5"/>
    <n v="2620.16"/>
    <n v="0.04"/>
    <n v="12576.77"/>
    <n v="13100.8"/>
    <n v="524.02999999999884"/>
    <n v="12576.77"/>
    <s v="Debit Card"/>
    <x v="0"/>
    <x v="2"/>
    <x v="0"/>
  </r>
  <r>
    <x v="890"/>
    <x v="178"/>
    <s v="Tamil Nadu"/>
    <x v="2"/>
    <x v="4"/>
    <x v="16"/>
    <n v="3"/>
    <n v="1886.03"/>
    <n v="0.22"/>
    <n v="4413.3100000000004"/>
    <n v="5658.09"/>
    <n v="1244.7799999999997"/>
    <n v="4413.3100000000004"/>
    <s v="Net Banking"/>
    <x v="2"/>
    <x v="0"/>
    <x v="0"/>
  </r>
  <r>
    <x v="891"/>
    <x v="155"/>
    <s v="Delhi"/>
    <x v="3"/>
    <x v="2"/>
    <x v="5"/>
    <n v="4"/>
    <n v="128.47"/>
    <n v="0.22"/>
    <n v="400.83"/>
    <n v="513.88"/>
    <n v="113.05000000000001"/>
    <n v="400.83"/>
    <s v="Debit Card"/>
    <x v="2"/>
    <x v="0"/>
    <x v="0"/>
  </r>
  <r>
    <x v="892"/>
    <x v="148"/>
    <s v="Delhi"/>
    <x v="1"/>
    <x v="4"/>
    <x v="19"/>
    <n v="3"/>
    <n v="4514.8900000000003"/>
    <n v="0.04"/>
    <n v="13002.88"/>
    <n v="13544.670000000002"/>
    <n v="541.79000000000269"/>
    <n v="13002.88"/>
    <s v="Net Banking"/>
    <x v="2"/>
    <x v="2"/>
    <x v="2"/>
  </r>
  <r>
    <x v="893"/>
    <x v="11"/>
    <s v="Tamil Nadu"/>
    <x v="1"/>
    <x v="4"/>
    <x v="19"/>
    <n v="4"/>
    <n v="4019.12"/>
    <n v="0.18"/>
    <n v="13182.71"/>
    <n v="16076.48"/>
    <n v="2893.7700000000004"/>
    <n v="13182.71"/>
    <s v="Net Banking"/>
    <x v="1"/>
    <x v="1"/>
    <x v="0"/>
  </r>
  <r>
    <x v="894"/>
    <x v="113"/>
    <s v="Maharashtra"/>
    <x v="3"/>
    <x v="2"/>
    <x v="11"/>
    <n v="2"/>
    <n v="862.16"/>
    <n v="0.13"/>
    <n v="1500.16"/>
    <n v="1724.32"/>
    <n v="224.15999999999985"/>
    <n v="1500.16"/>
    <s v="Credit Card"/>
    <x v="0"/>
    <x v="0"/>
    <x v="0"/>
  </r>
  <r>
    <x v="895"/>
    <x v="178"/>
    <s v="Gujarat"/>
    <x v="3"/>
    <x v="4"/>
    <x v="18"/>
    <n v="4"/>
    <n v="1518.39"/>
    <n v="0.12"/>
    <n v="5344.73"/>
    <n v="6073.56"/>
    <n v="728.83000000000084"/>
    <n v="5344.73"/>
    <s v="Credit Card"/>
    <x v="2"/>
    <x v="1"/>
    <x v="0"/>
  </r>
  <r>
    <x v="896"/>
    <x v="90"/>
    <s v="Delhi"/>
    <x v="3"/>
    <x v="1"/>
    <x v="10"/>
    <n v="3"/>
    <n v="4971.8599999999997"/>
    <n v="0.06"/>
    <n v="14020.65"/>
    <n v="14915.579999999998"/>
    <n v="894.92999999999847"/>
    <n v="14020.65"/>
    <s v="UPI"/>
    <x v="0"/>
    <x v="1"/>
    <x v="0"/>
  </r>
  <r>
    <x v="897"/>
    <x v="73"/>
    <s v="Delhi"/>
    <x v="2"/>
    <x v="0"/>
    <x v="4"/>
    <n v="2"/>
    <n v="1223.98"/>
    <n v="0.03"/>
    <n v="2374.52"/>
    <n v="2447.96"/>
    <n v="73.440000000000055"/>
    <n v="2374.52"/>
    <s v="COD"/>
    <x v="1"/>
    <x v="2"/>
    <x v="2"/>
  </r>
  <r>
    <x v="898"/>
    <x v="56"/>
    <s v="Maharashtra"/>
    <x v="2"/>
    <x v="3"/>
    <x v="15"/>
    <n v="1"/>
    <n v="4335.32"/>
    <n v="0.1"/>
    <n v="3901.79"/>
    <n v="4335.32"/>
    <n v="433.52999999999975"/>
    <n v="3901.79"/>
    <s v="COD"/>
    <x v="0"/>
    <x v="0"/>
    <x v="0"/>
  </r>
  <r>
    <x v="899"/>
    <x v="14"/>
    <s v="Karnataka"/>
    <x v="0"/>
    <x v="3"/>
    <x v="12"/>
    <n v="1"/>
    <n v="2598.33"/>
    <n v="0.16"/>
    <n v="2182.6"/>
    <n v="2598.33"/>
    <n v="415.73"/>
    <n v="2182.6"/>
    <s v="Net Banking"/>
    <x v="2"/>
    <x v="1"/>
    <x v="0"/>
  </r>
  <r>
    <x v="900"/>
    <x v="164"/>
    <s v="Tamil Nadu"/>
    <x v="2"/>
    <x v="4"/>
    <x v="17"/>
    <n v="1"/>
    <n v="990.58"/>
    <n v="0"/>
    <n v="990.58"/>
    <n v="990.58"/>
    <n v="0"/>
    <n v="990.58"/>
    <s v="Debit Card"/>
    <x v="2"/>
    <x v="0"/>
    <x v="0"/>
  </r>
  <r>
    <x v="901"/>
    <x v="147"/>
    <s v="Gujarat"/>
    <x v="2"/>
    <x v="2"/>
    <x v="6"/>
    <n v="2"/>
    <n v="1336.09"/>
    <n v="0.12"/>
    <n v="2351.52"/>
    <n v="2672.18"/>
    <n v="320.65999999999985"/>
    <n v="2351.52"/>
    <s v="Credit Card"/>
    <x v="2"/>
    <x v="1"/>
    <x v="0"/>
  </r>
  <r>
    <x v="902"/>
    <x v="85"/>
    <s v="Karnataka"/>
    <x v="2"/>
    <x v="0"/>
    <x v="4"/>
    <n v="3"/>
    <n v="3740.37"/>
    <n v="0.15"/>
    <n v="9537.94"/>
    <n v="11221.11"/>
    <n v="1683.17"/>
    <n v="9537.94"/>
    <s v="UPI"/>
    <x v="1"/>
    <x v="0"/>
    <x v="0"/>
  </r>
  <r>
    <x v="903"/>
    <x v="100"/>
    <s v="Gujarat"/>
    <x v="0"/>
    <x v="4"/>
    <x v="16"/>
    <n v="1"/>
    <n v="739.38"/>
    <n v="0.19"/>
    <n v="598.9"/>
    <n v="739.38"/>
    <n v="140.48000000000002"/>
    <n v="598.9"/>
    <s v="Net Banking"/>
    <x v="0"/>
    <x v="2"/>
    <x v="0"/>
  </r>
  <r>
    <x v="904"/>
    <x v="35"/>
    <s v="Tamil Nadu"/>
    <x v="3"/>
    <x v="3"/>
    <x v="12"/>
    <n v="5"/>
    <n v="3133.15"/>
    <n v="0.08"/>
    <n v="14412.49"/>
    <n v="15665.75"/>
    <n v="1253.2600000000002"/>
    <n v="14412.49"/>
    <s v="Credit Card"/>
    <x v="0"/>
    <x v="1"/>
    <x v="0"/>
  </r>
  <r>
    <x v="905"/>
    <x v="130"/>
    <s v="Delhi"/>
    <x v="2"/>
    <x v="3"/>
    <x v="8"/>
    <n v="5"/>
    <n v="3586.86"/>
    <n v="0.22"/>
    <n v="13988.75"/>
    <n v="17934.3"/>
    <n v="3945.5499999999993"/>
    <n v="13988.75"/>
    <s v="Debit Card"/>
    <x v="2"/>
    <x v="0"/>
    <x v="1"/>
  </r>
  <r>
    <x v="906"/>
    <x v="68"/>
    <s v="Tamil Nadu"/>
    <x v="3"/>
    <x v="2"/>
    <x v="7"/>
    <n v="4"/>
    <n v="2666.44"/>
    <n v="0.24"/>
    <n v="8105.98"/>
    <n v="10665.76"/>
    <n v="2559.7800000000007"/>
    <n v="8105.98"/>
    <s v="Credit Card"/>
    <x v="2"/>
    <x v="2"/>
    <x v="0"/>
  </r>
  <r>
    <x v="907"/>
    <x v="59"/>
    <s v="Maharashtra"/>
    <x v="0"/>
    <x v="3"/>
    <x v="9"/>
    <n v="2"/>
    <n v="3729.5"/>
    <n v="0.1"/>
    <n v="6713.1"/>
    <n v="7459"/>
    <n v="745.89999999999964"/>
    <n v="6713.1"/>
    <s v="COD"/>
    <x v="0"/>
    <x v="0"/>
    <x v="0"/>
  </r>
  <r>
    <x v="908"/>
    <x v="40"/>
    <s v="Gujarat"/>
    <x v="3"/>
    <x v="1"/>
    <x v="14"/>
    <n v="5"/>
    <n v="1430.32"/>
    <n v="0.05"/>
    <n v="6794.02"/>
    <n v="7151.5999999999995"/>
    <n v="357.57999999999902"/>
    <n v="6794.02"/>
    <s v="Net Banking"/>
    <x v="2"/>
    <x v="2"/>
    <x v="0"/>
  </r>
  <r>
    <x v="909"/>
    <x v="152"/>
    <s v="Gujarat"/>
    <x v="0"/>
    <x v="0"/>
    <x v="3"/>
    <n v="3"/>
    <n v="4277.13"/>
    <n v="7.0000000000000007E-2"/>
    <n v="11933.19"/>
    <n v="12831.39"/>
    <n v="898.19999999999891"/>
    <n v="11933.19"/>
    <s v="COD"/>
    <x v="2"/>
    <x v="1"/>
    <x v="0"/>
  </r>
  <r>
    <x v="910"/>
    <x v="42"/>
    <s v="Karnataka"/>
    <x v="2"/>
    <x v="0"/>
    <x v="4"/>
    <n v="2"/>
    <n v="4716.03"/>
    <n v="7.0000000000000007E-2"/>
    <n v="8771.82"/>
    <n v="9432.06"/>
    <n v="660.23999999999978"/>
    <n v="8771.82"/>
    <s v="Credit Card"/>
    <x v="1"/>
    <x v="2"/>
    <x v="1"/>
  </r>
  <r>
    <x v="911"/>
    <x v="137"/>
    <s v="Delhi"/>
    <x v="2"/>
    <x v="0"/>
    <x v="4"/>
    <n v="1"/>
    <n v="3278.36"/>
    <n v="0.16"/>
    <n v="2753.82"/>
    <n v="3278.36"/>
    <n v="524.54"/>
    <n v="2753.82"/>
    <s v="COD"/>
    <x v="0"/>
    <x v="1"/>
    <x v="0"/>
  </r>
  <r>
    <x v="912"/>
    <x v="31"/>
    <s v="Delhi"/>
    <x v="2"/>
    <x v="1"/>
    <x v="1"/>
    <n v="3"/>
    <n v="1690.71"/>
    <n v="0.01"/>
    <n v="5021.41"/>
    <n v="5072.13"/>
    <n v="50.720000000000255"/>
    <n v="5021.41"/>
    <s v="Net Banking"/>
    <x v="1"/>
    <x v="2"/>
    <x v="0"/>
  </r>
  <r>
    <x v="913"/>
    <x v="72"/>
    <s v="Karnataka"/>
    <x v="2"/>
    <x v="4"/>
    <x v="16"/>
    <n v="5"/>
    <n v="621.57000000000005"/>
    <n v="0.19"/>
    <n v="2517.36"/>
    <n v="3107.8500000000004"/>
    <n v="590.49000000000024"/>
    <n v="2517.36"/>
    <s v="Credit Card"/>
    <x v="1"/>
    <x v="1"/>
    <x v="1"/>
  </r>
  <r>
    <x v="914"/>
    <x v="125"/>
    <s v="Tamil Nadu"/>
    <x v="3"/>
    <x v="1"/>
    <x v="10"/>
    <n v="3"/>
    <n v="1099.2"/>
    <n v="0.16"/>
    <n v="2769.98"/>
    <n v="3297.6000000000004"/>
    <n v="527.62000000000035"/>
    <n v="2769.98"/>
    <s v="Debit Card"/>
    <x v="2"/>
    <x v="1"/>
    <x v="0"/>
  </r>
  <r>
    <x v="915"/>
    <x v="106"/>
    <s v="Delhi"/>
    <x v="3"/>
    <x v="2"/>
    <x v="6"/>
    <n v="4"/>
    <n v="989.42"/>
    <n v="0.05"/>
    <n v="3759.8"/>
    <n v="3957.68"/>
    <n v="197.87999999999965"/>
    <n v="3759.8"/>
    <s v="Net Banking"/>
    <x v="0"/>
    <x v="2"/>
    <x v="0"/>
  </r>
  <r>
    <x v="916"/>
    <x v="164"/>
    <s v="Maharashtra"/>
    <x v="0"/>
    <x v="3"/>
    <x v="9"/>
    <n v="2"/>
    <n v="4105.75"/>
    <n v="0.17"/>
    <n v="6815.55"/>
    <n v="8211.5"/>
    <n v="1395.9499999999998"/>
    <n v="6815.55"/>
    <s v="UPI"/>
    <x v="0"/>
    <x v="2"/>
    <x v="0"/>
  </r>
  <r>
    <x v="917"/>
    <x v="166"/>
    <s v="Tamil Nadu"/>
    <x v="0"/>
    <x v="2"/>
    <x v="11"/>
    <n v="5"/>
    <n v="772.73"/>
    <n v="0.19"/>
    <n v="3129.56"/>
    <n v="3863.65"/>
    <n v="734.09000000000015"/>
    <n v="3129.56"/>
    <s v="Net Banking"/>
    <x v="0"/>
    <x v="2"/>
    <x v="0"/>
  </r>
  <r>
    <x v="918"/>
    <x v="10"/>
    <s v="Maharashtra"/>
    <x v="0"/>
    <x v="0"/>
    <x v="0"/>
    <n v="2"/>
    <n v="3873.58"/>
    <n v="7.0000000000000007E-2"/>
    <n v="7204.86"/>
    <n v="7747.16"/>
    <n v="542.30000000000018"/>
    <n v="7204.86"/>
    <s v="Credit Card"/>
    <x v="0"/>
    <x v="0"/>
    <x v="3"/>
  </r>
  <r>
    <x v="919"/>
    <x v="162"/>
    <s v="Gujarat"/>
    <x v="1"/>
    <x v="0"/>
    <x v="0"/>
    <n v="1"/>
    <n v="1091.3800000000001"/>
    <n v="0.12"/>
    <n v="960.41"/>
    <n v="1091.3800000000001"/>
    <n v="130.97000000000014"/>
    <n v="960.41"/>
    <s v="UPI"/>
    <x v="1"/>
    <x v="0"/>
    <x v="3"/>
  </r>
  <r>
    <x v="920"/>
    <x v="14"/>
    <s v="Tamil Nadu"/>
    <x v="0"/>
    <x v="4"/>
    <x v="17"/>
    <n v="1"/>
    <n v="2763.28"/>
    <n v="7.0000000000000007E-2"/>
    <n v="2569.85"/>
    <n v="2763.28"/>
    <n v="193.43000000000029"/>
    <n v="2569.85"/>
    <s v="Debit Card"/>
    <x v="0"/>
    <x v="0"/>
    <x v="0"/>
  </r>
  <r>
    <x v="921"/>
    <x v="50"/>
    <s v="Gujarat"/>
    <x v="3"/>
    <x v="0"/>
    <x v="0"/>
    <n v="5"/>
    <n v="4443.6400000000003"/>
    <n v="0.1"/>
    <n v="19996.38"/>
    <n v="22218.2"/>
    <n v="2221.8199999999997"/>
    <n v="19996.38"/>
    <s v="UPI"/>
    <x v="0"/>
    <x v="2"/>
    <x v="0"/>
  </r>
  <r>
    <x v="922"/>
    <x v="99"/>
    <s v="Delhi"/>
    <x v="0"/>
    <x v="2"/>
    <x v="5"/>
    <n v="3"/>
    <n v="1206.83"/>
    <n v="0.22"/>
    <n v="2823.98"/>
    <n v="3620.49"/>
    <n v="796.50999999999976"/>
    <n v="2823.98"/>
    <s v="UPI"/>
    <x v="1"/>
    <x v="1"/>
    <x v="0"/>
  </r>
  <r>
    <x v="923"/>
    <x v="135"/>
    <s v="Maharashtra"/>
    <x v="0"/>
    <x v="0"/>
    <x v="4"/>
    <n v="1"/>
    <n v="3116.91"/>
    <n v="0.03"/>
    <n v="3023.4"/>
    <n v="3116.91"/>
    <n v="93.509999999999764"/>
    <n v="3023.4"/>
    <s v="UPI"/>
    <x v="2"/>
    <x v="2"/>
    <x v="0"/>
  </r>
  <r>
    <x v="924"/>
    <x v="138"/>
    <s v="Gujarat"/>
    <x v="2"/>
    <x v="3"/>
    <x v="15"/>
    <n v="2"/>
    <n v="3429.22"/>
    <n v="0.04"/>
    <n v="6584.1"/>
    <n v="6858.44"/>
    <n v="274.33999999999924"/>
    <n v="6584.1"/>
    <s v="UPI"/>
    <x v="1"/>
    <x v="0"/>
    <x v="0"/>
  </r>
  <r>
    <x v="925"/>
    <x v="158"/>
    <s v="Maharashtra"/>
    <x v="0"/>
    <x v="4"/>
    <x v="17"/>
    <n v="3"/>
    <n v="4671.12"/>
    <n v="0.2"/>
    <n v="11210.69"/>
    <n v="14013.36"/>
    <n v="2802.67"/>
    <n v="11210.69"/>
    <s v="UPI"/>
    <x v="2"/>
    <x v="0"/>
    <x v="3"/>
  </r>
  <r>
    <x v="926"/>
    <x v="45"/>
    <s v="Karnataka"/>
    <x v="0"/>
    <x v="3"/>
    <x v="12"/>
    <n v="4"/>
    <n v="3634.58"/>
    <n v="0.2"/>
    <n v="11630.66"/>
    <n v="14538.32"/>
    <n v="2907.66"/>
    <n v="11630.66"/>
    <s v="Debit Card"/>
    <x v="2"/>
    <x v="1"/>
    <x v="0"/>
  </r>
  <r>
    <x v="927"/>
    <x v="102"/>
    <s v="Delhi"/>
    <x v="1"/>
    <x v="2"/>
    <x v="6"/>
    <n v="2"/>
    <n v="991.17"/>
    <n v="0.1"/>
    <n v="1784.11"/>
    <n v="1982.34"/>
    <n v="198.23000000000002"/>
    <n v="1784.11"/>
    <s v="Credit Card"/>
    <x v="2"/>
    <x v="1"/>
    <x v="0"/>
  </r>
  <r>
    <x v="928"/>
    <x v="18"/>
    <s v="Delhi"/>
    <x v="3"/>
    <x v="2"/>
    <x v="6"/>
    <n v="4"/>
    <n v="2791.76"/>
    <n v="0.13"/>
    <n v="9715.32"/>
    <n v="11167.04"/>
    <n v="1451.7200000000012"/>
    <n v="9715.32"/>
    <s v="Debit Card"/>
    <x v="2"/>
    <x v="1"/>
    <x v="0"/>
  </r>
  <r>
    <x v="929"/>
    <x v="129"/>
    <s v="Gujarat"/>
    <x v="3"/>
    <x v="1"/>
    <x v="14"/>
    <n v="2"/>
    <n v="3545.16"/>
    <n v="0.06"/>
    <n v="6664.9"/>
    <n v="7090.32"/>
    <n v="425.42000000000007"/>
    <n v="6664.9"/>
    <s v="COD"/>
    <x v="1"/>
    <x v="2"/>
    <x v="2"/>
  </r>
  <r>
    <x v="930"/>
    <x v="18"/>
    <s v="Gujarat"/>
    <x v="2"/>
    <x v="0"/>
    <x v="2"/>
    <n v="1"/>
    <n v="391.93"/>
    <n v="0.09"/>
    <n v="356.66"/>
    <n v="391.93"/>
    <n v="35.269999999999982"/>
    <n v="356.66"/>
    <s v="Net Banking"/>
    <x v="0"/>
    <x v="2"/>
    <x v="0"/>
  </r>
  <r>
    <x v="931"/>
    <x v="81"/>
    <s v="Delhi"/>
    <x v="3"/>
    <x v="1"/>
    <x v="14"/>
    <n v="1"/>
    <n v="3760.28"/>
    <n v="0.03"/>
    <n v="3647.47"/>
    <n v="3760.28"/>
    <n v="112.8100000000004"/>
    <n v="3647.47"/>
    <s v="Debit Card"/>
    <x v="0"/>
    <x v="0"/>
    <x v="0"/>
  </r>
  <r>
    <x v="932"/>
    <x v="118"/>
    <s v="Karnataka"/>
    <x v="3"/>
    <x v="0"/>
    <x v="3"/>
    <n v="1"/>
    <n v="3347.46"/>
    <n v="0.02"/>
    <n v="3280.51"/>
    <n v="3347.46"/>
    <n v="66.949999999999818"/>
    <n v="3280.51"/>
    <s v="Credit Card"/>
    <x v="1"/>
    <x v="0"/>
    <x v="0"/>
  </r>
  <r>
    <x v="933"/>
    <x v="129"/>
    <s v="Maharashtra"/>
    <x v="3"/>
    <x v="4"/>
    <x v="16"/>
    <n v="1"/>
    <n v="2889"/>
    <n v="0.2"/>
    <n v="2311.1999999999998"/>
    <n v="2889"/>
    <n v="577.80000000000018"/>
    <n v="2311.1999999999998"/>
    <s v="Debit Card"/>
    <x v="0"/>
    <x v="2"/>
    <x v="0"/>
  </r>
  <r>
    <x v="934"/>
    <x v="16"/>
    <s v="Tamil Nadu"/>
    <x v="2"/>
    <x v="3"/>
    <x v="9"/>
    <n v="3"/>
    <n v="2275.4699999999998"/>
    <n v="0.16"/>
    <n v="5734.18"/>
    <n v="6826.41"/>
    <n v="1092.2299999999996"/>
    <n v="5734.18"/>
    <s v="Net Banking"/>
    <x v="1"/>
    <x v="2"/>
    <x v="0"/>
  </r>
  <r>
    <x v="935"/>
    <x v="164"/>
    <s v="Gujarat"/>
    <x v="1"/>
    <x v="0"/>
    <x v="0"/>
    <n v="2"/>
    <n v="153.25"/>
    <n v="0.21"/>
    <n v="242.14"/>
    <n v="306.5"/>
    <n v="64.360000000000014"/>
    <n v="242.14"/>
    <s v="Debit Card"/>
    <x v="1"/>
    <x v="0"/>
    <x v="0"/>
  </r>
  <r>
    <x v="936"/>
    <x v="41"/>
    <s v="Delhi"/>
    <x v="3"/>
    <x v="4"/>
    <x v="17"/>
    <n v="3"/>
    <n v="4868.3"/>
    <n v="0.13"/>
    <n v="12706.26"/>
    <n v="14604.900000000001"/>
    <n v="1898.6400000000012"/>
    <n v="12706.26"/>
    <s v="Net Banking"/>
    <x v="0"/>
    <x v="2"/>
    <x v="0"/>
  </r>
  <r>
    <x v="937"/>
    <x v="150"/>
    <s v="Tamil Nadu"/>
    <x v="1"/>
    <x v="0"/>
    <x v="4"/>
    <n v="5"/>
    <n v="3064.91"/>
    <n v="0.02"/>
    <n v="15018.06"/>
    <n v="15324.55"/>
    <n v="306.48999999999978"/>
    <n v="15018.06"/>
    <s v="Debit Card"/>
    <x v="1"/>
    <x v="0"/>
    <x v="0"/>
  </r>
  <r>
    <x v="938"/>
    <x v="9"/>
    <s v="Delhi"/>
    <x v="2"/>
    <x v="2"/>
    <x v="5"/>
    <n v="4"/>
    <n v="1054.18"/>
    <n v="0.03"/>
    <n v="4090.22"/>
    <n v="4216.72"/>
    <n v="126.50000000000045"/>
    <n v="4090.22"/>
    <s v="Credit Card"/>
    <x v="2"/>
    <x v="2"/>
    <x v="0"/>
  </r>
  <r>
    <x v="939"/>
    <x v="177"/>
    <s v="Delhi"/>
    <x v="2"/>
    <x v="4"/>
    <x v="19"/>
    <n v="5"/>
    <n v="621.67999999999995"/>
    <n v="0.05"/>
    <n v="2952.98"/>
    <n v="3108.3999999999996"/>
    <n v="155.41999999999962"/>
    <n v="2952.98"/>
    <s v="UPI"/>
    <x v="0"/>
    <x v="2"/>
    <x v="0"/>
  </r>
  <r>
    <x v="940"/>
    <x v="157"/>
    <s v="Delhi"/>
    <x v="0"/>
    <x v="3"/>
    <x v="8"/>
    <n v="5"/>
    <n v="2867.5"/>
    <n v="0.14000000000000001"/>
    <n v="12330.25"/>
    <n v="14337.5"/>
    <n v="2007.25"/>
    <n v="12330.25"/>
    <s v="UPI"/>
    <x v="0"/>
    <x v="1"/>
    <x v="0"/>
  </r>
  <r>
    <x v="941"/>
    <x v="120"/>
    <s v="Maharashtra"/>
    <x v="2"/>
    <x v="0"/>
    <x v="2"/>
    <n v="4"/>
    <n v="2551.06"/>
    <n v="0.08"/>
    <n v="9387.9"/>
    <n v="10204.24"/>
    <n v="816.34000000000015"/>
    <n v="9387.9"/>
    <s v="UPI"/>
    <x v="2"/>
    <x v="1"/>
    <x v="2"/>
  </r>
  <r>
    <x v="942"/>
    <x v="139"/>
    <s v="Tamil Nadu"/>
    <x v="1"/>
    <x v="0"/>
    <x v="2"/>
    <n v="5"/>
    <n v="4056.72"/>
    <n v="0.04"/>
    <n v="19472.259999999998"/>
    <n v="20283.599999999999"/>
    <n v="811.34000000000015"/>
    <n v="19472.259999999998"/>
    <s v="COD"/>
    <x v="0"/>
    <x v="0"/>
    <x v="0"/>
  </r>
  <r>
    <x v="943"/>
    <x v="84"/>
    <s v="Delhi"/>
    <x v="3"/>
    <x v="0"/>
    <x v="2"/>
    <n v="4"/>
    <n v="485.89"/>
    <n v="0.16"/>
    <n v="1632.59"/>
    <n v="1943.56"/>
    <n v="310.97000000000003"/>
    <n v="1632.59"/>
    <s v="Debit Card"/>
    <x v="1"/>
    <x v="0"/>
    <x v="1"/>
  </r>
  <r>
    <x v="944"/>
    <x v="113"/>
    <s v="Gujarat"/>
    <x v="1"/>
    <x v="3"/>
    <x v="12"/>
    <n v="5"/>
    <n v="3291.84"/>
    <n v="0.23"/>
    <n v="12673.58"/>
    <n v="16459.2"/>
    <n v="3785.6200000000008"/>
    <n v="12673.58"/>
    <s v="COD"/>
    <x v="1"/>
    <x v="1"/>
    <x v="3"/>
  </r>
  <r>
    <x v="945"/>
    <x v="128"/>
    <s v="Karnataka"/>
    <x v="3"/>
    <x v="4"/>
    <x v="17"/>
    <n v="1"/>
    <n v="4464.33"/>
    <n v="0.19"/>
    <n v="3616.11"/>
    <n v="4464.33"/>
    <n v="848.2199999999998"/>
    <n v="3616.11"/>
    <s v="COD"/>
    <x v="2"/>
    <x v="1"/>
    <x v="0"/>
  </r>
  <r>
    <x v="946"/>
    <x v="51"/>
    <s v="Delhi"/>
    <x v="0"/>
    <x v="1"/>
    <x v="13"/>
    <n v="4"/>
    <n v="577.29"/>
    <n v="0"/>
    <n v="2309.16"/>
    <n v="2309.16"/>
    <n v="0"/>
    <n v="2309.16"/>
    <s v="COD"/>
    <x v="1"/>
    <x v="1"/>
    <x v="0"/>
  </r>
  <r>
    <x v="947"/>
    <x v="58"/>
    <s v="Delhi"/>
    <x v="0"/>
    <x v="2"/>
    <x v="6"/>
    <n v="1"/>
    <n v="1472.57"/>
    <n v="0.09"/>
    <n v="1340.04"/>
    <n v="1472.57"/>
    <n v="132.52999999999997"/>
    <n v="1340.04"/>
    <s v="UPI"/>
    <x v="0"/>
    <x v="2"/>
    <x v="0"/>
  </r>
  <r>
    <x v="948"/>
    <x v="80"/>
    <s v="Tamil Nadu"/>
    <x v="0"/>
    <x v="2"/>
    <x v="6"/>
    <n v="2"/>
    <n v="4705.16"/>
    <n v="0.24"/>
    <n v="7151.84"/>
    <n v="9410.32"/>
    <n v="2258.4799999999996"/>
    <n v="7151.84"/>
    <s v="UPI"/>
    <x v="2"/>
    <x v="1"/>
    <x v="0"/>
  </r>
  <r>
    <x v="949"/>
    <x v="16"/>
    <s v="Tamil Nadu"/>
    <x v="2"/>
    <x v="4"/>
    <x v="18"/>
    <n v="2"/>
    <n v="2260.06"/>
    <n v="0.13"/>
    <n v="3932.5"/>
    <n v="4520.12"/>
    <n v="587.61999999999989"/>
    <n v="3932.5"/>
    <s v="COD"/>
    <x v="1"/>
    <x v="0"/>
    <x v="0"/>
  </r>
  <r>
    <x v="950"/>
    <x v="174"/>
    <s v="Karnataka"/>
    <x v="0"/>
    <x v="2"/>
    <x v="5"/>
    <n v="1"/>
    <n v="3731.11"/>
    <n v="0.06"/>
    <n v="3507.24"/>
    <n v="3731.11"/>
    <n v="223.87000000000035"/>
    <n v="3507.24"/>
    <s v="Credit Card"/>
    <x v="1"/>
    <x v="0"/>
    <x v="0"/>
  </r>
  <r>
    <x v="951"/>
    <x v="96"/>
    <s v="Tamil Nadu"/>
    <x v="0"/>
    <x v="0"/>
    <x v="2"/>
    <n v="4"/>
    <n v="4283.76"/>
    <n v="0.06"/>
    <n v="16106.94"/>
    <n v="17135.04"/>
    <n v="1028.1000000000004"/>
    <n v="16106.94"/>
    <s v="Debit Card"/>
    <x v="1"/>
    <x v="1"/>
    <x v="0"/>
  </r>
  <r>
    <x v="952"/>
    <x v="13"/>
    <s v="Maharashtra"/>
    <x v="3"/>
    <x v="2"/>
    <x v="5"/>
    <n v="1"/>
    <n v="4595.5600000000004"/>
    <n v="0.23"/>
    <n v="3538.58"/>
    <n v="4595.5600000000004"/>
    <n v="1056.9800000000005"/>
    <n v="3538.58"/>
    <s v="Credit Card"/>
    <x v="0"/>
    <x v="1"/>
    <x v="0"/>
  </r>
  <r>
    <x v="953"/>
    <x v="98"/>
    <s v="Karnataka"/>
    <x v="1"/>
    <x v="0"/>
    <x v="2"/>
    <n v="2"/>
    <n v="3541.23"/>
    <n v="0.12"/>
    <n v="6232.56"/>
    <n v="7082.46"/>
    <n v="849.89999999999964"/>
    <n v="6232.56"/>
    <s v="COD"/>
    <x v="2"/>
    <x v="1"/>
    <x v="0"/>
  </r>
  <r>
    <x v="954"/>
    <x v="65"/>
    <s v="Delhi"/>
    <x v="0"/>
    <x v="3"/>
    <x v="15"/>
    <n v="5"/>
    <n v="253.48"/>
    <n v="0.15"/>
    <n v="1077.29"/>
    <n v="1267.3999999999999"/>
    <n v="190.1099999999999"/>
    <n v="1077.29"/>
    <s v="Debit Card"/>
    <x v="2"/>
    <x v="1"/>
    <x v="1"/>
  </r>
  <r>
    <x v="955"/>
    <x v="16"/>
    <s v="Tamil Nadu"/>
    <x v="1"/>
    <x v="4"/>
    <x v="18"/>
    <n v="2"/>
    <n v="4353.3"/>
    <n v="0.24"/>
    <n v="6617.02"/>
    <n v="8706.6"/>
    <n v="2089.58"/>
    <n v="6617.02"/>
    <s v="Debit Card"/>
    <x v="0"/>
    <x v="0"/>
    <x v="0"/>
  </r>
  <r>
    <x v="956"/>
    <x v="12"/>
    <s v="Delhi"/>
    <x v="1"/>
    <x v="3"/>
    <x v="8"/>
    <n v="4"/>
    <n v="500.37"/>
    <n v="0.22"/>
    <n v="1561.15"/>
    <n v="2001.48"/>
    <n v="440.32999999999993"/>
    <n v="1561.15"/>
    <s v="Credit Card"/>
    <x v="2"/>
    <x v="1"/>
    <x v="0"/>
  </r>
  <r>
    <x v="957"/>
    <x v="0"/>
    <s v="Maharashtra"/>
    <x v="2"/>
    <x v="4"/>
    <x v="16"/>
    <n v="3"/>
    <n v="4820.49"/>
    <n v="7.0000000000000007E-2"/>
    <n v="13449.17"/>
    <n v="14461.47"/>
    <n v="1012.2999999999993"/>
    <n v="13449.17"/>
    <s v="Credit Card"/>
    <x v="2"/>
    <x v="2"/>
    <x v="1"/>
  </r>
  <r>
    <x v="958"/>
    <x v="101"/>
    <s v="Gujarat"/>
    <x v="0"/>
    <x v="2"/>
    <x v="5"/>
    <n v="4"/>
    <n v="1837.99"/>
    <n v="0.17"/>
    <n v="6102.13"/>
    <n v="7351.96"/>
    <n v="1249.83"/>
    <n v="6102.13"/>
    <s v="Debit Card"/>
    <x v="1"/>
    <x v="1"/>
    <x v="0"/>
  </r>
  <r>
    <x v="959"/>
    <x v="103"/>
    <s v="Maharashtra"/>
    <x v="2"/>
    <x v="1"/>
    <x v="10"/>
    <n v="2"/>
    <n v="1686.29"/>
    <n v="0.25"/>
    <n v="2529.4299999999998"/>
    <n v="3372.58"/>
    <n v="843.15000000000009"/>
    <n v="2529.4299999999998"/>
    <s v="COD"/>
    <x v="1"/>
    <x v="0"/>
    <x v="0"/>
  </r>
  <r>
    <x v="960"/>
    <x v="30"/>
    <s v="Tamil Nadu"/>
    <x v="3"/>
    <x v="2"/>
    <x v="11"/>
    <n v="4"/>
    <n v="1387.73"/>
    <n v="0.18"/>
    <n v="4551.75"/>
    <n v="5550.92"/>
    <n v="999.17000000000007"/>
    <n v="4551.75"/>
    <s v="UPI"/>
    <x v="0"/>
    <x v="1"/>
    <x v="0"/>
  </r>
  <r>
    <x v="961"/>
    <x v="49"/>
    <s v="Maharashtra"/>
    <x v="1"/>
    <x v="1"/>
    <x v="13"/>
    <n v="2"/>
    <n v="2158.86"/>
    <n v="0.14000000000000001"/>
    <n v="3713.24"/>
    <n v="4317.72"/>
    <n v="604.48000000000047"/>
    <n v="3713.24"/>
    <s v="Debit Card"/>
    <x v="1"/>
    <x v="2"/>
    <x v="0"/>
  </r>
  <r>
    <x v="962"/>
    <x v="159"/>
    <s v="Gujarat"/>
    <x v="0"/>
    <x v="3"/>
    <x v="12"/>
    <n v="3"/>
    <n v="179.34"/>
    <n v="0.22"/>
    <n v="419.66"/>
    <n v="538.02"/>
    <n v="118.35999999999996"/>
    <n v="419.66"/>
    <s v="Credit Card"/>
    <x v="2"/>
    <x v="0"/>
    <x v="0"/>
  </r>
  <r>
    <x v="963"/>
    <x v="107"/>
    <s v="Tamil Nadu"/>
    <x v="0"/>
    <x v="2"/>
    <x v="5"/>
    <n v="5"/>
    <n v="2186.66"/>
    <n v="0.24"/>
    <n v="8309.31"/>
    <n v="10933.3"/>
    <n v="2623.99"/>
    <n v="8309.31"/>
    <s v="UPI"/>
    <x v="2"/>
    <x v="1"/>
    <x v="1"/>
  </r>
  <r>
    <x v="964"/>
    <x v="171"/>
    <s v="Karnataka"/>
    <x v="1"/>
    <x v="2"/>
    <x v="5"/>
    <n v="5"/>
    <n v="897.02"/>
    <n v="0.11"/>
    <n v="3991.74"/>
    <n v="4485.1000000000004"/>
    <n v="493.36000000000058"/>
    <n v="3991.74"/>
    <s v="Debit Card"/>
    <x v="1"/>
    <x v="1"/>
    <x v="0"/>
  </r>
  <r>
    <x v="965"/>
    <x v="42"/>
    <s v="Maharashtra"/>
    <x v="0"/>
    <x v="1"/>
    <x v="13"/>
    <n v="1"/>
    <n v="3119.68"/>
    <n v="0.1"/>
    <n v="2807.71"/>
    <n v="3119.68"/>
    <n v="311.9699999999998"/>
    <n v="2807.71"/>
    <s v="Credit Card"/>
    <x v="0"/>
    <x v="1"/>
    <x v="0"/>
  </r>
  <r>
    <x v="966"/>
    <x v="179"/>
    <s v="Karnataka"/>
    <x v="3"/>
    <x v="1"/>
    <x v="13"/>
    <n v="2"/>
    <n v="3906.71"/>
    <n v="0.14000000000000001"/>
    <n v="6719.54"/>
    <n v="7813.42"/>
    <n v="1093.8800000000001"/>
    <n v="6719.54"/>
    <s v="Net Banking"/>
    <x v="0"/>
    <x v="2"/>
    <x v="1"/>
  </r>
  <r>
    <x v="967"/>
    <x v="39"/>
    <s v="Tamil Nadu"/>
    <x v="2"/>
    <x v="0"/>
    <x v="2"/>
    <n v="4"/>
    <n v="137.27000000000001"/>
    <n v="0.09"/>
    <n v="499.66"/>
    <n v="549.08000000000004"/>
    <n v="49.420000000000016"/>
    <n v="499.66"/>
    <s v="Net Banking"/>
    <x v="1"/>
    <x v="2"/>
    <x v="0"/>
  </r>
  <r>
    <x v="968"/>
    <x v="69"/>
    <s v="Tamil Nadu"/>
    <x v="2"/>
    <x v="4"/>
    <x v="17"/>
    <n v="4"/>
    <n v="260.11"/>
    <n v="0.01"/>
    <n v="1030.04"/>
    <n v="1040.44"/>
    <n v="10.400000000000091"/>
    <n v="1030.04"/>
    <s v="Debit Card"/>
    <x v="0"/>
    <x v="1"/>
    <x v="0"/>
  </r>
  <r>
    <x v="969"/>
    <x v="179"/>
    <s v="Delhi"/>
    <x v="1"/>
    <x v="1"/>
    <x v="14"/>
    <n v="2"/>
    <n v="3119.71"/>
    <n v="0.1"/>
    <n v="5615.48"/>
    <n v="6239.42"/>
    <n v="623.94000000000051"/>
    <n v="5615.48"/>
    <s v="COD"/>
    <x v="2"/>
    <x v="2"/>
    <x v="0"/>
  </r>
  <r>
    <x v="970"/>
    <x v="41"/>
    <s v="Tamil Nadu"/>
    <x v="0"/>
    <x v="2"/>
    <x v="11"/>
    <n v="2"/>
    <n v="2243.27"/>
    <n v="0.02"/>
    <n v="4396.8100000000004"/>
    <n v="4486.54"/>
    <n v="89.729999999999563"/>
    <n v="4396.8100000000004"/>
    <s v="UPI"/>
    <x v="1"/>
    <x v="2"/>
    <x v="0"/>
  </r>
  <r>
    <x v="971"/>
    <x v="32"/>
    <s v="Gujarat"/>
    <x v="3"/>
    <x v="2"/>
    <x v="6"/>
    <n v="2"/>
    <n v="556.95000000000005"/>
    <n v="0.01"/>
    <n v="1102.76"/>
    <n v="1113.9000000000001"/>
    <n v="11.1400000000001"/>
    <n v="1102.76"/>
    <s v="Debit Card"/>
    <x v="2"/>
    <x v="2"/>
    <x v="0"/>
  </r>
  <r>
    <x v="972"/>
    <x v="93"/>
    <s v="Gujarat"/>
    <x v="3"/>
    <x v="1"/>
    <x v="13"/>
    <n v="2"/>
    <n v="4918.7299999999996"/>
    <n v="0.16"/>
    <n v="8263.4699999999993"/>
    <n v="9837.4599999999991"/>
    <n v="1573.9899999999998"/>
    <n v="8263.4699999999993"/>
    <s v="Net Banking"/>
    <x v="0"/>
    <x v="1"/>
    <x v="0"/>
  </r>
  <r>
    <x v="973"/>
    <x v="42"/>
    <s v="Delhi"/>
    <x v="0"/>
    <x v="3"/>
    <x v="9"/>
    <n v="4"/>
    <n v="3874.92"/>
    <n v="0.16"/>
    <n v="13019.73"/>
    <n v="15499.68"/>
    <n v="2479.9500000000007"/>
    <n v="13019.73"/>
    <s v="COD"/>
    <x v="0"/>
    <x v="1"/>
    <x v="1"/>
  </r>
  <r>
    <x v="974"/>
    <x v="28"/>
    <s v="Maharashtra"/>
    <x v="0"/>
    <x v="0"/>
    <x v="0"/>
    <n v="1"/>
    <n v="624.67999999999995"/>
    <n v="7.0000000000000007E-2"/>
    <n v="580.95000000000005"/>
    <n v="624.67999999999995"/>
    <n v="43.729999999999905"/>
    <n v="580.95000000000005"/>
    <s v="Net Banking"/>
    <x v="1"/>
    <x v="2"/>
    <x v="0"/>
  </r>
  <r>
    <x v="975"/>
    <x v="106"/>
    <s v="Tamil Nadu"/>
    <x v="0"/>
    <x v="4"/>
    <x v="16"/>
    <n v="1"/>
    <n v="2127.35"/>
    <n v="0.12"/>
    <n v="1872.07"/>
    <n v="2127.35"/>
    <n v="255.27999999999997"/>
    <n v="1872.07"/>
    <s v="Credit Card"/>
    <x v="2"/>
    <x v="0"/>
    <x v="0"/>
  </r>
  <r>
    <x v="976"/>
    <x v="56"/>
    <s v="Karnataka"/>
    <x v="0"/>
    <x v="2"/>
    <x v="5"/>
    <n v="2"/>
    <n v="1563.9"/>
    <n v="0.23"/>
    <n v="2408.41"/>
    <n v="3127.8"/>
    <n v="719.39000000000033"/>
    <n v="2408.41"/>
    <s v="Net Banking"/>
    <x v="0"/>
    <x v="0"/>
    <x v="0"/>
  </r>
  <r>
    <x v="977"/>
    <x v="14"/>
    <s v="Tamil Nadu"/>
    <x v="0"/>
    <x v="4"/>
    <x v="17"/>
    <n v="5"/>
    <n v="124.57"/>
    <n v="0.13"/>
    <n v="541.88"/>
    <n v="622.84999999999991"/>
    <n v="80.969999999999914"/>
    <n v="541.88"/>
    <s v="COD"/>
    <x v="1"/>
    <x v="1"/>
    <x v="0"/>
  </r>
  <r>
    <x v="978"/>
    <x v="115"/>
    <s v="Gujarat"/>
    <x v="0"/>
    <x v="0"/>
    <x v="0"/>
    <n v="2"/>
    <n v="4347.68"/>
    <n v="0.03"/>
    <n v="8434.5"/>
    <n v="8695.36"/>
    <n v="260.86000000000058"/>
    <n v="8434.5"/>
    <s v="COD"/>
    <x v="0"/>
    <x v="2"/>
    <x v="0"/>
  </r>
  <r>
    <x v="979"/>
    <x v="162"/>
    <s v="Delhi"/>
    <x v="2"/>
    <x v="3"/>
    <x v="8"/>
    <n v="4"/>
    <n v="1076.26"/>
    <n v="0.02"/>
    <n v="4218.9399999999996"/>
    <n v="4305.04"/>
    <n v="86.100000000000364"/>
    <n v="4218.9399999999996"/>
    <s v="UPI"/>
    <x v="2"/>
    <x v="0"/>
    <x v="0"/>
  </r>
  <r>
    <x v="980"/>
    <x v="53"/>
    <s v="Gujarat"/>
    <x v="2"/>
    <x v="2"/>
    <x v="5"/>
    <n v="3"/>
    <n v="947.5"/>
    <n v="0.17"/>
    <n v="2359.2800000000002"/>
    <n v="2842.5"/>
    <n v="483.2199999999998"/>
    <n v="2359.2800000000002"/>
    <s v="Net Banking"/>
    <x v="0"/>
    <x v="0"/>
    <x v="2"/>
  </r>
  <r>
    <x v="981"/>
    <x v="153"/>
    <s v="Delhi"/>
    <x v="2"/>
    <x v="0"/>
    <x v="2"/>
    <n v="4"/>
    <n v="2224.0100000000002"/>
    <n v="0.11"/>
    <n v="7917.48"/>
    <n v="8896.0400000000009"/>
    <n v="978.56000000000131"/>
    <n v="7917.48"/>
    <s v="Debit Card"/>
    <x v="1"/>
    <x v="0"/>
    <x v="3"/>
  </r>
  <r>
    <x v="982"/>
    <x v="130"/>
    <s v="Gujarat"/>
    <x v="0"/>
    <x v="1"/>
    <x v="13"/>
    <n v="2"/>
    <n v="2879"/>
    <n v="0.09"/>
    <n v="5239.78"/>
    <n v="5758"/>
    <n v="518.22000000000025"/>
    <n v="5239.78"/>
    <s v="Net Banking"/>
    <x v="2"/>
    <x v="0"/>
    <x v="0"/>
  </r>
  <r>
    <x v="983"/>
    <x v="99"/>
    <s v="Gujarat"/>
    <x v="2"/>
    <x v="0"/>
    <x v="2"/>
    <n v="5"/>
    <n v="4150.76"/>
    <n v="0.16"/>
    <n v="17433.189999999999"/>
    <n v="20753.800000000003"/>
    <n v="3320.6100000000042"/>
    <n v="17433.189999999999"/>
    <s v="Net Banking"/>
    <x v="2"/>
    <x v="0"/>
    <x v="0"/>
  </r>
  <r>
    <x v="984"/>
    <x v="50"/>
    <s v="Karnataka"/>
    <x v="2"/>
    <x v="0"/>
    <x v="4"/>
    <n v="3"/>
    <n v="1302.06"/>
    <n v="0.05"/>
    <n v="3710.87"/>
    <n v="3906.18"/>
    <n v="195.30999999999995"/>
    <n v="3710.87"/>
    <s v="Net Banking"/>
    <x v="0"/>
    <x v="1"/>
    <x v="0"/>
  </r>
  <r>
    <x v="985"/>
    <x v="86"/>
    <s v="Maharashtra"/>
    <x v="2"/>
    <x v="4"/>
    <x v="19"/>
    <n v="1"/>
    <n v="3612.33"/>
    <n v="0.05"/>
    <n v="3431.71"/>
    <n v="3612.33"/>
    <n v="180.61999999999989"/>
    <n v="3431.71"/>
    <s v="UPI"/>
    <x v="1"/>
    <x v="0"/>
    <x v="1"/>
  </r>
  <r>
    <x v="986"/>
    <x v="173"/>
    <s v="Tamil Nadu"/>
    <x v="0"/>
    <x v="1"/>
    <x v="13"/>
    <n v="2"/>
    <n v="2683.59"/>
    <n v="0.03"/>
    <n v="5206.16"/>
    <n v="5367.18"/>
    <n v="161.02000000000044"/>
    <n v="5206.16"/>
    <s v="UPI"/>
    <x v="1"/>
    <x v="1"/>
    <x v="0"/>
  </r>
  <r>
    <x v="987"/>
    <x v="6"/>
    <s v="Karnataka"/>
    <x v="2"/>
    <x v="2"/>
    <x v="5"/>
    <n v="2"/>
    <n v="343.33"/>
    <n v="0.12"/>
    <n v="604.26"/>
    <n v="686.66"/>
    <n v="82.399999999999977"/>
    <n v="604.26"/>
    <s v="UPI"/>
    <x v="0"/>
    <x v="2"/>
    <x v="0"/>
  </r>
  <r>
    <x v="988"/>
    <x v="25"/>
    <s v="Delhi"/>
    <x v="0"/>
    <x v="0"/>
    <x v="3"/>
    <n v="5"/>
    <n v="1976"/>
    <n v="0.14000000000000001"/>
    <n v="8496.7999999999993"/>
    <n v="9880"/>
    <n v="1383.2000000000007"/>
    <n v="8496.7999999999993"/>
    <s v="COD"/>
    <x v="2"/>
    <x v="1"/>
    <x v="0"/>
  </r>
  <r>
    <x v="989"/>
    <x v="64"/>
    <s v="Tamil Nadu"/>
    <x v="0"/>
    <x v="1"/>
    <x v="13"/>
    <n v="4"/>
    <n v="281.33999999999997"/>
    <n v="0.13"/>
    <n v="979.06"/>
    <n v="1125.3599999999999"/>
    <n v="146.29999999999995"/>
    <n v="979.06"/>
    <s v="UPI"/>
    <x v="0"/>
    <x v="0"/>
    <x v="0"/>
  </r>
  <r>
    <x v="990"/>
    <x v="127"/>
    <s v="Tamil Nadu"/>
    <x v="0"/>
    <x v="0"/>
    <x v="0"/>
    <n v="3"/>
    <n v="1445.9"/>
    <n v="0.19"/>
    <n v="3513.54"/>
    <n v="4337.7000000000007"/>
    <n v="824.16000000000076"/>
    <n v="3513.54"/>
    <s v="Credit Card"/>
    <x v="2"/>
    <x v="1"/>
    <x v="0"/>
  </r>
  <r>
    <x v="991"/>
    <x v="25"/>
    <s v="Gujarat"/>
    <x v="0"/>
    <x v="4"/>
    <x v="18"/>
    <n v="3"/>
    <n v="3512.64"/>
    <n v="0.11"/>
    <n v="9378.75"/>
    <n v="10537.92"/>
    <n v="1159.17"/>
    <n v="9378.75"/>
    <s v="Credit Card"/>
    <x v="2"/>
    <x v="0"/>
    <x v="3"/>
  </r>
  <r>
    <x v="992"/>
    <x v="169"/>
    <s v="Maharashtra"/>
    <x v="1"/>
    <x v="1"/>
    <x v="13"/>
    <n v="1"/>
    <n v="779.8"/>
    <n v="0.25"/>
    <n v="584.85"/>
    <n v="779.8"/>
    <n v="194.94999999999993"/>
    <n v="584.85"/>
    <s v="Debit Card"/>
    <x v="0"/>
    <x v="0"/>
    <x v="0"/>
  </r>
  <r>
    <x v="993"/>
    <x v="106"/>
    <s v="Karnataka"/>
    <x v="0"/>
    <x v="0"/>
    <x v="4"/>
    <n v="1"/>
    <n v="1372.47"/>
    <n v="0.2"/>
    <n v="1097.98"/>
    <n v="1372.47"/>
    <n v="274.49"/>
    <n v="1097.98"/>
    <s v="COD"/>
    <x v="0"/>
    <x v="2"/>
    <x v="1"/>
  </r>
  <r>
    <x v="994"/>
    <x v="15"/>
    <s v="Karnataka"/>
    <x v="1"/>
    <x v="0"/>
    <x v="2"/>
    <n v="3"/>
    <n v="3523.46"/>
    <n v="0.23"/>
    <n v="8139.19"/>
    <n v="10570.380000000001"/>
    <n v="2431.1900000000014"/>
    <n v="8139.19"/>
    <s v="COD"/>
    <x v="2"/>
    <x v="0"/>
    <x v="0"/>
  </r>
  <r>
    <x v="995"/>
    <x v="115"/>
    <s v="Gujarat"/>
    <x v="1"/>
    <x v="4"/>
    <x v="16"/>
    <n v="4"/>
    <n v="3374.35"/>
    <n v="0.13"/>
    <n v="11742.74"/>
    <n v="13497.4"/>
    <n v="1754.6599999999999"/>
    <n v="11742.74"/>
    <s v="Net Banking"/>
    <x v="1"/>
    <x v="2"/>
    <x v="0"/>
  </r>
  <r>
    <x v="996"/>
    <x v="23"/>
    <s v="Tamil Nadu"/>
    <x v="3"/>
    <x v="4"/>
    <x v="17"/>
    <n v="3"/>
    <n v="3854.39"/>
    <n v="0.18"/>
    <n v="9481.7999999999993"/>
    <n v="11563.17"/>
    <n v="2081.3700000000008"/>
    <n v="9481.7999999999993"/>
    <s v="Debit Card"/>
    <x v="0"/>
    <x v="1"/>
    <x v="0"/>
  </r>
  <r>
    <x v="997"/>
    <x v="162"/>
    <s v="Maharashtra"/>
    <x v="3"/>
    <x v="3"/>
    <x v="8"/>
    <n v="2"/>
    <n v="164.33"/>
    <n v="0.05"/>
    <n v="312.23"/>
    <n v="328.66"/>
    <n v="16.430000000000007"/>
    <n v="312.23"/>
    <s v="Net Banking"/>
    <x v="0"/>
    <x v="1"/>
    <x v="0"/>
  </r>
  <r>
    <x v="998"/>
    <x v="130"/>
    <s v="Gujarat"/>
    <x v="3"/>
    <x v="4"/>
    <x v="16"/>
    <n v="3"/>
    <n v="3826.39"/>
    <n v="0.08"/>
    <n v="10560.84"/>
    <n v="11479.17"/>
    <n v="918.32999999999993"/>
    <n v="10560.84"/>
    <s v="COD"/>
    <x v="1"/>
    <x v="1"/>
    <x v="3"/>
  </r>
  <r>
    <x v="999"/>
    <x v="58"/>
    <s v="Delhi"/>
    <x v="3"/>
    <x v="0"/>
    <x v="4"/>
    <n v="4"/>
    <n v="4352.51"/>
    <n v="0.13"/>
    <n v="15146.73"/>
    <n v="17410.04"/>
    <n v="2263.3100000000013"/>
    <n v="15146.73"/>
    <s v="UPI"/>
    <x v="2"/>
    <x v="1"/>
    <x v="0"/>
  </r>
  <r>
    <x v="1000"/>
    <x v="108"/>
    <s v="Karnataka"/>
    <x v="0"/>
    <x v="2"/>
    <x v="11"/>
    <n v="1"/>
    <n v="821.72"/>
    <n v="0.22"/>
    <n v="640.94000000000005"/>
    <n v="821.72"/>
    <n v="180.77999999999997"/>
    <n v="640.94000000000005"/>
    <s v="COD"/>
    <x v="1"/>
    <x v="0"/>
    <x v="0"/>
  </r>
  <r>
    <x v="1001"/>
    <x v="133"/>
    <s v="Karnataka"/>
    <x v="0"/>
    <x v="2"/>
    <x v="11"/>
    <n v="5"/>
    <n v="2317.94"/>
    <n v="7.0000000000000007E-2"/>
    <n v="10778.42"/>
    <n v="11589.7"/>
    <n v="811.28000000000065"/>
    <n v="10778.42"/>
    <s v="Credit Card"/>
    <x v="2"/>
    <x v="0"/>
    <x v="0"/>
  </r>
  <r>
    <x v="1002"/>
    <x v="51"/>
    <s v="Tamil Nadu"/>
    <x v="0"/>
    <x v="3"/>
    <x v="12"/>
    <n v="5"/>
    <n v="1735.32"/>
    <n v="0.11"/>
    <n v="7722.17"/>
    <n v="8676.6"/>
    <n v="954.43000000000029"/>
    <n v="7722.17"/>
    <s v="COD"/>
    <x v="2"/>
    <x v="1"/>
    <x v="0"/>
  </r>
  <r>
    <x v="1003"/>
    <x v="153"/>
    <s v="Delhi"/>
    <x v="1"/>
    <x v="2"/>
    <x v="5"/>
    <n v="4"/>
    <n v="965.56"/>
    <n v="7.0000000000000007E-2"/>
    <n v="3591.88"/>
    <n v="3862.24"/>
    <n v="270.35999999999967"/>
    <n v="3591.88"/>
    <s v="UPI"/>
    <x v="0"/>
    <x v="0"/>
    <x v="0"/>
  </r>
  <r>
    <x v="1004"/>
    <x v="150"/>
    <s v="Delhi"/>
    <x v="3"/>
    <x v="0"/>
    <x v="0"/>
    <n v="1"/>
    <n v="360.38"/>
    <n v="0.01"/>
    <n v="356.78"/>
    <n v="360.38"/>
    <n v="3.6000000000000227"/>
    <n v="356.78"/>
    <s v="Credit Card"/>
    <x v="0"/>
    <x v="1"/>
    <x v="0"/>
  </r>
  <r>
    <x v="1005"/>
    <x v="117"/>
    <s v="Delhi"/>
    <x v="2"/>
    <x v="0"/>
    <x v="2"/>
    <n v="4"/>
    <n v="2020.35"/>
    <n v="0.03"/>
    <n v="7838.96"/>
    <n v="8081.4"/>
    <n v="242.4399999999996"/>
    <n v="7838.96"/>
    <s v="COD"/>
    <x v="1"/>
    <x v="0"/>
    <x v="0"/>
  </r>
  <r>
    <x v="1006"/>
    <x v="98"/>
    <s v="Karnataka"/>
    <x v="1"/>
    <x v="3"/>
    <x v="12"/>
    <n v="5"/>
    <n v="1511.1"/>
    <n v="0"/>
    <n v="7555.5"/>
    <n v="7555.5"/>
    <n v="0"/>
    <n v="7555.5"/>
    <s v="UPI"/>
    <x v="1"/>
    <x v="2"/>
    <x v="0"/>
  </r>
  <r>
    <x v="1007"/>
    <x v="18"/>
    <s v="Karnataka"/>
    <x v="1"/>
    <x v="3"/>
    <x v="12"/>
    <n v="2"/>
    <n v="1727.56"/>
    <n v="0.11"/>
    <n v="3075.06"/>
    <n v="3455.12"/>
    <n v="380.05999999999995"/>
    <n v="3075.06"/>
    <s v="Credit Card"/>
    <x v="0"/>
    <x v="2"/>
    <x v="0"/>
  </r>
  <r>
    <x v="1008"/>
    <x v="113"/>
    <s v="Karnataka"/>
    <x v="0"/>
    <x v="0"/>
    <x v="4"/>
    <n v="1"/>
    <n v="3010.63"/>
    <n v="0.24"/>
    <n v="2288.08"/>
    <n v="3010.63"/>
    <n v="722.55000000000018"/>
    <n v="2288.08"/>
    <s v="Credit Card"/>
    <x v="0"/>
    <x v="0"/>
    <x v="0"/>
  </r>
  <r>
    <x v="1009"/>
    <x v="35"/>
    <s v="Maharashtra"/>
    <x v="3"/>
    <x v="3"/>
    <x v="15"/>
    <n v="5"/>
    <n v="3432.23"/>
    <n v="7.0000000000000007E-2"/>
    <n v="15959.87"/>
    <n v="17161.150000000001"/>
    <n v="1201.2800000000007"/>
    <n v="15959.87"/>
    <s v="Credit Card"/>
    <x v="0"/>
    <x v="2"/>
    <x v="3"/>
  </r>
  <r>
    <x v="1010"/>
    <x v="180"/>
    <s v="Karnataka"/>
    <x v="1"/>
    <x v="0"/>
    <x v="0"/>
    <n v="4"/>
    <n v="3700.59"/>
    <n v="0.25"/>
    <n v="11101.77"/>
    <n v="14802.36"/>
    <n v="3700.59"/>
    <n v="11101.77"/>
    <s v="UPI"/>
    <x v="2"/>
    <x v="1"/>
    <x v="0"/>
  </r>
  <r>
    <x v="1011"/>
    <x v="40"/>
    <s v="Karnataka"/>
    <x v="1"/>
    <x v="2"/>
    <x v="7"/>
    <n v="3"/>
    <n v="4467.72"/>
    <n v="0.19"/>
    <n v="10856.56"/>
    <n v="13403.16"/>
    <n v="2546.6000000000004"/>
    <n v="10856.56"/>
    <s v="UPI"/>
    <x v="1"/>
    <x v="0"/>
    <x v="0"/>
  </r>
  <r>
    <x v="1012"/>
    <x v="71"/>
    <s v="Delhi"/>
    <x v="1"/>
    <x v="1"/>
    <x v="13"/>
    <n v="2"/>
    <n v="1850.25"/>
    <n v="0.01"/>
    <n v="3663.49"/>
    <n v="3700.5"/>
    <n v="37.010000000000218"/>
    <n v="3663.49"/>
    <s v="Net Banking"/>
    <x v="0"/>
    <x v="0"/>
    <x v="0"/>
  </r>
  <r>
    <x v="1013"/>
    <x v="139"/>
    <s v="Tamil Nadu"/>
    <x v="3"/>
    <x v="0"/>
    <x v="4"/>
    <n v="5"/>
    <n v="4506.18"/>
    <n v="0.11"/>
    <n v="20052.5"/>
    <n v="22530.9"/>
    <n v="2478.4000000000015"/>
    <n v="20052.5"/>
    <s v="Credit Card"/>
    <x v="2"/>
    <x v="0"/>
    <x v="0"/>
  </r>
  <r>
    <x v="1014"/>
    <x v="45"/>
    <s v="Tamil Nadu"/>
    <x v="2"/>
    <x v="4"/>
    <x v="17"/>
    <n v="3"/>
    <n v="1615.68"/>
    <n v="0.01"/>
    <n v="4798.57"/>
    <n v="4847.04"/>
    <n v="48.470000000000255"/>
    <n v="4798.57"/>
    <s v="COD"/>
    <x v="2"/>
    <x v="0"/>
    <x v="3"/>
  </r>
  <r>
    <x v="1015"/>
    <x v="45"/>
    <s v="Tamil Nadu"/>
    <x v="3"/>
    <x v="0"/>
    <x v="3"/>
    <n v="3"/>
    <n v="639.92999999999995"/>
    <n v="0"/>
    <n v="1919.79"/>
    <n v="1919.79"/>
    <n v="0"/>
    <n v="1919.79"/>
    <s v="COD"/>
    <x v="2"/>
    <x v="0"/>
    <x v="0"/>
  </r>
  <r>
    <x v="1016"/>
    <x v="99"/>
    <s v="Gujarat"/>
    <x v="0"/>
    <x v="3"/>
    <x v="9"/>
    <n v="2"/>
    <n v="1587.86"/>
    <n v="7.0000000000000007E-2"/>
    <n v="2953.42"/>
    <n v="3175.72"/>
    <n v="222.29999999999973"/>
    <n v="2953.42"/>
    <s v="COD"/>
    <x v="1"/>
    <x v="1"/>
    <x v="0"/>
  </r>
  <r>
    <x v="1017"/>
    <x v="24"/>
    <s v="Gujarat"/>
    <x v="0"/>
    <x v="3"/>
    <x v="9"/>
    <n v="4"/>
    <n v="1598.53"/>
    <n v="0.11"/>
    <n v="5690.77"/>
    <n v="6394.12"/>
    <n v="703.34999999999945"/>
    <n v="5690.77"/>
    <s v="Credit Card"/>
    <x v="0"/>
    <x v="0"/>
    <x v="0"/>
  </r>
  <r>
    <x v="1018"/>
    <x v="117"/>
    <s v="Karnataka"/>
    <x v="3"/>
    <x v="3"/>
    <x v="9"/>
    <n v="5"/>
    <n v="859.68"/>
    <n v="0.02"/>
    <n v="4212.43"/>
    <n v="4298.3999999999996"/>
    <n v="85.969999999999345"/>
    <n v="4212.43"/>
    <s v="COD"/>
    <x v="1"/>
    <x v="1"/>
    <x v="2"/>
  </r>
  <r>
    <x v="1019"/>
    <x v="127"/>
    <s v="Gujarat"/>
    <x v="1"/>
    <x v="3"/>
    <x v="15"/>
    <n v="2"/>
    <n v="257.47000000000003"/>
    <n v="0.23"/>
    <n v="396.5"/>
    <n v="514.94000000000005"/>
    <n v="118.44000000000005"/>
    <n v="396.5"/>
    <s v="Credit Card"/>
    <x v="2"/>
    <x v="2"/>
    <x v="0"/>
  </r>
  <r>
    <x v="1020"/>
    <x v="87"/>
    <s v="Karnataka"/>
    <x v="3"/>
    <x v="0"/>
    <x v="2"/>
    <n v="2"/>
    <n v="2863.15"/>
    <n v="0.17"/>
    <n v="4752.83"/>
    <n v="5726.3"/>
    <n v="973.47000000000025"/>
    <n v="4752.83"/>
    <s v="COD"/>
    <x v="2"/>
    <x v="1"/>
    <x v="0"/>
  </r>
  <r>
    <x v="1021"/>
    <x v="34"/>
    <s v="Delhi"/>
    <x v="1"/>
    <x v="3"/>
    <x v="9"/>
    <n v="2"/>
    <n v="1575.21"/>
    <n v="0.02"/>
    <n v="3087.41"/>
    <n v="3150.42"/>
    <n v="63.010000000000218"/>
    <n v="3087.41"/>
    <s v="Net Banking"/>
    <x v="1"/>
    <x v="0"/>
    <x v="0"/>
  </r>
  <r>
    <x v="1022"/>
    <x v="142"/>
    <s v="Maharashtra"/>
    <x v="2"/>
    <x v="2"/>
    <x v="5"/>
    <n v="4"/>
    <n v="3501.25"/>
    <n v="0.13"/>
    <n v="12184.35"/>
    <n v="14005"/>
    <n v="1820.6499999999996"/>
    <n v="12184.35"/>
    <s v="Debit Card"/>
    <x v="1"/>
    <x v="0"/>
    <x v="0"/>
  </r>
  <r>
    <x v="1023"/>
    <x v="123"/>
    <s v="Tamil Nadu"/>
    <x v="0"/>
    <x v="2"/>
    <x v="5"/>
    <n v="1"/>
    <n v="4571.54"/>
    <n v="0.01"/>
    <n v="4525.82"/>
    <n v="4571.54"/>
    <n v="45.720000000000255"/>
    <n v="4525.82"/>
    <s v="Net Banking"/>
    <x v="2"/>
    <x v="1"/>
    <x v="3"/>
  </r>
  <r>
    <x v="1024"/>
    <x v="62"/>
    <s v="Delhi"/>
    <x v="2"/>
    <x v="1"/>
    <x v="1"/>
    <n v="3"/>
    <n v="723.65"/>
    <n v="0.14000000000000001"/>
    <n v="1867.02"/>
    <n v="2170.9499999999998"/>
    <n v="303.92999999999984"/>
    <n v="1867.02"/>
    <s v="COD"/>
    <x v="1"/>
    <x v="0"/>
    <x v="0"/>
  </r>
  <r>
    <x v="1025"/>
    <x v="2"/>
    <s v="Tamil Nadu"/>
    <x v="2"/>
    <x v="2"/>
    <x v="11"/>
    <n v="5"/>
    <n v="2355.08"/>
    <n v="0.01"/>
    <n v="11657.65"/>
    <n v="11775.4"/>
    <n v="117.75"/>
    <n v="11657.65"/>
    <s v="Credit Card"/>
    <x v="2"/>
    <x v="2"/>
    <x v="3"/>
  </r>
  <r>
    <x v="1026"/>
    <x v="131"/>
    <s v="Gujarat"/>
    <x v="0"/>
    <x v="0"/>
    <x v="2"/>
    <n v="5"/>
    <n v="2459.19"/>
    <n v="0.08"/>
    <n v="11312.27"/>
    <n v="12295.95"/>
    <n v="983.68000000000029"/>
    <n v="11312.27"/>
    <s v="Credit Card"/>
    <x v="2"/>
    <x v="2"/>
    <x v="0"/>
  </r>
  <r>
    <x v="1027"/>
    <x v="142"/>
    <s v="Delhi"/>
    <x v="3"/>
    <x v="1"/>
    <x v="13"/>
    <n v="5"/>
    <n v="3728.08"/>
    <n v="0.12"/>
    <n v="16403.55"/>
    <n v="18640.400000000001"/>
    <n v="2236.8500000000022"/>
    <n v="16403.55"/>
    <s v="COD"/>
    <x v="0"/>
    <x v="2"/>
    <x v="0"/>
  </r>
  <r>
    <x v="1028"/>
    <x v="152"/>
    <s v="Tamil Nadu"/>
    <x v="0"/>
    <x v="4"/>
    <x v="19"/>
    <n v="2"/>
    <n v="662.07"/>
    <n v="0"/>
    <n v="1324.14"/>
    <n v="1324.14"/>
    <n v="0"/>
    <n v="1324.14"/>
    <s v="COD"/>
    <x v="1"/>
    <x v="0"/>
    <x v="0"/>
  </r>
  <r>
    <x v="1029"/>
    <x v="9"/>
    <s v="Maharashtra"/>
    <x v="2"/>
    <x v="3"/>
    <x v="12"/>
    <n v="5"/>
    <n v="2274.6999999999998"/>
    <n v="0.01"/>
    <n v="11259.76"/>
    <n v="11373.5"/>
    <n v="113.73999999999978"/>
    <n v="11259.76"/>
    <s v="Net Banking"/>
    <x v="0"/>
    <x v="2"/>
    <x v="0"/>
  </r>
  <r>
    <x v="1030"/>
    <x v="174"/>
    <s v="Gujarat"/>
    <x v="3"/>
    <x v="3"/>
    <x v="12"/>
    <n v="4"/>
    <n v="4310.6400000000003"/>
    <n v="0.15"/>
    <n v="14656.18"/>
    <n v="17242.560000000001"/>
    <n v="2586.380000000001"/>
    <n v="14656.18"/>
    <s v="UPI"/>
    <x v="1"/>
    <x v="1"/>
    <x v="0"/>
  </r>
  <r>
    <x v="1031"/>
    <x v="126"/>
    <s v="Delhi"/>
    <x v="0"/>
    <x v="3"/>
    <x v="12"/>
    <n v="5"/>
    <n v="1081.72"/>
    <n v="0.12"/>
    <n v="4759.57"/>
    <n v="5408.6"/>
    <n v="649.03000000000065"/>
    <n v="4759.57"/>
    <s v="Debit Card"/>
    <x v="1"/>
    <x v="1"/>
    <x v="2"/>
  </r>
  <r>
    <x v="1032"/>
    <x v="89"/>
    <s v="Karnataka"/>
    <x v="0"/>
    <x v="2"/>
    <x v="6"/>
    <n v="1"/>
    <n v="2373.42"/>
    <n v="0.2"/>
    <n v="1898.74"/>
    <n v="2373.42"/>
    <n v="474.68000000000006"/>
    <n v="1898.74"/>
    <s v="Net Banking"/>
    <x v="2"/>
    <x v="2"/>
    <x v="0"/>
  </r>
  <r>
    <x v="1033"/>
    <x v="167"/>
    <s v="Maharashtra"/>
    <x v="1"/>
    <x v="0"/>
    <x v="3"/>
    <n v="1"/>
    <n v="3261.03"/>
    <n v="0.22"/>
    <n v="2543.6"/>
    <n v="3261.03"/>
    <n v="717.43000000000029"/>
    <n v="2543.6"/>
    <s v="COD"/>
    <x v="2"/>
    <x v="0"/>
    <x v="0"/>
  </r>
  <r>
    <x v="1034"/>
    <x v="141"/>
    <s v="Tamil Nadu"/>
    <x v="3"/>
    <x v="4"/>
    <x v="16"/>
    <n v="1"/>
    <n v="4910.59"/>
    <n v="0.09"/>
    <n v="4468.6400000000003"/>
    <n v="4910.59"/>
    <n v="441.94999999999982"/>
    <n v="4468.6400000000003"/>
    <s v="Net Banking"/>
    <x v="2"/>
    <x v="0"/>
    <x v="0"/>
  </r>
  <r>
    <x v="1035"/>
    <x v="23"/>
    <s v="Gujarat"/>
    <x v="1"/>
    <x v="1"/>
    <x v="14"/>
    <n v="2"/>
    <n v="1824.15"/>
    <n v="0.18"/>
    <n v="2991.61"/>
    <n v="3648.3"/>
    <n v="656.69"/>
    <n v="2991.61"/>
    <s v="Credit Card"/>
    <x v="0"/>
    <x v="1"/>
    <x v="0"/>
  </r>
  <r>
    <x v="1036"/>
    <x v="160"/>
    <s v="Karnataka"/>
    <x v="3"/>
    <x v="3"/>
    <x v="9"/>
    <n v="4"/>
    <n v="1944.96"/>
    <n v="0.12"/>
    <n v="6846.26"/>
    <n v="7779.84"/>
    <n v="933.57999999999993"/>
    <n v="6846.26"/>
    <s v="Net Banking"/>
    <x v="0"/>
    <x v="0"/>
    <x v="0"/>
  </r>
  <r>
    <x v="1037"/>
    <x v="13"/>
    <s v="Delhi"/>
    <x v="0"/>
    <x v="1"/>
    <x v="1"/>
    <n v="5"/>
    <n v="1805.67"/>
    <n v="0.15"/>
    <n v="7674.1"/>
    <n v="9028.35"/>
    <n v="1354.25"/>
    <n v="7674.1"/>
    <s v="UPI"/>
    <x v="1"/>
    <x v="1"/>
    <x v="0"/>
  </r>
  <r>
    <x v="1038"/>
    <x v="175"/>
    <s v="Maharashtra"/>
    <x v="3"/>
    <x v="3"/>
    <x v="12"/>
    <n v="4"/>
    <n v="1685.93"/>
    <n v="0.06"/>
    <n v="6339.1"/>
    <n v="6743.72"/>
    <n v="404.61999999999989"/>
    <n v="6339.1"/>
    <s v="Credit Card"/>
    <x v="2"/>
    <x v="0"/>
    <x v="0"/>
  </r>
  <r>
    <x v="1039"/>
    <x v="56"/>
    <s v="Tamil Nadu"/>
    <x v="0"/>
    <x v="3"/>
    <x v="15"/>
    <n v="5"/>
    <n v="1327.37"/>
    <n v="0.01"/>
    <n v="6570.48"/>
    <n v="6636.8499999999995"/>
    <n v="66.369999999999891"/>
    <n v="6570.48"/>
    <s v="Credit Card"/>
    <x v="0"/>
    <x v="0"/>
    <x v="0"/>
  </r>
  <r>
    <x v="1040"/>
    <x v="109"/>
    <s v="Delhi"/>
    <x v="3"/>
    <x v="4"/>
    <x v="19"/>
    <n v="4"/>
    <n v="1950.38"/>
    <n v="0.25"/>
    <n v="5851.14"/>
    <n v="7801.52"/>
    <n v="1950.38"/>
    <n v="5851.14"/>
    <s v="UPI"/>
    <x v="0"/>
    <x v="0"/>
    <x v="0"/>
  </r>
  <r>
    <x v="1041"/>
    <x v="5"/>
    <s v="Karnataka"/>
    <x v="0"/>
    <x v="2"/>
    <x v="5"/>
    <n v="2"/>
    <n v="2226.91"/>
    <n v="0.13"/>
    <n v="3874.82"/>
    <n v="4453.82"/>
    <n v="578.99999999999955"/>
    <n v="3874.82"/>
    <s v="Debit Card"/>
    <x v="0"/>
    <x v="2"/>
    <x v="0"/>
  </r>
  <r>
    <x v="1042"/>
    <x v="8"/>
    <s v="Maharashtra"/>
    <x v="2"/>
    <x v="0"/>
    <x v="4"/>
    <n v="3"/>
    <n v="3894.49"/>
    <n v="0.14000000000000001"/>
    <n v="10047.780000000001"/>
    <n v="11683.47"/>
    <n v="1635.6899999999987"/>
    <n v="10047.780000000001"/>
    <s v="Debit Card"/>
    <x v="0"/>
    <x v="2"/>
    <x v="0"/>
  </r>
  <r>
    <x v="1043"/>
    <x v="35"/>
    <s v="Delhi"/>
    <x v="3"/>
    <x v="1"/>
    <x v="14"/>
    <n v="4"/>
    <n v="2554.17"/>
    <n v="0.09"/>
    <n v="9297.18"/>
    <n v="10216.68"/>
    <n v="919.5"/>
    <n v="9297.18"/>
    <s v="Debit Card"/>
    <x v="1"/>
    <x v="0"/>
    <x v="3"/>
  </r>
  <r>
    <x v="1044"/>
    <x v="67"/>
    <s v="Tamil Nadu"/>
    <x v="0"/>
    <x v="2"/>
    <x v="5"/>
    <n v="1"/>
    <n v="723.24"/>
    <n v="0.13"/>
    <n v="629.22"/>
    <n v="723.24"/>
    <n v="94.019999999999982"/>
    <n v="629.22"/>
    <s v="Credit Card"/>
    <x v="1"/>
    <x v="2"/>
    <x v="0"/>
  </r>
  <r>
    <x v="1045"/>
    <x v="172"/>
    <s v="Maharashtra"/>
    <x v="2"/>
    <x v="0"/>
    <x v="2"/>
    <n v="3"/>
    <n v="2013.09"/>
    <n v="0.09"/>
    <n v="5495.74"/>
    <n v="6039.2699999999995"/>
    <n v="543.52999999999975"/>
    <n v="5495.74"/>
    <s v="Debit Card"/>
    <x v="2"/>
    <x v="2"/>
    <x v="0"/>
  </r>
  <r>
    <x v="1046"/>
    <x v="166"/>
    <s v="Gujarat"/>
    <x v="0"/>
    <x v="1"/>
    <x v="10"/>
    <n v="3"/>
    <n v="2056.1799999999998"/>
    <n v="0.01"/>
    <n v="6106.85"/>
    <n v="6168.5399999999991"/>
    <n v="61.68999999999869"/>
    <n v="6106.85"/>
    <s v="COD"/>
    <x v="1"/>
    <x v="0"/>
    <x v="0"/>
  </r>
  <r>
    <x v="1047"/>
    <x v="76"/>
    <s v="Maharashtra"/>
    <x v="3"/>
    <x v="4"/>
    <x v="19"/>
    <n v="3"/>
    <n v="1082.51"/>
    <n v="0.22"/>
    <n v="2533.0700000000002"/>
    <n v="3247.5299999999997"/>
    <n v="714.45999999999958"/>
    <n v="2533.0700000000002"/>
    <s v="UPI"/>
    <x v="2"/>
    <x v="2"/>
    <x v="0"/>
  </r>
  <r>
    <x v="1048"/>
    <x v="21"/>
    <s v="Delhi"/>
    <x v="2"/>
    <x v="4"/>
    <x v="19"/>
    <n v="5"/>
    <n v="4531.1899999999996"/>
    <n v="0.18"/>
    <n v="18577.88"/>
    <n v="22655.949999999997"/>
    <n v="4078.0699999999961"/>
    <n v="18577.88"/>
    <s v="Net Banking"/>
    <x v="0"/>
    <x v="2"/>
    <x v="2"/>
  </r>
  <r>
    <x v="1049"/>
    <x v="33"/>
    <s v="Gujarat"/>
    <x v="3"/>
    <x v="2"/>
    <x v="7"/>
    <n v="3"/>
    <n v="3644.32"/>
    <n v="0.03"/>
    <n v="10604.97"/>
    <n v="10932.960000000001"/>
    <n v="327.9900000000016"/>
    <n v="10604.97"/>
    <s v="Net Banking"/>
    <x v="0"/>
    <x v="1"/>
    <x v="0"/>
  </r>
  <r>
    <x v="1050"/>
    <x v="145"/>
    <s v="Karnataka"/>
    <x v="1"/>
    <x v="2"/>
    <x v="5"/>
    <n v="1"/>
    <n v="229.13"/>
    <n v="0.2"/>
    <n v="183.3"/>
    <n v="229.13"/>
    <n v="45.829999999999984"/>
    <n v="183.3"/>
    <s v="Debit Card"/>
    <x v="0"/>
    <x v="2"/>
    <x v="0"/>
  </r>
  <r>
    <x v="1051"/>
    <x v="177"/>
    <s v="Maharashtra"/>
    <x v="0"/>
    <x v="0"/>
    <x v="3"/>
    <n v="2"/>
    <n v="2205.62"/>
    <n v="0.11"/>
    <n v="3926"/>
    <n v="4411.24"/>
    <n v="485.23999999999978"/>
    <n v="3926"/>
    <s v="Net Banking"/>
    <x v="2"/>
    <x v="2"/>
    <x v="0"/>
  </r>
  <r>
    <x v="1052"/>
    <x v="98"/>
    <s v="Karnataka"/>
    <x v="0"/>
    <x v="1"/>
    <x v="1"/>
    <n v="4"/>
    <n v="4598.54"/>
    <n v="0.06"/>
    <n v="17290.509999999998"/>
    <n v="18394.16"/>
    <n v="1103.6500000000015"/>
    <n v="17290.509999999998"/>
    <s v="Debit Card"/>
    <x v="2"/>
    <x v="2"/>
    <x v="0"/>
  </r>
  <r>
    <x v="1053"/>
    <x v="127"/>
    <s v="Maharashtra"/>
    <x v="0"/>
    <x v="1"/>
    <x v="13"/>
    <n v="1"/>
    <n v="377.61"/>
    <n v="0.11"/>
    <n v="336.07"/>
    <n v="377.61"/>
    <n v="41.54000000000002"/>
    <n v="336.07"/>
    <s v="Debit Card"/>
    <x v="0"/>
    <x v="1"/>
    <x v="0"/>
  </r>
  <r>
    <x v="1054"/>
    <x v="169"/>
    <s v="Karnataka"/>
    <x v="0"/>
    <x v="1"/>
    <x v="10"/>
    <n v="4"/>
    <n v="2445.64"/>
    <n v="0.03"/>
    <n v="9489.08"/>
    <n v="9782.56"/>
    <n v="293.47999999999956"/>
    <n v="9489.08"/>
    <s v="Debit Card"/>
    <x v="1"/>
    <x v="2"/>
    <x v="0"/>
  </r>
  <r>
    <x v="1055"/>
    <x v="173"/>
    <s v="Tamil Nadu"/>
    <x v="2"/>
    <x v="1"/>
    <x v="10"/>
    <n v="4"/>
    <n v="3594.36"/>
    <n v="0.24"/>
    <n v="10926.85"/>
    <n v="14377.44"/>
    <n v="3450.59"/>
    <n v="10926.85"/>
    <s v="UPI"/>
    <x v="0"/>
    <x v="0"/>
    <x v="1"/>
  </r>
  <r>
    <x v="1056"/>
    <x v="80"/>
    <s v="Karnataka"/>
    <x v="1"/>
    <x v="3"/>
    <x v="9"/>
    <n v="1"/>
    <n v="364.59"/>
    <n v="0.23"/>
    <n v="280.73"/>
    <n v="364.59"/>
    <n v="83.859999999999957"/>
    <n v="280.73"/>
    <s v="COD"/>
    <x v="1"/>
    <x v="0"/>
    <x v="0"/>
  </r>
  <r>
    <x v="1057"/>
    <x v="101"/>
    <s v="Gujarat"/>
    <x v="0"/>
    <x v="3"/>
    <x v="12"/>
    <n v="5"/>
    <n v="1132.77"/>
    <n v="0.09"/>
    <n v="5154.1000000000004"/>
    <n v="5663.85"/>
    <n v="509.75"/>
    <n v="5154.1000000000004"/>
    <s v="Debit Card"/>
    <x v="2"/>
    <x v="2"/>
    <x v="2"/>
  </r>
  <r>
    <x v="1058"/>
    <x v="65"/>
    <s v="Maharashtra"/>
    <x v="0"/>
    <x v="2"/>
    <x v="5"/>
    <n v="1"/>
    <n v="1424.46"/>
    <n v="0.15"/>
    <n v="1210.79"/>
    <n v="1424.46"/>
    <n v="213.67000000000007"/>
    <n v="1210.79"/>
    <s v="Credit Card"/>
    <x v="2"/>
    <x v="1"/>
    <x v="0"/>
  </r>
  <r>
    <x v="1059"/>
    <x v="71"/>
    <s v="Tamil Nadu"/>
    <x v="3"/>
    <x v="1"/>
    <x v="14"/>
    <n v="4"/>
    <n v="2275.6999999999998"/>
    <n v="0.06"/>
    <n v="8556.6299999999992"/>
    <n v="9102.7999999999993"/>
    <n v="546.17000000000007"/>
    <n v="8556.6299999999992"/>
    <s v="Credit Card"/>
    <x v="2"/>
    <x v="1"/>
    <x v="0"/>
  </r>
  <r>
    <x v="1060"/>
    <x v="64"/>
    <s v="Karnataka"/>
    <x v="2"/>
    <x v="1"/>
    <x v="13"/>
    <n v="3"/>
    <n v="4692.3999999999996"/>
    <n v="0.23"/>
    <n v="10839.44"/>
    <n v="14077.199999999999"/>
    <n v="3237.7599999999984"/>
    <n v="10839.44"/>
    <s v="Credit Card"/>
    <x v="1"/>
    <x v="1"/>
    <x v="3"/>
  </r>
  <r>
    <x v="1061"/>
    <x v="20"/>
    <s v="Maharashtra"/>
    <x v="0"/>
    <x v="1"/>
    <x v="10"/>
    <n v="5"/>
    <n v="2226.9699999999998"/>
    <n v="0.11"/>
    <n v="9910.02"/>
    <n v="11134.849999999999"/>
    <n v="1224.8299999999981"/>
    <n v="9910.02"/>
    <s v="UPI"/>
    <x v="1"/>
    <x v="0"/>
    <x v="3"/>
  </r>
  <r>
    <x v="1062"/>
    <x v="77"/>
    <s v="Karnataka"/>
    <x v="2"/>
    <x v="1"/>
    <x v="14"/>
    <n v="4"/>
    <n v="2905.75"/>
    <n v="0.14000000000000001"/>
    <n v="9995.7800000000007"/>
    <n v="11623"/>
    <n v="1627.2199999999993"/>
    <n v="9995.7800000000007"/>
    <s v="COD"/>
    <x v="2"/>
    <x v="0"/>
    <x v="0"/>
  </r>
  <r>
    <x v="1063"/>
    <x v="37"/>
    <s v="Delhi"/>
    <x v="3"/>
    <x v="2"/>
    <x v="5"/>
    <n v="3"/>
    <n v="4017.99"/>
    <n v="0.24"/>
    <n v="9161.02"/>
    <n v="12053.97"/>
    <n v="2892.9499999999989"/>
    <n v="9161.02"/>
    <s v="Debit Card"/>
    <x v="0"/>
    <x v="2"/>
    <x v="3"/>
  </r>
  <r>
    <x v="1064"/>
    <x v="116"/>
    <s v="Gujarat"/>
    <x v="0"/>
    <x v="4"/>
    <x v="17"/>
    <n v="5"/>
    <n v="1443.92"/>
    <n v="7.0000000000000007E-2"/>
    <n v="6714.23"/>
    <n v="7219.6"/>
    <n v="505.3700000000008"/>
    <n v="6714.23"/>
    <s v="Net Banking"/>
    <x v="0"/>
    <x v="1"/>
    <x v="0"/>
  </r>
  <r>
    <x v="1065"/>
    <x v="44"/>
    <s v="Karnataka"/>
    <x v="2"/>
    <x v="1"/>
    <x v="1"/>
    <n v="4"/>
    <n v="184.61"/>
    <n v="0"/>
    <n v="738.44"/>
    <n v="738.44"/>
    <n v="0"/>
    <n v="738.44"/>
    <s v="Debit Card"/>
    <x v="2"/>
    <x v="2"/>
    <x v="0"/>
  </r>
  <r>
    <x v="1066"/>
    <x v="14"/>
    <s v="Tamil Nadu"/>
    <x v="0"/>
    <x v="1"/>
    <x v="10"/>
    <n v="1"/>
    <n v="1454.58"/>
    <n v="0.15"/>
    <n v="1236.3900000000001"/>
    <n v="1454.58"/>
    <n v="218.18999999999983"/>
    <n v="1236.3900000000001"/>
    <s v="Credit Card"/>
    <x v="1"/>
    <x v="1"/>
    <x v="0"/>
  </r>
  <r>
    <x v="1067"/>
    <x v="87"/>
    <s v="Karnataka"/>
    <x v="0"/>
    <x v="4"/>
    <x v="17"/>
    <n v="2"/>
    <n v="3188.66"/>
    <n v="0.04"/>
    <n v="6122.23"/>
    <n v="6377.32"/>
    <n v="255.09000000000015"/>
    <n v="6122.23"/>
    <s v="Net Banking"/>
    <x v="0"/>
    <x v="0"/>
    <x v="0"/>
  </r>
  <r>
    <x v="1068"/>
    <x v="104"/>
    <s v="Gujarat"/>
    <x v="2"/>
    <x v="0"/>
    <x v="4"/>
    <n v="3"/>
    <n v="305.58"/>
    <n v="0.18"/>
    <n v="751.73"/>
    <n v="916.74"/>
    <n v="165.01"/>
    <n v="751.73"/>
    <s v="Net Banking"/>
    <x v="1"/>
    <x v="2"/>
    <x v="2"/>
  </r>
  <r>
    <x v="1069"/>
    <x v="123"/>
    <s v="Gujarat"/>
    <x v="0"/>
    <x v="0"/>
    <x v="2"/>
    <n v="2"/>
    <n v="1813.68"/>
    <n v="0.02"/>
    <n v="3554.81"/>
    <n v="3627.36"/>
    <n v="72.550000000000182"/>
    <n v="3554.81"/>
    <s v="Credit Card"/>
    <x v="1"/>
    <x v="1"/>
    <x v="0"/>
  </r>
  <r>
    <x v="1070"/>
    <x v="118"/>
    <s v="Karnataka"/>
    <x v="3"/>
    <x v="3"/>
    <x v="12"/>
    <n v="4"/>
    <n v="449.83"/>
    <n v="0.11"/>
    <n v="1601.39"/>
    <n v="1799.32"/>
    <n v="197.92999999999984"/>
    <n v="1601.39"/>
    <s v="COD"/>
    <x v="2"/>
    <x v="1"/>
    <x v="0"/>
  </r>
  <r>
    <x v="1071"/>
    <x v="61"/>
    <s v="Karnataka"/>
    <x v="0"/>
    <x v="1"/>
    <x v="1"/>
    <n v="3"/>
    <n v="2406.36"/>
    <n v="0.24"/>
    <n v="5486.5"/>
    <n v="7219.08"/>
    <n v="1732.58"/>
    <n v="5486.5"/>
    <s v="Net Banking"/>
    <x v="1"/>
    <x v="0"/>
    <x v="0"/>
  </r>
  <r>
    <x v="1072"/>
    <x v="70"/>
    <s v="Delhi"/>
    <x v="2"/>
    <x v="0"/>
    <x v="2"/>
    <n v="1"/>
    <n v="3084.29"/>
    <n v="0.2"/>
    <n v="2467.4299999999998"/>
    <n v="3084.29"/>
    <n v="616.86000000000013"/>
    <n v="2467.4299999999998"/>
    <s v="COD"/>
    <x v="0"/>
    <x v="0"/>
    <x v="1"/>
  </r>
  <r>
    <x v="1073"/>
    <x v="10"/>
    <s v="Delhi"/>
    <x v="1"/>
    <x v="2"/>
    <x v="7"/>
    <n v="1"/>
    <n v="4780.38"/>
    <n v="0.24"/>
    <n v="3633.09"/>
    <n v="4780.38"/>
    <n v="1147.29"/>
    <n v="3633.09"/>
    <s v="Net Banking"/>
    <x v="1"/>
    <x v="2"/>
    <x v="0"/>
  </r>
  <r>
    <x v="1074"/>
    <x v="182"/>
    <s v="Gujarat"/>
    <x v="2"/>
    <x v="0"/>
    <x v="0"/>
    <n v="5"/>
    <n v="2649.65"/>
    <n v="0.08"/>
    <n v="12188.39"/>
    <n v="13248.25"/>
    <n v="1059.8600000000006"/>
    <n v="12188.39"/>
    <s v="Net Banking"/>
    <x v="1"/>
    <x v="2"/>
    <x v="1"/>
  </r>
  <r>
    <x v="1075"/>
    <x v="49"/>
    <s v="Karnataka"/>
    <x v="1"/>
    <x v="4"/>
    <x v="16"/>
    <n v="3"/>
    <n v="3766.12"/>
    <n v="0.03"/>
    <n v="10959.41"/>
    <n v="11298.36"/>
    <n v="338.95000000000073"/>
    <n v="10959.41"/>
    <s v="Debit Card"/>
    <x v="2"/>
    <x v="2"/>
    <x v="0"/>
  </r>
  <r>
    <x v="1076"/>
    <x v="146"/>
    <s v="Maharashtra"/>
    <x v="3"/>
    <x v="2"/>
    <x v="6"/>
    <n v="5"/>
    <n v="474.57"/>
    <n v="0.09"/>
    <n v="2159.29"/>
    <n v="2372.85"/>
    <n v="213.55999999999995"/>
    <n v="2159.29"/>
    <s v="UPI"/>
    <x v="1"/>
    <x v="1"/>
    <x v="0"/>
  </r>
  <r>
    <x v="1077"/>
    <x v="108"/>
    <s v="Gujarat"/>
    <x v="3"/>
    <x v="2"/>
    <x v="11"/>
    <n v="2"/>
    <n v="3904.6"/>
    <n v="0.1"/>
    <n v="7028.28"/>
    <n v="7809.2"/>
    <n v="780.92000000000007"/>
    <n v="7028.28"/>
    <s v="Debit Card"/>
    <x v="1"/>
    <x v="0"/>
    <x v="0"/>
  </r>
  <r>
    <x v="1078"/>
    <x v="118"/>
    <s v="Karnataka"/>
    <x v="1"/>
    <x v="4"/>
    <x v="17"/>
    <n v="4"/>
    <n v="2163.0100000000002"/>
    <n v="0.25"/>
    <n v="6489.03"/>
    <n v="8652.0400000000009"/>
    <n v="2163.0100000000011"/>
    <n v="6489.03"/>
    <s v="Credit Card"/>
    <x v="0"/>
    <x v="0"/>
    <x v="0"/>
  </r>
  <r>
    <x v="1079"/>
    <x v="122"/>
    <s v="Tamil Nadu"/>
    <x v="1"/>
    <x v="3"/>
    <x v="12"/>
    <n v="1"/>
    <n v="2151.27"/>
    <n v="0.19"/>
    <n v="1742.53"/>
    <n v="2151.27"/>
    <n v="408.74"/>
    <n v="1742.53"/>
    <s v="Credit Card"/>
    <x v="0"/>
    <x v="0"/>
    <x v="0"/>
  </r>
  <r>
    <x v="1080"/>
    <x v="135"/>
    <s v="Tamil Nadu"/>
    <x v="1"/>
    <x v="3"/>
    <x v="8"/>
    <n v="2"/>
    <n v="4950.67"/>
    <n v="0.03"/>
    <n v="9604.2999999999993"/>
    <n v="9901.34"/>
    <n v="297.04000000000087"/>
    <n v="9604.2999999999993"/>
    <s v="Credit Card"/>
    <x v="1"/>
    <x v="0"/>
    <x v="1"/>
  </r>
  <r>
    <x v="1081"/>
    <x v="170"/>
    <s v="Tamil Nadu"/>
    <x v="0"/>
    <x v="4"/>
    <x v="16"/>
    <n v="3"/>
    <n v="683.25"/>
    <n v="0.22"/>
    <n v="1598.81"/>
    <n v="2049.75"/>
    <n v="450.94000000000005"/>
    <n v="1598.81"/>
    <s v="COD"/>
    <x v="0"/>
    <x v="1"/>
    <x v="2"/>
  </r>
  <r>
    <x v="1082"/>
    <x v="25"/>
    <s v="Karnataka"/>
    <x v="3"/>
    <x v="0"/>
    <x v="0"/>
    <n v="4"/>
    <n v="3729.42"/>
    <n v="0.11"/>
    <n v="13276.74"/>
    <n v="14917.68"/>
    <n v="1640.9400000000005"/>
    <n v="13276.74"/>
    <s v="Net Banking"/>
    <x v="2"/>
    <x v="1"/>
    <x v="0"/>
  </r>
  <r>
    <x v="1083"/>
    <x v="81"/>
    <s v="Delhi"/>
    <x v="2"/>
    <x v="1"/>
    <x v="13"/>
    <n v="5"/>
    <n v="1912.38"/>
    <n v="0.16"/>
    <n v="8032"/>
    <n v="9561.9000000000015"/>
    <n v="1529.9000000000015"/>
    <n v="8032"/>
    <s v="Credit Card"/>
    <x v="1"/>
    <x v="1"/>
    <x v="0"/>
  </r>
  <r>
    <x v="1084"/>
    <x v="181"/>
    <s v="Maharashtra"/>
    <x v="1"/>
    <x v="1"/>
    <x v="1"/>
    <n v="4"/>
    <n v="1771.47"/>
    <n v="0.14000000000000001"/>
    <n v="6093.86"/>
    <n v="7085.88"/>
    <n v="992.02000000000044"/>
    <n v="6093.86"/>
    <s v="Debit Card"/>
    <x v="2"/>
    <x v="0"/>
    <x v="0"/>
  </r>
  <r>
    <x v="1085"/>
    <x v="33"/>
    <s v="Delhi"/>
    <x v="2"/>
    <x v="2"/>
    <x v="6"/>
    <n v="2"/>
    <n v="2209.63"/>
    <n v="7.0000000000000007E-2"/>
    <n v="4109.91"/>
    <n v="4419.26"/>
    <n v="309.35000000000036"/>
    <n v="4109.91"/>
    <s v="Debit Card"/>
    <x v="0"/>
    <x v="0"/>
    <x v="0"/>
  </r>
  <r>
    <x v="1086"/>
    <x v="128"/>
    <s v="Maharashtra"/>
    <x v="2"/>
    <x v="4"/>
    <x v="16"/>
    <n v="4"/>
    <n v="2250.69"/>
    <n v="0.22"/>
    <n v="7022.15"/>
    <n v="9002.76"/>
    <n v="1980.6100000000006"/>
    <n v="7022.15"/>
    <s v="UPI"/>
    <x v="2"/>
    <x v="1"/>
    <x v="2"/>
  </r>
  <r>
    <x v="1087"/>
    <x v="50"/>
    <s v="Karnataka"/>
    <x v="0"/>
    <x v="0"/>
    <x v="4"/>
    <n v="2"/>
    <n v="2805.6"/>
    <n v="0.13"/>
    <n v="4881.74"/>
    <n v="5611.2"/>
    <n v="729.46"/>
    <n v="4881.74"/>
    <s v="Debit Card"/>
    <x v="0"/>
    <x v="2"/>
    <x v="0"/>
  </r>
  <r>
    <x v="1088"/>
    <x v="67"/>
    <s v="Maharashtra"/>
    <x v="1"/>
    <x v="0"/>
    <x v="4"/>
    <n v="3"/>
    <n v="1095.3900000000001"/>
    <n v="0.24"/>
    <n v="2497.4899999999998"/>
    <n v="3286.17"/>
    <n v="788.68000000000029"/>
    <n v="2497.4899999999998"/>
    <s v="Net Banking"/>
    <x v="0"/>
    <x v="0"/>
    <x v="0"/>
  </r>
  <r>
    <x v="1089"/>
    <x v="163"/>
    <s v="Tamil Nadu"/>
    <x v="0"/>
    <x v="1"/>
    <x v="10"/>
    <n v="1"/>
    <n v="2277.58"/>
    <n v="0.11"/>
    <n v="2027.05"/>
    <n v="2277.58"/>
    <n v="250.52999999999997"/>
    <n v="2027.05"/>
    <s v="UPI"/>
    <x v="0"/>
    <x v="1"/>
    <x v="1"/>
  </r>
  <r>
    <x v="1090"/>
    <x v="113"/>
    <s v="Karnataka"/>
    <x v="2"/>
    <x v="4"/>
    <x v="19"/>
    <n v="2"/>
    <n v="3664.07"/>
    <n v="0.08"/>
    <n v="6741.89"/>
    <n v="7328.14"/>
    <n v="586.25"/>
    <n v="6741.89"/>
    <s v="Credit Card"/>
    <x v="1"/>
    <x v="0"/>
    <x v="0"/>
  </r>
  <r>
    <x v="1091"/>
    <x v="118"/>
    <s v="Karnataka"/>
    <x v="3"/>
    <x v="1"/>
    <x v="13"/>
    <n v="1"/>
    <n v="4668.6000000000004"/>
    <n v="0.2"/>
    <n v="3734.88"/>
    <n v="4668.6000000000004"/>
    <n v="933.72000000000025"/>
    <n v="3734.88"/>
    <s v="Credit Card"/>
    <x v="2"/>
    <x v="1"/>
    <x v="3"/>
  </r>
  <r>
    <x v="1092"/>
    <x v="182"/>
    <s v="Delhi"/>
    <x v="2"/>
    <x v="0"/>
    <x v="0"/>
    <n v="4"/>
    <n v="4373.3599999999997"/>
    <n v="0.06"/>
    <n v="16443.830000000002"/>
    <n v="17493.439999999999"/>
    <n v="1049.6099999999969"/>
    <n v="16443.830000000002"/>
    <s v="Debit Card"/>
    <x v="1"/>
    <x v="2"/>
    <x v="0"/>
  </r>
  <r>
    <x v="1093"/>
    <x v="48"/>
    <s v="Tamil Nadu"/>
    <x v="3"/>
    <x v="2"/>
    <x v="11"/>
    <n v="2"/>
    <n v="3210.39"/>
    <n v="0.02"/>
    <n v="6292.36"/>
    <n v="6420.78"/>
    <n v="128.42000000000007"/>
    <n v="6292.36"/>
    <s v="UPI"/>
    <x v="0"/>
    <x v="0"/>
    <x v="0"/>
  </r>
  <r>
    <x v="1094"/>
    <x v="111"/>
    <s v="Gujarat"/>
    <x v="1"/>
    <x v="0"/>
    <x v="3"/>
    <n v="2"/>
    <n v="290.18"/>
    <n v="0.17"/>
    <n v="481.7"/>
    <n v="580.36"/>
    <n v="98.660000000000025"/>
    <n v="481.7"/>
    <s v="COD"/>
    <x v="0"/>
    <x v="0"/>
    <x v="0"/>
  </r>
  <r>
    <x v="1095"/>
    <x v="81"/>
    <s v="Tamil Nadu"/>
    <x v="1"/>
    <x v="3"/>
    <x v="9"/>
    <n v="2"/>
    <n v="4401.66"/>
    <n v="0.21"/>
    <n v="6954.62"/>
    <n v="8803.32"/>
    <n v="1848.6999999999998"/>
    <n v="6954.62"/>
    <s v="COD"/>
    <x v="1"/>
    <x v="1"/>
    <x v="0"/>
  </r>
  <r>
    <x v="1096"/>
    <x v="83"/>
    <s v="Gujarat"/>
    <x v="1"/>
    <x v="2"/>
    <x v="6"/>
    <n v="1"/>
    <n v="1172.76"/>
    <n v="0.24"/>
    <n v="891.3"/>
    <n v="1172.76"/>
    <n v="281.46000000000004"/>
    <n v="891.3"/>
    <s v="Net Banking"/>
    <x v="2"/>
    <x v="1"/>
    <x v="2"/>
  </r>
  <r>
    <x v="1097"/>
    <x v="166"/>
    <s v="Tamil Nadu"/>
    <x v="1"/>
    <x v="4"/>
    <x v="16"/>
    <n v="4"/>
    <n v="4785.95"/>
    <n v="0.17"/>
    <n v="15889.35"/>
    <n v="19143.8"/>
    <n v="3254.4499999999989"/>
    <n v="15889.35"/>
    <s v="Credit Card"/>
    <x v="0"/>
    <x v="1"/>
    <x v="0"/>
  </r>
  <r>
    <x v="1098"/>
    <x v="5"/>
    <s v="Gujarat"/>
    <x v="1"/>
    <x v="2"/>
    <x v="5"/>
    <n v="2"/>
    <n v="241.92"/>
    <n v="7.0000000000000007E-2"/>
    <n v="449.97"/>
    <n v="483.84"/>
    <n v="33.869999999999948"/>
    <n v="449.97"/>
    <s v="Net Banking"/>
    <x v="1"/>
    <x v="2"/>
    <x v="0"/>
  </r>
  <r>
    <x v="1099"/>
    <x v="56"/>
    <s v="Karnataka"/>
    <x v="2"/>
    <x v="4"/>
    <x v="17"/>
    <n v="4"/>
    <n v="2183.48"/>
    <n v="7.0000000000000007E-2"/>
    <n v="8122.55"/>
    <n v="8733.92"/>
    <n v="611.36999999999989"/>
    <n v="8122.55"/>
    <s v="Net Banking"/>
    <x v="2"/>
    <x v="2"/>
    <x v="0"/>
  </r>
  <r>
    <x v="1100"/>
    <x v="75"/>
    <s v="Maharashtra"/>
    <x v="3"/>
    <x v="3"/>
    <x v="9"/>
    <n v="4"/>
    <n v="1184.42"/>
    <n v="0.22"/>
    <n v="3695.39"/>
    <n v="4737.68"/>
    <n v="1042.2900000000004"/>
    <n v="3695.39"/>
    <s v="UPI"/>
    <x v="2"/>
    <x v="0"/>
    <x v="3"/>
  </r>
  <r>
    <x v="1101"/>
    <x v="12"/>
    <s v="Delhi"/>
    <x v="0"/>
    <x v="0"/>
    <x v="2"/>
    <n v="1"/>
    <n v="4756.3599999999997"/>
    <n v="0.01"/>
    <n v="4708.8"/>
    <n v="4756.3599999999997"/>
    <n v="47.559999999999491"/>
    <n v="4708.8"/>
    <s v="COD"/>
    <x v="1"/>
    <x v="1"/>
    <x v="3"/>
  </r>
  <r>
    <x v="1102"/>
    <x v="28"/>
    <s v="Gujarat"/>
    <x v="3"/>
    <x v="4"/>
    <x v="17"/>
    <n v="1"/>
    <n v="2641.38"/>
    <n v="0.09"/>
    <n v="2403.66"/>
    <n v="2641.38"/>
    <n v="237.72000000000025"/>
    <n v="2403.66"/>
    <s v="Credit Card"/>
    <x v="1"/>
    <x v="2"/>
    <x v="3"/>
  </r>
  <r>
    <x v="1103"/>
    <x v="59"/>
    <s v="Karnataka"/>
    <x v="0"/>
    <x v="2"/>
    <x v="11"/>
    <n v="3"/>
    <n v="2125.64"/>
    <n v="0.14000000000000001"/>
    <n v="5484.15"/>
    <n v="6376.92"/>
    <n v="892.77000000000044"/>
    <n v="5484.15"/>
    <s v="Debit Card"/>
    <x v="2"/>
    <x v="2"/>
    <x v="0"/>
  </r>
  <r>
    <x v="1104"/>
    <x v="27"/>
    <s v="Gujarat"/>
    <x v="3"/>
    <x v="0"/>
    <x v="0"/>
    <n v="1"/>
    <n v="869.03"/>
    <n v="0.08"/>
    <n v="799.51"/>
    <n v="869.03"/>
    <n v="69.519999999999982"/>
    <n v="799.51"/>
    <s v="Net Banking"/>
    <x v="2"/>
    <x v="2"/>
    <x v="0"/>
  </r>
  <r>
    <x v="1105"/>
    <x v="5"/>
    <s v="Tamil Nadu"/>
    <x v="1"/>
    <x v="0"/>
    <x v="3"/>
    <n v="3"/>
    <n v="4323.72"/>
    <n v="0.02"/>
    <n v="12711.74"/>
    <n v="12971.16"/>
    <n v="259.42000000000007"/>
    <n v="12711.74"/>
    <s v="Debit Card"/>
    <x v="1"/>
    <x v="0"/>
    <x v="0"/>
  </r>
  <r>
    <x v="1106"/>
    <x v="99"/>
    <s v="Maharashtra"/>
    <x v="1"/>
    <x v="1"/>
    <x v="10"/>
    <n v="2"/>
    <n v="4174.21"/>
    <n v="0.21"/>
    <n v="6595.25"/>
    <n v="8348.42"/>
    <n v="1753.17"/>
    <n v="6595.25"/>
    <s v="COD"/>
    <x v="2"/>
    <x v="1"/>
    <x v="0"/>
  </r>
  <r>
    <x v="1107"/>
    <x v="113"/>
    <s v="Karnataka"/>
    <x v="1"/>
    <x v="0"/>
    <x v="2"/>
    <n v="1"/>
    <n v="1394.92"/>
    <n v="0.16"/>
    <n v="1171.73"/>
    <n v="1394.92"/>
    <n v="223.19000000000005"/>
    <n v="1171.73"/>
    <s v="Net Banking"/>
    <x v="0"/>
    <x v="1"/>
    <x v="0"/>
  </r>
  <r>
    <x v="1108"/>
    <x v="92"/>
    <s v="Tamil Nadu"/>
    <x v="3"/>
    <x v="0"/>
    <x v="4"/>
    <n v="4"/>
    <n v="1493.67"/>
    <n v="0.18"/>
    <n v="4899.24"/>
    <n v="5974.68"/>
    <n v="1075.4400000000005"/>
    <n v="4899.24"/>
    <s v="COD"/>
    <x v="2"/>
    <x v="0"/>
    <x v="0"/>
  </r>
  <r>
    <x v="1109"/>
    <x v="78"/>
    <s v="Karnataka"/>
    <x v="1"/>
    <x v="2"/>
    <x v="5"/>
    <n v="1"/>
    <n v="2316.12"/>
    <n v="0.14000000000000001"/>
    <n v="1991.86"/>
    <n v="2316.12"/>
    <n v="324.26"/>
    <n v="1991.86"/>
    <s v="COD"/>
    <x v="1"/>
    <x v="2"/>
    <x v="3"/>
  </r>
  <r>
    <x v="1110"/>
    <x v="150"/>
    <s v="Tamil Nadu"/>
    <x v="0"/>
    <x v="2"/>
    <x v="6"/>
    <n v="3"/>
    <n v="1728.93"/>
    <n v="0.2"/>
    <n v="4149.43"/>
    <n v="5186.79"/>
    <n v="1037.3599999999997"/>
    <n v="4149.43"/>
    <s v="COD"/>
    <x v="0"/>
    <x v="2"/>
    <x v="0"/>
  </r>
  <r>
    <x v="1111"/>
    <x v="42"/>
    <s v="Gujarat"/>
    <x v="3"/>
    <x v="3"/>
    <x v="15"/>
    <n v="2"/>
    <n v="2075.66"/>
    <n v="0.21"/>
    <n v="3279.54"/>
    <n v="4151.32"/>
    <n v="871.77999999999975"/>
    <n v="3279.54"/>
    <s v="Debit Card"/>
    <x v="0"/>
    <x v="0"/>
    <x v="0"/>
  </r>
  <r>
    <x v="1112"/>
    <x v="41"/>
    <s v="Tamil Nadu"/>
    <x v="1"/>
    <x v="2"/>
    <x v="6"/>
    <n v="3"/>
    <n v="4188.18"/>
    <n v="0.01"/>
    <n v="12438.89"/>
    <n v="12564.54"/>
    <n v="125.65000000000146"/>
    <n v="12438.89"/>
    <s v="UPI"/>
    <x v="1"/>
    <x v="0"/>
    <x v="1"/>
  </r>
  <r>
    <x v="1113"/>
    <x v="16"/>
    <s v="Gujarat"/>
    <x v="1"/>
    <x v="4"/>
    <x v="16"/>
    <n v="4"/>
    <n v="1633.78"/>
    <n v="0.16"/>
    <n v="5489.5"/>
    <n v="6535.12"/>
    <n v="1045.6199999999999"/>
    <n v="5489.5"/>
    <s v="Net Banking"/>
    <x v="1"/>
    <x v="1"/>
    <x v="0"/>
  </r>
  <r>
    <x v="1114"/>
    <x v="104"/>
    <s v="Maharashtra"/>
    <x v="0"/>
    <x v="1"/>
    <x v="13"/>
    <n v="1"/>
    <n v="1940.86"/>
    <n v="0.19"/>
    <n v="1572.1"/>
    <n v="1940.86"/>
    <n v="368.76"/>
    <n v="1572.1"/>
    <s v="Net Banking"/>
    <x v="1"/>
    <x v="2"/>
    <x v="0"/>
  </r>
  <r>
    <x v="1115"/>
    <x v="166"/>
    <s v="Maharashtra"/>
    <x v="1"/>
    <x v="2"/>
    <x v="7"/>
    <n v="2"/>
    <n v="3168.21"/>
    <n v="0.13"/>
    <n v="5512.69"/>
    <n v="6336.42"/>
    <n v="823.73000000000047"/>
    <n v="5512.69"/>
    <s v="Net Banking"/>
    <x v="2"/>
    <x v="2"/>
    <x v="0"/>
  </r>
  <r>
    <x v="1116"/>
    <x v="179"/>
    <s v="Tamil Nadu"/>
    <x v="3"/>
    <x v="4"/>
    <x v="19"/>
    <n v="3"/>
    <n v="2660.15"/>
    <n v="0.15"/>
    <n v="6783.38"/>
    <n v="7980.4500000000007"/>
    <n v="1197.0700000000006"/>
    <n v="6783.38"/>
    <s v="UPI"/>
    <x v="1"/>
    <x v="1"/>
    <x v="0"/>
  </r>
  <r>
    <x v="1117"/>
    <x v="159"/>
    <s v="Gujarat"/>
    <x v="3"/>
    <x v="1"/>
    <x v="10"/>
    <n v="5"/>
    <n v="1331.07"/>
    <n v="0.12"/>
    <n v="5856.71"/>
    <n v="6655.3499999999995"/>
    <n v="798.63999999999942"/>
    <n v="5856.71"/>
    <s v="UPI"/>
    <x v="1"/>
    <x v="1"/>
    <x v="0"/>
  </r>
  <r>
    <x v="1118"/>
    <x v="129"/>
    <s v="Karnataka"/>
    <x v="2"/>
    <x v="2"/>
    <x v="7"/>
    <n v="2"/>
    <n v="2405.42"/>
    <n v="0.25"/>
    <n v="3608.13"/>
    <n v="4810.84"/>
    <n v="1202.71"/>
    <n v="3608.13"/>
    <s v="Net Banking"/>
    <x v="0"/>
    <x v="2"/>
    <x v="0"/>
  </r>
  <r>
    <x v="1119"/>
    <x v="39"/>
    <s v="Gujarat"/>
    <x v="0"/>
    <x v="3"/>
    <x v="8"/>
    <n v="1"/>
    <n v="399.43"/>
    <n v="0.12"/>
    <n v="351.5"/>
    <n v="399.43"/>
    <n v="47.930000000000007"/>
    <n v="351.5"/>
    <s v="Net Banking"/>
    <x v="2"/>
    <x v="2"/>
    <x v="0"/>
  </r>
  <r>
    <x v="1120"/>
    <x v="72"/>
    <s v="Karnataka"/>
    <x v="2"/>
    <x v="1"/>
    <x v="10"/>
    <n v="3"/>
    <n v="1492.52"/>
    <n v="0.23"/>
    <n v="3447.72"/>
    <n v="4477.5599999999995"/>
    <n v="1029.8399999999997"/>
    <n v="3447.72"/>
    <s v="Credit Card"/>
    <x v="0"/>
    <x v="1"/>
    <x v="0"/>
  </r>
  <r>
    <x v="1121"/>
    <x v="177"/>
    <s v="Gujarat"/>
    <x v="3"/>
    <x v="2"/>
    <x v="6"/>
    <n v="2"/>
    <n v="479.63"/>
    <n v="0.04"/>
    <n v="920.89"/>
    <n v="959.26"/>
    <n v="38.370000000000005"/>
    <n v="920.89"/>
    <s v="COD"/>
    <x v="1"/>
    <x v="0"/>
    <x v="0"/>
  </r>
  <r>
    <x v="1122"/>
    <x v="171"/>
    <s v="Delhi"/>
    <x v="2"/>
    <x v="4"/>
    <x v="19"/>
    <n v="4"/>
    <n v="1717.78"/>
    <n v="0.19"/>
    <n v="5565.61"/>
    <n v="6871.12"/>
    <n v="1305.5100000000002"/>
    <n v="5565.61"/>
    <s v="COD"/>
    <x v="1"/>
    <x v="0"/>
    <x v="2"/>
  </r>
  <r>
    <x v="1123"/>
    <x v="37"/>
    <s v="Delhi"/>
    <x v="3"/>
    <x v="1"/>
    <x v="14"/>
    <n v="2"/>
    <n v="4946.53"/>
    <n v="0.02"/>
    <n v="9695.2000000000007"/>
    <n v="9893.06"/>
    <n v="197.85999999999876"/>
    <n v="9695.2000000000007"/>
    <s v="Debit Card"/>
    <x v="0"/>
    <x v="0"/>
    <x v="0"/>
  </r>
  <r>
    <x v="1124"/>
    <x v="28"/>
    <s v="Karnataka"/>
    <x v="1"/>
    <x v="2"/>
    <x v="7"/>
    <n v="2"/>
    <n v="2607.36"/>
    <n v="0.11"/>
    <n v="4641.1000000000004"/>
    <n v="5214.72"/>
    <n v="573.61999999999989"/>
    <n v="4641.1000000000004"/>
    <s v="Credit Card"/>
    <x v="0"/>
    <x v="0"/>
    <x v="0"/>
  </r>
  <r>
    <x v="1125"/>
    <x v="93"/>
    <s v="Delhi"/>
    <x v="2"/>
    <x v="1"/>
    <x v="13"/>
    <n v="4"/>
    <n v="3892.21"/>
    <n v="0.18"/>
    <n v="12766.45"/>
    <n v="15568.84"/>
    <n v="2802.3899999999994"/>
    <n v="12766.45"/>
    <s v="COD"/>
    <x v="2"/>
    <x v="1"/>
    <x v="3"/>
  </r>
  <r>
    <x v="1126"/>
    <x v="111"/>
    <s v="Gujarat"/>
    <x v="1"/>
    <x v="4"/>
    <x v="19"/>
    <n v="3"/>
    <n v="3585.6"/>
    <n v="0.21"/>
    <n v="8497.8700000000008"/>
    <n v="10756.8"/>
    <n v="2258.9299999999985"/>
    <n v="8497.8700000000008"/>
    <s v="Debit Card"/>
    <x v="0"/>
    <x v="0"/>
    <x v="0"/>
  </r>
  <r>
    <x v="1127"/>
    <x v="26"/>
    <s v="Gujarat"/>
    <x v="2"/>
    <x v="4"/>
    <x v="19"/>
    <n v="3"/>
    <n v="972.26"/>
    <n v="0.22"/>
    <n v="2275.09"/>
    <n v="2916.7799999999997"/>
    <n v="641.6899999999996"/>
    <n v="2275.09"/>
    <s v="Net Banking"/>
    <x v="1"/>
    <x v="1"/>
    <x v="0"/>
  </r>
  <r>
    <x v="1128"/>
    <x v="93"/>
    <s v="Tamil Nadu"/>
    <x v="0"/>
    <x v="3"/>
    <x v="12"/>
    <n v="1"/>
    <n v="1059.5999999999999"/>
    <n v="0.09"/>
    <n v="964.24"/>
    <n v="1059.5999999999999"/>
    <n v="95.3599999999999"/>
    <n v="964.24"/>
    <s v="UPI"/>
    <x v="0"/>
    <x v="2"/>
    <x v="0"/>
  </r>
  <r>
    <x v="1129"/>
    <x v="4"/>
    <s v="Karnataka"/>
    <x v="1"/>
    <x v="4"/>
    <x v="19"/>
    <n v="1"/>
    <n v="3073.19"/>
    <n v="0.01"/>
    <n v="3042.46"/>
    <n v="3073.19"/>
    <n v="30.730000000000018"/>
    <n v="3042.46"/>
    <s v="UPI"/>
    <x v="1"/>
    <x v="1"/>
    <x v="0"/>
  </r>
  <r>
    <x v="1130"/>
    <x v="54"/>
    <s v="Maharashtra"/>
    <x v="3"/>
    <x v="4"/>
    <x v="17"/>
    <n v="4"/>
    <n v="4986.43"/>
    <n v="0.16"/>
    <n v="16754.400000000001"/>
    <n v="19945.72"/>
    <n v="3191.3199999999997"/>
    <n v="16754.400000000001"/>
    <s v="COD"/>
    <x v="0"/>
    <x v="1"/>
    <x v="0"/>
  </r>
  <r>
    <x v="1131"/>
    <x v="31"/>
    <s v="Maharashtra"/>
    <x v="3"/>
    <x v="1"/>
    <x v="13"/>
    <n v="5"/>
    <n v="4481.8999999999996"/>
    <n v="0.04"/>
    <n v="21513.119999999999"/>
    <n v="22409.5"/>
    <n v="896.38000000000102"/>
    <n v="21513.119999999999"/>
    <s v="UPI"/>
    <x v="0"/>
    <x v="0"/>
    <x v="1"/>
  </r>
  <r>
    <x v="1132"/>
    <x v="144"/>
    <s v="Tamil Nadu"/>
    <x v="2"/>
    <x v="3"/>
    <x v="8"/>
    <n v="4"/>
    <n v="3223.64"/>
    <n v="0.02"/>
    <n v="12636.67"/>
    <n v="12894.56"/>
    <n v="257.88999999999942"/>
    <n v="12636.67"/>
    <s v="Credit Card"/>
    <x v="0"/>
    <x v="2"/>
    <x v="2"/>
  </r>
  <r>
    <x v="1133"/>
    <x v="63"/>
    <s v="Karnataka"/>
    <x v="0"/>
    <x v="3"/>
    <x v="8"/>
    <n v="2"/>
    <n v="4538.05"/>
    <n v="0.15"/>
    <n v="7714.69"/>
    <n v="9076.1"/>
    <n v="1361.4100000000008"/>
    <n v="7714.69"/>
    <s v="UPI"/>
    <x v="1"/>
    <x v="1"/>
    <x v="1"/>
  </r>
  <r>
    <x v="1134"/>
    <x v="12"/>
    <s v="Maharashtra"/>
    <x v="1"/>
    <x v="2"/>
    <x v="5"/>
    <n v="5"/>
    <n v="822.82"/>
    <n v="7.0000000000000007E-2"/>
    <n v="3826.11"/>
    <n v="4114.1000000000004"/>
    <n v="287.99000000000024"/>
    <n v="3826.11"/>
    <s v="Credit Card"/>
    <x v="0"/>
    <x v="2"/>
    <x v="0"/>
  </r>
  <r>
    <x v="1135"/>
    <x v="133"/>
    <s v="Gujarat"/>
    <x v="2"/>
    <x v="1"/>
    <x v="10"/>
    <n v="1"/>
    <n v="1624.71"/>
    <n v="0.14000000000000001"/>
    <n v="1397.25"/>
    <n v="1624.71"/>
    <n v="227.46000000000004"/>
    <n v="1397.25"/>
    <s v="Net Banking"/>
    <x v="0"/>
    <x v="2"/>
    <x v="0"/>
  </r>
  <r>
    <x v="1136"/>
    <x v="24"/>
    <s v="Maharashtra"/>
    <x v="0"/>
    <x v="0"/>
    <x v="3"/>
    <n v="2"/>
    <n v="3674.8"/>
    <n v="0.05"/>
    <n v="6982.12"/>
    <n v="7349.6"/>
    <n v="367.48000000000047"/>
    <n v="6982.12"/>
    <s v="Credit Card"/>
    <x v="0"/>
    <x v="0"/>
    <x v="3"/>
  </r>
  <r>
    <x v="1137"/>
    <x v="157"/>
    <s v="Karnataka"/>
    <x v="3"/>
    <x v="0"/>
    <x v="4"/>
    <n v="2"/>
    <n v="1608.13"/>
    <n v="0.17"/>
    <n v="2669.5"/>
    <n v="3216.26"/>
    <n v="546.76000000000022"/>
    <n v="2669.5"/>
    <s v="Net Banking"/>
    <x v="0"/>
    <x v="2"/>
    <x v="0"/>
  </r>
  <r>
    <x v="1138"/>
    <x v="129"/>
    <s v="Delhi"/>
    <x v="2"/>
    <x v="2"/>
    <x v="6"/>
    <n v="5"/>
    <n v="1646.15"/>
    <n v="0.06"/>
    <n v="7736.9"/>
    <n v="8230.75"/>
    <n v="493.85000000000036"/>
    <n v="7736.9"/>
    <s v="UPI"/>
    <x v="0"/>
    <x v="2"/>
    <x v="1"/>
  </r>
  <r>
    <x v="1139"/>
    <x v="54"/>
    <s v="Karnataka"/>
    <x v="1"/>
    <x v="3"/>
    <x v="9"/>
    <n v="1"/>
    <n v="2500.44"/>
    <n v="0.14000000000000001"/>
    <n v="2150.38"/>
    <n v="2500.44"/>
    <n v="350.05999999999995"/>
    <n v="2150.38"/>
    <s v="Net Banking"/>
    <x v="2"/>
    <x v="1"/>
    <x v="3"/>
  </r>
  <r>
    <x v="1140"/>
    <x v="32"/>
    <s v="Gujarat"/>
    <x v="2"/>
    <x v="3"/>
    <x v="8"/>
    <n v="5"/>
    <n v="2886.69"/>
    <n v="0.25"/>
    <n v="10825.09"/>
    <n v="14433.45"/>
    <n v="3608.3600000000006"/>
    <n v="10825.09"/>
    <s v="Net Banking"/>
    <x v="0"/>
    <x v="1"/>
    <x v="0"/>
  </r>
  <r>
    <x v="1141"/>
    <x v="133"/>
    <s v="Karnataka"/>
    <x v="3"/>
    <x v="4"/>
    <x v="16"/>
    <n v="3"/>
    <n v="544.71"/>
    <n v="0.19"/>
    <n v="1323.65"/>
    <n v="1634.13"/>
    <n v="310.48"/>
    <n v="1323.65"/>
    <s v="COD"/>
    <x v="1"/>
    <x v="1"/>
    <x v="0"/>
  </r>
  <r>
    <x v="1142"/>
    <x v="175"/>
    <s v="Gujarat"/>
    <x v="1"/>
    <x v="0"/>
    <x v="0"/>
    <n v="2"/>
    <n v="2389.5100000000002"/>
    <n v="0.08"/>
    <n v="4396.7"/>
    <n v="4779.0200000000004"/>
    <n v="382.32000000000062"/>
    <n v="4396.7"/>
    <s v="Debit Card"/>
    <x v="2"/>
    <x v="0"/>
    <x v="0"/>
  </r>
  <r>
    <x v="1143"/>
    <x v="137"/>
    <s v="Maharashtra"/>
    <x v="0"/>
    <x v="0"/>
    <x v="2"/>
    <n v="2"/>
    <n v="2164.9"/>
    <n v="0.08"/>
    <n v="3983.42"/>
    <n v="4329.8"/>
    <n v="346.38000000000011"/>
    <n v="3983.42"/>
    <s v="UPI"/>
    <x v="0"/>
    <x v="0"/>
    <x v="0"/>
  </r>
  <r>
    <x v="1144"/>
    <x v="77"/>
    <s v="Delhi"/>
    <x v="1"/>
    <x v="4"/>
    <x v="17"/>
    <n v="2"/>
    <n v="3785.02"/>
    <n v="0.11"/>
    <n v="6737.34"/>
    <n v="7570.04"/>
    <n v="832.69999999999982"/>
    <n v="6737.34"/>
    <s v="Net Banking"/>
    <x v="1"/>
    <x v="0"/>
    <x v="0"/>
  </r>
  <r>
    <x v="1145"/>
    <x v="141"/>
    <s v="Tamil Nadu"/>
    <x v="2"/>
    <x v="2"/>
    <x v="5"/>
    <n v="3"/>
    <n v="3044.62"/>
    <n v="0.12"/>
    <n v="8037.8"/>
    <n v="9133.86"/>
    <n v="1096.0600000000004"/>
    <n v="8037.8"/>
    <s v="Debit Card"/>
    <x v="2"/>
    <x v="1"/>
    <x v="0"/>
  </r>
  <r>
    <x v="1146"/>
    <x v="104"/>
    <s v="Tamil Nadu"/>
    <x v="3"/>
    <x v="3"/>
    <x v="8"/>
    <n v="5"/>
    <n v="2063.6799999999998"/>
    <n v="0.01"/>
    <n v="10215.219999999999"/>
    <n v="10318.4"/>
    <n v="103.18000000000029"/>
    <n v="10215.219999999999"/>
    <s v="Net Banking"/>
    <x v="2"/>
    <x v="0"/>
    <x v="1"/>
  </r>
  <r>
    <x v="1147"/>
    <x v="27"/>
    <s v="Gujarat"/>
    <x v="2"/>
    <x v="1"/>
    <x v="10"/>
    <n v="3"/>
    <n v="3963.99"/>
    <n v="0.01"/>
    <n v="11773.05"/>
    <n v="11891.97"/>
    <n v="118.92000000000007"/>
    <n v="11773.05"/>
    <s v="Debit Card"/>
    <x v="0"/>
    <x v="2"/>
    <x v="3"/>
  </r>
  <r>
    <x v="1148"/>
    <x v="110"/>
    <s v="Tamil Nadu"/>
    <x v="2"/>
    <x v="3"/>
    <x v="9"/>
    <n v="4"/>
    <n v="104.13"/>
    <n v="0.04"/>
    <n v="399.86"/>
    <n v="416.52"/>
    <n v="16.659999999999968"/>
    <n v="399.86"/>
    <s v="Net Banking"/>
    <x v="0"/>
    <x v="2"/>
    <x v="0"/>
  </r>
  <r>
    <x v="1149"/>
    <x v="130"/>
    <s v="Delhi"/>
    <x v="0"/>
    <x v="3"/>
    <x v="12"/>
    <n v="2"/>
    <n v="855.28"/>
    <n v="0.14000000000000001"/>
    <n v="1471.08"/>
    <n v="1710.56"/>
    <n v="239.48000000000002"/>
    <n v="1471.08"/>
    <s v="Net Banking"/>
    <x v="0"/>
    <x v="1"/>
    <x v="0"/>
  </r>
  <r>
    <x v="1150"/>
    <x v="17"/>
    <s v="Tamil Nadu"/>
    <x v="1"/>
    <x v="4"/>
    <x v="19"/>
    <n v="4"/>
    <n v="3524.02"/>
    <n v="0.23"/>
    <n v="10853.98"/>
    <n v="14096.08"/>
    <n v="3242.1000000000004"/>
    <n v="10853.98"/>
    <s v="COD"/>
    <x v="1"/>
    <x v="0"/>
    <x v="3"/>
  </r>
  <r>
    <x v="1151"/>
    <x v="125"/>
    <s v="Tamil Nadu"/>
    <x v="1"/>
    <x v="3"/>
    <x v="8"/>
    <n v="2"/>
    <n v="2059.4299999999998"/>
    <n v="0.08"/>
    <n v="3789.35"/>
    <n v="4118.8599999999997"/>
    <n v="329.50999999999976"/>
    <n v="3789.35"/>
    <s v="Debit Card"/>
    <x v="2"/>
    <x v="1"/>
    <x v="0"/>
  </r>
  <r>
    <x v="1152"/>
    <x v="6"/>
    <s v="Karnataka"/>
    <x v="3"/>
    <x v="1"/>
    <x v="13"/>
    <n v="5"/>
    <n v="231.79"/>
    <n v="0.22"/>
    <n v="903.98"/>
    <n v="1158.95"/>
    <n v="254.97000000000003"/>
    <n v="903.98"/>
    <s v="Net Banking"/>
    <x v="1"/>
    <x v="2"/>
    <x v="0"/>
  </r>
  <r>
    <x v="1153"/>
    <x v="157"/>
    <s v="Gujarat"/>
    <x v="0"/>
    <x v="4"/>
    <x v="19"/>
    <n v="1"/>
    <n v="3263.33"/>
    <n v="0.03"/>
    <n v="3165.43"/>
    <n v="3263.33"/>
    <n v="97.900000000000091"/>
    <n v="3165.43"/>
    <s v="COD"/>
    <x v="2"/>
    <x v="2"/>
    <x v="0"/>
  </r>
  <r>
    <x v="1154"/>
    <x v="175"/>
    <s v="Karnataka"/>
    <x v="1"/>
    <x v="2"/>
    <x v="7"/>
    <n v="2"/>
    <n v="2185.9899999999998"/>
    <n v="7.0000000000000007E-2"/>
    <n v="4065.94"/>
    <n v="4371.9799999999996"/>
    <n v="306.03999999999951"/>
    <n v="4065.94"/>
    <s v="Net Banking"/>
    <x v="1"/>
    <x v="1"/>
    <x v="0"/>
  </r>
  <r>
    <x v="1155"/>
    <x v="5"/>
    <s v="Delhi"/>
    <x v="2"/>
    <x v="2"/>
    <x v="11"/>
    <n v="5"/>
    <n v="4187.74"/>
    <n v="0.12"/>
    <n v="18426.060000000001"/>
    <n v="20938.699999999997"/>
    <n v="2512.6399999999958"/>
    <n v="18426.060000000001"/>
    <s v="Net Banking"/>
    <x v="1"/>
    <x v="2"/>
    <x v="0"/>
  </r>
  <r>
    <x v="1156"/>
    <x v="132"/>
    <s v="Maharashtra"/>
    <x v="0"/>
    <x v="0"/>
    <x v="3"/>
    <n v="2"/>
    <n v="2915.94"/>
    <n v="0.1"/>
    <n v="5248.69"/>
    <n v="5831.88"/>
    <n v="583.19000000000051"/>
    <n v="5248.69"/>
    <s v="Debit Card"/>
    <x v="2"/>
    <x v="1"/>
    <x v="0"/>
  </r>
  <r>
    <x v="1157"/>
    <x v="65"/>
    <s v="Maharashtra"/>
    <x v="2"/>
    <x v="2"/>
    <x v="5"/>
    <n v="3"/>
    <n v="3736.12"/>
    <n v="0.03"/>
    <n v="10872.11"/>
    <n v="11208.36"/>
    <n v="336.25"/>
    <n v="10872.11"/>
    <s v="UPI"/>
    <x v="2"/>
    <x v="1"/>
    <x v="3"/>
  </r>
  <r>
    <x v="1158"/>
    <x v="62"/>
    <s v="Maharashtra"/>
    <x v="3"/>
    <x v="4"/>
    <x v="17"/>
    <n v="5"/>
    <n v="3822.09"/>
    <n v="0.22"/>
    <n v="14906.15"/>
    <n v="19110.45"/>
    <n v="4204.3000000000011"/>
    <n v="14906.15"/>
    <s v="Debit Card"/>
    <x v="2"/>
    <x v="2"/>
    <x v="0"/>
  </r>
  <r>
    <x v="1159"/>
    <x v="71"/>
    <s v="Delhi"/>
    <x v="0"/>
    <x v="1"/>
    <x v="1"/>
    <n v="4"/>
    <n v="2230.9499999999998"/>
    <n v="0.12"/>
    <n v="7852.94"/>
    <n v="8923.7999999999993"/>
    <n v="1070.8599999999997"/>
    <n v="7852.94"/>
    <s v="COD"/>
    <x v="1"/>
    <x v="2"/>
    <x v="1"/>
  </r>
  <r>
    <x v="1160"/>
    <x v="153"/>
    <s v="Maharashtra"/>
    <x v="0"/>
    <x v="2"/>
    <x v="6"/>
    <n v="3"/>
    <n v="1336.4"/>
    <n v="0.08"/>
    <n v="3688.46"/>
    <n v="4009.2000000000003"/>
    <n v="320.74000000000024"/>
    <n v="3688.46"/>
    <s v="COD"/>
    <x v="1"/>
    <x v="1"/>
    <x v="0"/>
  </r>
  <r>
    <x v="1161"/>
    <x v="54"/>
    <s v="Karnataka"/>
    <x v="0"/>
    <x v="3"/>
    <x v="9"/>
    <n v="4"/>
    <n v="1690.7"/>
    <n v="0.16"/>
    <n v="5680.75"/>
    <n v="6762.8"/>
    <n v="1082.0500000000002"/>
    <n v="5680.75"/>
    <s v="Net Banking"/>
    <x v="0"/>
    <x v="0"/>
    <x v="0"/>
  </r>
  <r>
    <x v="1162"/>
    <x v="80"/>
    <s v="Delhi"/>
    <x v="1"/>
    <x v="0"/>
    <x v="3"/>
    <n v="5"/>
    <n v="563.41"/>
    <n v="0.18"/>
    <n v="2309.98"/>
    <n v="2817.0499999999997"/>
    <n v="507.06999999999971"/>
    <n v="2309.98"/>
    <s v="Debit Card"/>
    <x v="0"/>
    <x v="0"/>
    <x v="0"/>
  </r>
  <r>
    <x v="1163"/>
    <x v="37"/>
    <s v="Tamil Nadu"/>
    <x v="2"/>
    <x v="4"/>
    <x v="17"/>
    <n v="5"/>
    <n v="2888.43"/>
    <n v="0.01"/>
    <n v="14297.73"/>
    <n v="14442.15"/>
    <n v="144.42000000000007"/>
    <n v="14297.73"/>
    <s v="COD"/>
    <x v="0"/>
    <x v="1"/>
    <x v="0"/>
  </r>
  <r>
    <x v="1164"/>
    <x v="36"/>
    <s v="Tamil Nadu"/>
    <x v="1"/>
    <x v="1"/>
    <x v="13"/>
    <n v="1"/>
    <n v="1755.09"/>
    <n v="0.16"/>
    <n v="1474.28"/>
    <n v="1755.09"/>
    <n v="280.80999999999995"/>
    <n v="1474.28"/>
    <s v="COD"/>
    <x v="1"/>
    <x v="1"/>
    <x v="0"/>
  </r>
  <r>
    <x v="1165"/>
    <x v="97"/>
    <s v="Maharashtra"/>
    <x v="3"/>
    <x v="3"/>
    <x v="9"/>
    <n v="2"/>
    <n v="2897.39"/>
    <n v="0.25"/>
    <n v="4346.09"/>
    <n v="5794.78"/>
    <n v="1448.6899999999996"/>
    <n v="4346.09"/>
    <s v="Net Banking"/>
    <x v="0"/>
    <x v="0"/>
    <x v="0"/>
  </r>
  <r>
    <x v="1166"/>
    <x v="138"/>
    <s v="Gujarat"/>
    <x v="2"/>
    <x v="0"/>
    <x v="2"/>
    <n v="4"/>
    <n v="1446.46"/>
    <n v="0.17"/>
    <n v="4802.25"/>
    <n v="5785.84"/>
    <n v="983.59000000000015"/>
    <n v="4802.25"/>
    <s v="Net Banking"/>
    <x v="0"/>
    <x v="2"/>
    <x v="0"/>
  </r>
  <r>
    <x v="1167"/>
    <x v="148"/>
    <s v="Delhi"/>
    <x v="3"/>
    <x v="0"/>
    <x v="3"/>
    <n v="1"/>
    <n v="2095.1999999999998"/>
    <n v="0"/>
    <n v="2095.1999999999998"/>
    <n v="2095.1999999999998"/>
    <n v="0"/>
    <n v="2095.1999999999998"/>
    <s v="UPI"/>
    <x v="2"/>
    <x v="1"/>
    <x v="0"/>
  </r>
  <r>
    <x v="1168"/>
    <x v="72"/>
    <s v="Maharashtra"/>
    <x v="2"/>
    <x v="2"/>
    <x v="6"/>
    <n v="1"/>
    <n v="3574.14"/>
    <n v="0.06"/>
    <n v="3359.69"/>
    <n v="3574.14"/>
    <n v="214.44999999999982"/>
    <n v="3359.69"/>
    <s v="Debit Card"/>
    <x v="0"/>
    <x v="0"/>
    <x v="0"/>
  </r>
  <r>
    <x v="1169"/>
    <x v="26"/>
    <s v="Gujarat"/>
    <x v="0"/>
    <x v="1"/>
    <x v="14"/>
    <n v="5"/>
    <n v="1710.88"/>
    <n v="0.1"/>
    <n v="7698.96"/>
    <n v="8554.4000000000015"/>
    <n v="855.44000000000142"/>
    <n v="7698.96"/>
    <s v="Net Banking"/>
    <x v="1"/>
    <x v="0"/>
    <x v="0"/>
  </r>
  <r>
    <x v="1170"/>
    <x v="69"/>
    <s v="Tamil Nadu"/>
    <x v="1"/>
    <x v="4"/>
    <x v="17"/>
    <n v="4"/>
    <n v="1132.1199999999999"/>
    <n v="0.17"/>
    <n v="3758.64"/>
    <n v="4528.4799999999996"/>
    <n v="769.83999999999969"/>
    <n v="3758.64"/>
    <s v="Debit Card"/>
    <x v="2"/>
    <x v="0"/>
    <x v="0"/>
  </r>
  <r>
    <x v="1171"/>
    <x v="81"/>
    <s v="Tamil Nadu"/>
    <x v="2"/>
    <x v="0"/>
    <x v="0"/>
    <n v="1"/>
    <n v="1117"/>
    <n v="0.25"/>
    <n v="837.75"/>
    <n v="1117"/>
    <n v="279.25"/>
    <n v="837.75"/>
    <s v="COD"/>
    <x v="2"/>
    <x v="1"/>
    <x v="0"/>
  </r>
  <r>
    <x v="1172"/>
    <x v="132"/>
    <s v="Tamil Nadu"/>
    <x v="1"/>
    <x v="4"/>
    <x v="18"/>
    <n v="5"/>
    <n v="2966.19"/>
    <n v="0.16"/>
    <n v="12458"/>
    <n v="14830.95"/>
    <n v="2372.9500000000007"/>
    <n v="12458"/>
    <s v="Credit Card"/>
    <x v="0"/>
    <x v="0"/>
    <x v="0"/>
  </r>
  <r>
    <x v="1173"/>
    <x v="115"/>
    <s v="Gujarat"/>
    <x v="0"/>
    <x v="0"/>
    <x v="2"/>
    <n v="4"/>
    <n v="4613.76"/>
    <n v="0.03"/>
    <n v="17901.39"/>
    <n v="18455.04"/>
    <n v="553.65000000000146"/>
    <n v="17901.39"/>
    <s v="Net Banking"/>
    <x v="0"/>
    <x v="0"/>
    <x v="0"/>
  </r>
  <r>
    <x v="1174"/>
    <x v="66"/>
    <s v="Maharashtra"/>
    <x v="1"/>
    <x v="3"/>
    <x v="12"/>
    <n v="2"/>
    <n v="4337.9799999999996"/>
    <n v="0.19"/>
    <n v="7027.53"/>
    <n v="8675.9599999999991"/>
    <n v="1648.4299999999994"/>
    <n v="7027.53"/>
    <s v="COD"/>
    <x v="2"/>
    <x v="0"/>
    <x v="0"/>
  </r>
  <r>
    <x v="1175"/>
    <x v="145"/>
    <s v="Tamil Nadu"/>
    <x v="2"/>
    <x v="4"/>
    <x v="16"/>
    <n v="3"/>
    <n v="3875.45"/>
    <n v="0.16"/>
    <n v="9766.1299999999992"/>
    <n v="11626.349999999999"/>
    <n v="1860.2199999999993"/>
    <n v="9766.1299999999992"/>
    <s v="COD"/>
    <x v="2"/>
    <x v="0"/>
    <x v="0"/>
  </r>
  <r>
    <x v="1176"/>
    <x v="120"/>
    <s v="Delhi"/>
    <x v="3"/>
    <x v="1"/>
    <x v="14"/>
    <n v="4"/>
    <n v="1502.79"/>
    <n v="0.23"/>
    <n v="4628.59"/>
    <n v="6011.16"/>
    <n v="1382.5699999999997"/>
    <n v="4628.59"/>
    <s v="Net Banking"/>
    <x v="2"/>
    <x v="2"/>
    <x v="0"/>
  </r>
  <r>
    <x v="1177"/>
    <x v="63"/>
    <s v="Tamil Nadu"/>
    <x v="1"/>
    <x v="0"/>
    <x v="2"/>
    <n v="1"/>
    <n v="1978.43"/>
    <n v="0.16"/>
    <n v="1661.88"/>
    <n v="1978.43"/>
    <n v="316.54999999999995"/>
    <n v="1661.88"/>
    <s v="Debit Card"/>
    <x v="1"/>
    <x v="1"/>
    <x v="0"/>
  </r>
  <r>
    <x v="1178"/>
    <x v="88"/>
    <s v="Delhi"/>
    <x v="1"/>
    <x v="0"/>
    <x v="4"/>
    <n v="5"/>
    <n v="4994.66"/>
    <n v="0.15"/>
    <n v="21227.31"/>
    <n v="24973.3"/>
    <n v="3745.989999999998"/>
    <n v="21227.31"/>
    <s v="COD"/>
    <x v="1"/>
    <x v="0"/>
    <x v="1"/>
  </r>
  <r>
    <x v="1179"/>
    <x v="145"/>
    <s v="Delhi"/>
    <x v="1"/>
    <x v="4"/>
    <x v="16"/>
    <n v="4"/>
    <n v="3453.38"/>
    <n v="0.24"/>
    <n v="10498.28"/>
    <n v="13813.52"/>
    <n v="3315.24"/>
    <n v="10498.28"/>
    <s v="COD"/>
    <x v="1"/>
    <x v="2"/>
    <x v="0"/>
  </r>
  <r>
    <x v="1180"/>
    <x v="97"/>
    <s v="Tamil Nadu"/>
    <x v="2"/>
    <x v="3"/>
    <x v="12"/>
    <n v="2"/>
    <n v="958.53"/>
    <n v="0.23"/>
    <n v="1476.14"/>
    <n v="1917.06"/>
    <n v="440.91999999999985"/>
    <n v="1476.14"/>
    <s v="UPI"/>
    <x v="1"/>
    <x v="2"/>
    <x v="0"/>
  </r>
  <r>
    <x v="1181"/>
    <x v="50"/>
    <s v="Delhi"/>
    <x v="3"/>
    <x v="0"/>
    <x v="0"/>
    <n v="4"/>
    <n v="1300.73"/>
    <n v="0.15"/>
    <n v="4422.4799999999996"/>
    <n v="5202.92"/>
    <n v="780.44000000000051"/>
    <n v="4422.4799999999996"/>
    <s v="COD"/>
    <x v="2"/>
    <x v="2"/>
    <x v="2"/>
  </r>
  <r>
    <x v="1182"/>
    <x v="40"/>
    <s v="Gujarat"/>
    <x v="0"/>
    <x v="1"/>
    <x v="13"/>
    <n v="2"/>
    <n v="2364.84"/>
    <n v="0.24"/>
    <n v="3594.56"/>
    <n v="4729.68"/>
    <n v="1135.1200000000003"/>
    <n v="3594.56"/>
    <s v="UPI"/>
    <x v="0"/>
    <x v="2"/>
    <x v="0"/>
  </r>
  <r>
    <x v="1183"/>
    <x v="175"/>
    <s v="Tamil Nadu"/>
    <x v="0"/>
    <x v="2"/>
    <x v="5"/>
    <n v="3"/>
    <n v="4428.45"/>
    <n v="0.13"/>
    <n v="11558.25"/>
    <n v="13285.349999999999"/>
    <n v="1727.0999999999985"/>
    <n v="11558.25"/>
    <s v="Credit Card"/>
    <x v="2"/>
    <x v="0"/>
    <x v="0"/>
  </r>
  <r>
    <x v="1184"/>
    <x v="159"/>
    <s v="Tamil Nadu"/>
    <x v="1"/>
    <x v="0"/>
    <x v="2"/>
    <n v="4"/>
    <n v="3611.46"/>
    <n v="0.13"/>
    <n v="12567.88"/>
    <n v="14445.84"/>
    <n v="1877.9600000000009"/>
    <n v="12567.88"/>
    <s v="Credit Card"/>
    <x v="2"/>
    <x v="0"/>
    <x v="0"/>
  </r>
  <r>
    <x v="1185"/>
    <x v="63"/>
    <s v="Delhi"/>
    <x v="2"/>
    <x v="0"/>
    <x v="0"/>
    <n v="1"/>
    <n v="3637.77"/>
    <n v="0.09"/>
    <n v="3310.37"/>
    <n v="3637.77"/>
    <n v="327.40000000000009"/>
    <n v="3310.37"/>
    <s v="UPI"/>
    <x v="1"/>
    <x v="0"/>
    <x v="0"/>
  </r>
  <r>
    <x v="1186"/>
    <x v="18"/>
    <s v="Delhi"/>
    <x v="1"/>
    <x v="3"/>
    <x v="15"/>
    <n v="3"/>
    <n v="3245.97"/>
    <n v="0.02"/>
    <n v="9543.15"/>
    <n v="9737.91"/>
    <n v="194.76000000000022"/>
    <n v="9543.15"/>
    <s v="UPI"/>
    <x v="0"/>
    <x v="0"/>
    <x v="3"/>
  </r>
  <r>
    <x v="1187"/>
    <x v="3"/>
    <s v="Karnataka"/>
    <x v="0"/>
    <x v="4"/>
    <x v="17"/>
    <n v="4"/>
    <n v="3527.85"/>
    <n v="0.14000000000000001"/>
    <n v="12135.8"/>
    <n v="14111.4"/>
    <n v="1975.6000000000004"/>
    <n v="12135.8"/>
    <s v="Net Banking"/>
    <x v="2"/>
    <x v="0"/>
    <x v="3"/>
  </r>
  <r>
    <x v="1188"/>
    <x v="129"/>
    <s v="Maharashtra"/>
    <x v="3"/>
    <x v="3"/>
    <x v="9"/>
    <n v="5"/>
    <n v="1877.35"/>
    <n v="7.0000000000000007E-2"/>
    <n v="8729.68"/>
    <n v="9386.75"/>
    <n v="657.06999999999971"/>
    <n v="8729.68"/>
    <s v="Debit Card"/>
    <x v="2"/>
    <x v="0"/>
    <x v="0"/>
  </r>
  <r>
    <x v="1189"/>
    <x v="4"/>
    <s v="Tamil Nadu"/>
    <x v="2"/>
    <x v="4"/>
    <x v="18"/>
    <n v="2"/>
    <n v="817.98"/>
    <n v="7.0000000000000007E-2"/>
    <n v="1521.44"/>
    <n v="1635.96"/>
    <n v="114.51999999999998"/>
    <n v="1521.44"/>
    <s v="UPI"/>
    <x v="0"/>
    <x v="1"/>
    <x v="0"/>
  </r>
  <r>
    <x v="1190"/>
    <x v="120"/>
    <s v="Gujarat"/>
    <x v="1"/>
    <x v="0"/>
    <x v="4"/>
    <n v="5"/>
    <n v="159.13"/>
    <n v="0.09"/>
    <n v="724.04"/>
    <n v="795.65"/>
    <n v="71.610000000000014"/>
    <n v="724.04"/>
    <s v="UPI"/>
    <x v="0"/>
    <x v="0"/>
    <x v="0"/>
  </r>
  <r>
    <x v="1191"/>
    <x v="13"/>
    <s v="Delhi"/>
    <x v="3"/>
    <x v="3"/>
    <x v="9"/>
    <n v="3"/>
    <n v="2664.35"/>
    <n v="0.09"/>
    <n v="7273.68"/>
    <n v="7993.0499999999993"/>
    <n v="719.36999999999898"/>
    <n v="7273.68"/>
    <s v="COD"/>
    <x v="1"/>
    <x v="1"/>
    <x v="1"/>
  </r>
  <r>
    <x v="1192"/>
    <x v="32"/>
    <s v="Tamil Nadu"/>
    <x v="3"/>
    <x v="2"/>
    <x v="11"/>
    <n v="1"/>
    <n v="1777.6"/>
    <n v="0.08"/>
    <n v="1635.39"/>
    <n v="1777.6"/>
    <n v="142.20999999999981"/>
    <n v="1635.39"/>
    <s v="Net Banking"/>
    <x v="0"/>
    <x v="2"/>
    <x v="0"/>
  </r>
  <r>
    <x v="1193"/>
    <x v="170"/>
    <s v="Karnataka"/>
    <x v="3"/>
    <x v="0"/>
    <x v="4"/>
    <n v="5"/>
    <n v="4572.24"/>
    <n v="0.23"/>
    <n v="17603.12"/>
    <n v="22861.199999999997"/>
    <n v="5258.0799999999981"/>
    <n v="17603.12"/>
    <s v="Net Banking"/>
    <x v="2"/>
    <x v="0"/>
    <x v="0"/>
  </r>
  <r>
    <x v="1194"/>
    <x v="111"/>
    <s v="Tamil Nadu"/>
    <x v="0"/>
    <x v="4"/>
    <x v="19"/>
    <n v="5"/>
    <n v="429.27"/>
    <n v="0.14000000000000001"/>
    <n v="1845.86"/>
    <n v="2146.35"/>
    <n v="300.49"/>
    <n v="1845.86"/>
    <s v="Credit Card"/>
    <x v="2"/>
    <x v="0"/>
    <x v="2"/>
  </r>
  <r>
    <x v="1195"/>
    <x v="28"/>
    <s v="Gujarat"/>
    <x v="3"/>
    <x v="0"/>
    <x v="3"/>
    <n v="2"/>
    <n v="1354.75"/>
    <n v="0.18"/>
    <n v="2221.79"/>
    <n v="2709.5"/>
    <n v="487.71000000000004"/>
    <n v="2221.79"/>
    <s v="COD"/>
    <x v="0"/>
    <x v="0"/>
    <x v="0"/>
  </r>
  <r>
    <x v="1196"/>
    <x v="8"/>
    <s v="Maharashtra"/>
    <x v="0"/>
    <x v="2"/>
    <x v="11"/>
    <n v="5"/>
    <n v="1459.64"/>
    <n v="0.19"/>
    <n v="5911.54"/>
    <n v="7298.2000000000007"/>
    <n v="1386.6600000000008"/>
    <n v="5911.54"/>
    <s v="COD"/>
    <x v="2"/>
    <x v="0"/>
    <x v="1"/>
  </r>
  <r>
    <x v="1197"/>
    <x v="56"/>
    <s v="Maharashtra"/>
    <x v="0"/>
    <x v="3"/>
    <x v="9"/>
    <n v="2"/>
    <n v="2969.82"/>
    <n v="0.15"/>
    <n v="5048.6899999999996"/>
    <n v="5939.64"/>
    <n v="890.95000000000073"/>
    <n v="5048.6899999999996"/>
    <s v="Debit Card"/>
    <x v="0"/>
    <x v="1"/>
    <x v="0"/>
  </r>
  <r>
    <x v="1198"/>
    <x v="63"/>
    <s v="Maharashtra"/>
    <x v="3"/>
    <x v="0"/>
    <x v="2"/>
    <n v="1"/>
    <n v="2265.3000000000002"/>
    <n v="0.12"/>
    <n v="1993.46"/>
    <n v="2265.3000000000002"/>
    <n v="271.84000000000015"/>
    <n v="1993.46"/>
    <s v="Debit Card"/>
    <x v="2"/>
    <x v="2"/>
    <x v="0"/>
  </r>
  <r>
    <x v="1199"/>
    <x v="125"/>
    <s v="Gujarat"/>
    <x v="1"/>
    <x v="4"/>
    <x v="19"/>
    <n v="4"/>
    <n v="3909.24"/>
    <n v="0.05"/>
    <n v="14855.11"/>
    <n v="15636.96"/>
    <n v="781.84999999999854"/>
    <n v="14855.11"/>
    <s v="Net Banking"/>
    <x v="0"/>
    <x v="0"/>
    <x v="2"/>
  </r>
  <r>
    <x v="1200"/>
    <x v="66"/>
    <s v="Gujarat"/>
    <x v="2"/>
    <x v="4"/>
    <x v="18"/>
    <n v="2"/>
    <n v="1710.33"/>
    <n v="0.12"/>
    <n v="3010.18"/>
    <n v="3420.66"/>
    <n v="410.48"/>
    <n v="3010.18"/>
    <s v="UPI"/>
    <x v="2"/>
    <x v="1"/>
    <x v="0"/>
  </r>
  <r>
    <x v="1201"/>
    <x v="61"/>
    <s v="Karnataka"/>
    <x v="3"/>
    <x v="1"/>
    <x v="10"/>
    <n v="5"/>
    <n v="2565.0100000000002"/>
    <n v="0.16"/>
    <n v="10773.04"/>
    <n v="12825.050000000001"/>
    <n v="2052.0100000000002"/>
    <n v="10773.04"/>
    <s v="UPI"/>
    <x v="1"/>
    <x v="2"/>
    <x v="0"/>
  </r>
  <r>
    <x v="1202"/>
    <x v="122"/>
    <s v="Tamil Nadu"/>
    <x v="1"/>
    <x v="4"/>
    <x v="18"/>
    <n v="1"/>
    <n v="3826.15"/>
    <n v="0.17"/>
    <n v="3175.7"/>
    <n v="3826.15"/>
    <n v="650.45000000000027"/>
    <n v="3175.7"/>
    <s v="Debit Card"/>
    <x v="0"/>
    <x v="2"/>
    <x v="0"/>
  </r>
  <r>
    <x v="1203"/>
    <x v="172"/>
    <s v="Delhi"/>
    <x v="1"/>
    <x v="1"/>
    <x v="10"/>
    <n v="2"/>
    <n v="1605.28"/>
    <n v="0.08"/>
    <n v="2953.72"/>
    <n v="3210.56"/>
    <n v="256.84000000000015"/>
    <n v="2953.72"/>
    <s v="Credit Card"/>
    <x v="0"/>
    <x v="0"/>
    <x v="0"/>
  </r>
  <r>
    <x v="1204"/>
    <x v="116"/>
    <s v="Gujarat"/>
    <x v="3"/>
    <x v="4"/>
    <x v="16"/>
    <n v="2"/>
    <n v="1040.33"/>
    <n v="0.1"/>
    <n v="1872.59"/>
    <n v="2080.66"/>
    <n v="208.06999999999994"/>
    <n v="1872.59"/>
    <s v="Debit Card"/>
    <x v="2"/>
    <x v="2"/>
    <x v="0"/>
  </r>
  <r>
    <x v="1205"/>
    <x v="146"/>
    <s v="Gujarat"/>
    <x v="3"/>
    <x v="3"/>
    <x v="9"/>
    <n v="5"/>
    <n v="3964.87"/>
    <n v="0.19"/>
    <n v="16057.72"/>
    <n v="19824.349999999999"/>
    <n v="3766.6299999999992"/>
    <n v="16057.72"/>
    <s v="Net Banking"/>
    <x v="1"/>
    <x v="1"/>
    <x v="1"/>
  </r>
  <r>
    <x v="1206"/>
    <x v="80"/>
    <s v="Karnataka"/>
    <x v="1"/>
    <x v="2"/>
    <x v="6"/>
    <n v="3"/>
    <n v="3660.88"/>
    <n v="0.21"/>
    <n v="8676.2900000000009"/>
    <n v="10982.64"/>
    <n v="2306.3499999999985"/>
    <n v="8676.2900000000009"/>
    <s v="Debit Card"/>
    <x v="2"/>
    <x v="1"/>
    <x v="0"/>
  </r>
  <r>
    <x v="1207"/>
    <x v="51"/>
    <s v="Tamil Nadu"/>
    <x v="1"/>
    <x v="1"/>
    <x v="14"/>
    <n v="1"/>
    <n v="4846.53"/>
    <n v="0.09"/>
    <n v="4410.34"/>
    <n v="4846.53"/>
    <n v="436.1899999999996"/>
    <n v="4410.34"/>
    <s v="Credit Card"/>
    <x v="2"/>
    <x v="2"/>
    <x v="3"/>
  </r>
  <r>
    <x v="1208"/>
    <x v="4"/>
    <s v="Delhi"/>
    <x v="2"/>
    <x v="0"/>
    <x v="4"/>
    <n v="3"/>
    <n v="216.03"/>
    <n v="0.11"/>
    <n v="576.79999999999995"/>
    <n v="648.09"/>
    <n v="71.290000000000077"/>
    <n v="576.79999999999995"/>
    <s v="UPI"/>
    <x v="2"/>
    <x v="1"/>
    <x v="0"/>
  </r>
  <r>
    <x v="1209"/>
    <x v="47"/>
    <s v="Gujarat"/>
    <x v="1"/>
    <x v="3"/>
    <x v="12"/>
    <n v="3"/>
    <n v="623.49"/>
    <n v="0.06"/>
    <n v="1758.24"/>
    <n v="1870.47"/>
    <n v="112.23000000000002"/>
    <n v="1758.24"/>
    <s v="COD"/>
    <x v="2"/>
    <x v="1"/>
    <x v="1"/>
  </r>
  <r>
    <x v="1210"/>
    <x v="86"/>
    <s v="Maharashtra"/>
    <x v="1"/>
    <x v="1"/>
    <x v="14"/>
    <n v="4"/>
    <n v="1324.25"/>
    <n v="0.25"/>
    <n v="3972.75"/>
    <n v="5297"/>
    <n v="1324.25"/>
    <n v="3972.75"/>
    <s v="Net Banking"/>
    <x v="1"/>
    <x v="0"/>
    <x v="0"/>
  </r>
  <r>
    <x v="1211"/>
    <x v="54"/>
    <s v="Karnataka"/>
    <x v="0"/>
    <x v="0"/>
    <x v="2"/>
    <n v="4"/>
    <n v="4625.67"/>
    <n v="0.03"/>
    <n v="17947.599999999999"/>
    <n v="18502.68"/>
    <n v="555.08000000000175"/>
    <n v="17947.599999999999"/>
    <s v="COD"/>
    <x v="2"/>
    <x v="2"/>
    <x v="0"/>
  </r>
  <r>
    <x v="1212"/>
    <x v="55"/>
    <s v="Delhi"/>
    <x v="2"/>
    <x v="2"/>
    <x v="11"/>
    <n v="5"/>
    <n v="1079.97"/>
    <n v="0.02"/>
    <n v="5291.85"/>
    <n v="5399.85"/>
    <n v="108"/>
    <n v="5291.85"/>
    <s v="COD"/>
    <x v="2"/>
    <x v="2"/>
    <x v="0"/>
  </r>
  <r>
    <x v="1213"/>
    <x v="35"/>
    <s v="Maharashtra"/>
    <x v="3"/>
    <x v="4"/>
    <x v="17"/>
    <n v="3"/>
    <n v="4790.28"/>
    <n v="0.09"/>
    <n v="13077.46"/>
    <n v="14370.84"/>
    <n v="1293.380000000001"/>
    <n v="13077.46"/>
    <s v="Debit Card"/>
    <x v="0"/>
    <x v="1"/>
    <x v="0"/>
  </r>
  <r>
    <x v="1214"/>
    <x v="51"/>
    <s v="Tamil Nadu"/>
    <x v="0"/>
    <x v="2"/>
    <x v="11"/>
    <n v="2"/>
    <n v="3420.58"/>
    <n v="0.18"/>
    <n v="5609.75"/>
    <n v="6841.16"/>
    <n v="1231.4099999999999"/>
    <n v="5609.75"/>
    <s v="UPI"/>
    <x v="2"/>
    <x v="1"/>
    <x v="0"/>
  </r>
  <r>
    <x v="1215"/>
    <x v="70"/>
    <s v="Tamil Nadu"/>
    <x v="0"/>
    <x v="2"/>
    <x v="5"/>
    <n v="5"/>
    <n v="395.4"/>
    <n v="0.25"/>
    <n v="1482.75"/>
    <n v="1977"/>
    <n v="494.25"/>
    <n v="1482.75"/>
    <s v="Net Banking"/>
    <x v="0"/>
    <x v="1"/>
    <x v="0"/>
  </r>
  <r>
    <x v="1216"/>
    <x v="30"/>
    <s v="Gujarat"/>
    <x v="0"/>
    <x v="0"/>
    <x v="2"/>
    <n v="5"/>
    <n v="1735.39"/>
    <n v="0.02"/>
    <n v="8503.41"/>
    <n v="8676.9500000000007"/>
    <n v="173.54000000000087"/>
    <n v="8503.41"/>
    <s v="Net Banking"/>
    <x v="2"/>
    <x v="2"/>
    <x v="2"/>
  </r>
  <r>
    <x v="1217"/>
    <x v="106"/>
    <s v="Gujarat"/>
    <x v="1"/>
    <x v="0"/>
    <x v="4"/>
    <n v="4"/>
    <n v="3089.15"/>
    <n v="0.25"/>
    <n v="9267.4500000000007"/>
    <n v="12356.6"/>
    <n v="3089.1499999999996"/>
    <n v="9267.4500000000007"/>
    <s v="Credit Card"/>
    <x v="1"/>
    <x v="2"/>
    <x v="3"/>
  </r>
  <r>
    <x v="1218"/>
    <x v="104"/>
    <s v="Delhi"/>
    <x v="1"/>
    <x v="2"/>
    <x v="5"/>
    <n v="2"/>
    <n v="3274.42"/>
    <n v="0.08"/>
    <n v="6024.93"/>
    <n v="6548.84"/>
    <n v="523.90999999999985"/>
    <n v="6024.93"/>
    <s v="UPI"/>
    <x v="0"/>
    <x v="0"/>
    <x v="1"/>
  </r>
  <r>
    <x v="1219"/>
    <x v="8"/>
    <s v="Maharashtra"/>
    <x v="2"/>
    <x v="2"/>
    <x v="6"/>
    <n v="1"/>
    <n v="141.84"/>
    <n v="0.08"/>
    <n v="130.49"/>
    <n v="141.84"/>
    <n v="11.349999999999994"/>
    <n v="130.49"/>
    <s v="COD"/>
    <x v="2"/>
    <x v="2"/>
    <x v="1"/>
  </r>
  <r>
    <x v="1220"/>
    <x v="124"/>
    <s v="Gujarat"/>
    <x v="3"/>
    <x v="1"/>
    <x v="1"/>
    <n v="2"/>
    <n v="3872.65"/>
    <n v="0.14000000000000001"/>
    <n v="6660.96"/>
    <n v="7745.3"/>
    <n v="1084.3400000000001"/>
    <n v="6660.96"/>
    <s v="Net Banking"/>
    <x v="1"/>
    <x v="1"/>
    <x v="0"/>
  </r>
  <r>
    <x v="1221"/>
    <x v="116"/>
    <s v="Karnataka"/>
    <x v="3"/>
    <x v="3"/>
    <x v="12"/>
    <n v="1"/>
    <n v="2713.77"/>
    <n v="0.24"/>
    <n v="2062.4699999999998"/>
    <n v="2713.77"/>
    <n v="651.30000000000018"/>
    <n v="2062.4699999999998"/>
    <s v="Debit Card"/>
    <x v="0"/>
    <x v="2"/>
    <x v="0"/>
  </r>
  <r>
    <x v="1222"/>
    <x v="152"/>
    <s v="Karnataka"/>
    <x v="3"/>
    <x v="0"/>
    <x v="2"/>
    <n v="2"/>
    <n v="1088.3399999999999"/>
    <n v="0.04"/>
    <n v="2089.61"/>
    <n v="2176.6799999999998"/>
    <n v="87.069999999999709"/>
    <n v="2089.61"/>
    <s v="Debit Card"/>
    <x v="1"/>
    <x v="1"/>
    <x v="1"/>
  </r>
  <r>
    <x v="1223"/>
    <x v="165"/>
    <s v="Maharashtra"/>
    <x v="3"/>
    <x v="3"/>
    <x v="9"/>
    <n v="1"/>
    <n v="4187.37"/>
    <n v="0.09"/>
    <n v="3810.51"/>
    <n v="4187.37"/>
    <n v="376.85999999999967"/>
    <n v="3810.51"/>
    <s v="Debit Card"/>
    <x v="2"/>
    <x v="1"/>
    <x v="0"/>
  </r>
  <r>
    <x v="1224"/>
    <x v="153"/>
    <s v="Tamil Nadu"/>
    <x v="0"/>
    <x v="2"/>
    <x v="5"/>
    <n v="4"/>
    <n v="2992.06"/>
    <n v="0.03"/>
    <n v="11609.19"/>
    <n v="11968.24"/>
    <n v="359.04999999999927"/>
    <n v="11609.19"/>
    <s v="Debit Card"/>
    <x v="0"/>
    <x v="2"/>
    <x v="0"/>
  </r>
  <r>
    <x v="1225"/>
    <x v="137"/>
    <s v="Tamil Nadu"/>
    <x v="2"/>
    <x v="3"/>
    <x v="8"/>
    <n v="3"/>
    <n v="2134.13"/>
    <n v="0.05"/>
    <n v="6082.27"/>
    <n v="6402.39"/>
    <n v="320.11999999999989"/>
    <n v="6082.27"/>
    <s v="COD"/>
    <x v="2"/>
    <x v="2"/>
    <x v="0"/>
  </r>
  <r>
    <x v="1226"/>
    <x v="143"/>
    <s v="Tamil Nadu"/>
    <x v="2"/>
    <x v="1"/>
    <x v="13"/>
    <n v="4"/>
    <n v="4036.72"/>
    <n v="0.1"/>
    <n v="14532.19"/>
    <n v="16146.88"/>
    <n v="1614.6899999999987"/>
    <n v="14532.19"/>
    <s v="Credit Card"/>
    <x v="0"/>
    <x v="2"/>
    <x v="0"/>
  </r>
  <r>
    <x v="1227"/>
    <x v="37"/>
    <s v="Tamil Nadu"/>
    <x v="0"/>
    <x v="4"/>
    <x v="19"/>
    <n v="1"/>
    <n v="3287.12"/>
    <n v="0.2"/>
    <n v="2629.7"/>
    <n v="3287.12"/>
    <n v="657.42000000000007"/>
    <n v="2629.7"/>
    <s v="UPI"/>
    <x v="0"/>
    <x v="1"/>
    <x v="2"/>
  </r>
  <r>
    <x v="1228"/>
    <x v="159"/>
    <s v="Maharashtra"/>
    <x v="3"/>
    <x v="4"/>
    <x v="17"/>
    <n v="2"/>
    <n v="2866.44"/>
    <n v="0.03"/>
    <n v="5560.89"/>
    <n v="5732.88"/>
    <n v="171.98999999999978"/>
    <n v="5560.89"/>
    <s v="Debit Card"/>
    <x v="0"/>
    <x v="2"/>
    <x v="0"/>
  </r>
  <r>
    <x v="1229"/>
    <x v="107"/>
    <s v="Gujarat"/>
    <x v="1"/>
    <x v="0"/>
    <x v="0"/>
    <n v="3"/>
    <n v="1921.35"/>
    <n v="0.1"/>
    <n v="5187.6400000000003"/>
    <n v="5764.0499999999993"/>
    <n v="576.40999999999894"/>
    <n v="5187.6400000000003"/>
    <s v="Debit Card"/>
    <x v="1"/>
    <x v="2"/>
    <x v="0"/>
  </r>
  <r>
    <x v="1230"/>
    <x v="180"/>
    <s v="Delhi"/>
    <x v="2"/>
    <x v="1"/>
    <x v="10"/>
    <n v="2"/>
    <n v="246.9"/>
    <n v="0.05"/>
    <n v="469.11"/>
    <n v="493.8"/>
    <n v="24.689999999999998"/>
    <n v="469.11"/>
    <s v="UPI"/>
    <x v="0"/>
    <x v="1"/>
    <x v="1"/>
  </r>
  <r>
    <x v="1231"/>
    <x v="167"/>
    <s v="Maharashtra"/>
    <x v="1"/>
    <x v="4"/>
    <x v="17"/>
    <n v="1"/>
    <n v="4455.22"/>
    <n v="0.01"/>
    <n v="4410.67"/>
    <n v="4455.22"/>
    <n v="44.550000000000182"/>
    <n v="4410.67"/>
    <s v="Credit Card"/>
    <x v="2"/>
    <x v="2"/>
    <x v="0"/>
  </r>
  <r>
    <x v="1232"/>
    <x v="60"/>
    <s v="Delhi"/>
    <x v="0"/>
    <x v="2"/>
    <x v="11"/>
    <n v="3"/>
    <n v="4496.22"/>
    <n v="0.02"/>
    <n v="13218.89"/>
    <n v="13488.66"/>
    <n v="269.77000000000044"/>
    <n v="13218.89"/>
    <s v="Credit Card"/>
    <x v="0"/>
    <x v="2"/>
    <x v="2"/>
  </r>
  <r>
    <x v="1233"/>
    <x v="137"/>
    <s v="Gujarat"/>
    <x v="1"/>
    <x v="2"/>
    <x v="5"/>
    <n v="5"/>
    <n v="4066.18"/>
    <n v="0"/>
    <n v="20330.900000000001"/>
    <n v="20330.899999999998"/>
    <n v="0"/>
    <n v="20330.899999999998"/>
    <s v="Net Banking"/>
    <x v="0"/>
    <x v="1"/>
    <x v="1"/>
  </r>
  <r>
    <x v="1234"/>
    <x v="117"/>
    <s v="Karnataka"/>
    <x v="3"/>
    <x v="4"/>
    <x v="16"/>
    <n v="5"/>
    <n v="3375.32"/>
    <n v="0.02"/>
    <n v="16539.07"/>
    <n v="16876.600000000002"/>
    <n v="337.53000000000247"/>
    <n v="16539.07"/>
    <s v="COD"/>
    <x v="2"/>
    <x v="1"/>
    <x v="0"/>
  </r>
  <r>
    <x v="1235"/>
    <x v="87"/>
    <s v="Delhi"/>
    <x v="0"/>
    <x v="1"/>
    <x v="10"/>
    <n v="1"/>
    <n v="3741.61"/>
    <n v="0.18"/>
    <n v="3068.12"/>
    <n v="3741.61"/>
    <n v="673.49000000000024"/>
    <n v="3068.12"/>
    <s v="Debit Card"/>
    <x v="1"/>
    <x v="1"/>
    <x v="0"/>
  </r>
  <r>
    <x v="1236"/>
    <x v="90"/>
    <s v="Karnataka"/>
    <x v="2"/>
    <x v="4"/>
    <x v="16"/>
    <n v="4"/>
    <n v="3374.95"/>
    <n v="0.13"/>
    <n v="11744.83"/>
    <n v="13499.8"/>
    <n v="1754.9699999999993"/>
    <n v="11744.83"/>
    <s v="UPI"/>
    <x v="1"/>
    <x v="0"/>
    <x v="3"/>
  </r>
  <r>
    <x v="1237"/>
    <x v="89"/>
    <s v="Tamil Nadu"/>
    <x v="1"/>
    <x v="3"/>
    <x v="9"/>
    <n v="2"/>
    <n v="2938.91"/>
    <n v="0.23"/>
    <n v="4525.92"/>
    <n v="5877.82"/>
    <n v="1351.8999999999996"/>
    <n v="4525.92"/>
    <s v="UPI"/>
    <x v="1"/>
    <x v="2"/>
    <x v="0"/>
  </r>
  <r>
    <x v="1238"/>
    <x v="104"/>
    <s v="Maharashtra"/>
    <x v="2"/>
    <x v="3"/>
    <x v="12"/>
    <n v="1"/>
    <n v="4193.3599999999997"/>
    <n v="0.06"/>
    <n v="3941.76"/>
    <n v="4193.3599999999997"/>
    <n v="251.59999999999945"/>
    <n v="3941.76"/>
    <s v="Debit Card"/>
    <x v="1"/>
    <x v="1"/>
    <x v="0"/>
  </r>
  <r>
    <x v="1239"/>
    <x v="160"/>
    <s v="Karnataka"/>
    <x v="2"/>
    <x v="2"/>
    <x v="5"/>
    <n v="5"/>
    <n v="2087.7199999999998"/>
    <n v="0.25"/>
    <n v="7828.95"/>
    <n v="10438.599999999999"/>
    <n v="2609.6499999999987"/>
    <n v="7828.95"/>
    <s v="Debit Card"/>
    <x v="1"/>
    <x v="1"/>
    <x v="0"/>
  </r>
  <r>
    <x v="1240"/>
    <x v="62"/>
    <s v="Gujarat"/>
    <x v="1"/>
    <x v="0"/>
    <x v="2"/>
    <n v="2"/>
    <n v="1350.89"/>
    <n v="0.2"/>
    <n v="2161.42"/>
    <n v="2701.78"/>
    <n v="540.36000000000013"/>
    <n v="2161.42"/>
    <s v="UPI"/>
    <x v="2"/>
    <x v="1"/>
    <x v="0"/>
  </r>
  <r>
    <x v="1241"/>
    <x v="57"/>
    <s v="Maharashtra"/>
    <x v="1"/>
    <x v="4"/>
    <x v="17"/>
    <n v="1"/>
    <n v="4827.29"/>
    <n v="0.03"/>
    <n v="4682.47"/>
    <n v="4827.29"/>
    <n v="144.81999999999971"/>
    <n v="4682.47"/>
    <s v="UPI"/>
    <x v="2"/>
    <x v="2"/>
    <x v="3"/>
  </r>
  <r>
    <x v="1242"/>
    <x v="82"/>
    <s v="Delhi"/>
    <x v="3"/>
    <x v="0"/>
    <x v="2"/>
    <n v="4"/>
    <n v="2237.1999999999998"/>
    <n v="0.25"/>
    <n v="6711.6"/>
    <n v="8948.7999999999993"/>
    <n v="2237.1999999999989"/>
    <n v="6711.6"/>
    <s v="UPI"/>
    <x v="2"/>
    <x v="2"/>
    <x v="0"/>
  </r>
  <r>
    <x v="1243"/>
    <x v="86"/>
    <s v="Delhi"/>
    <x v="3"/>
    <x v="1"/>
    <x v="10"/>
    <n v="2"/>
    <n v="3693.72"/>
    <n v="0.09"/>
    <n v="6722.57"/>
    <n v="7387.44"/>
    <n v="664.86999999999989"/>
    <n v="6722.57"/>
    <s v="Debit Card"/>
    <x v="0"/>
    <x v="0"/>
    <x v="0"/>
  </r>
  <r>
    <x v="1244"/>
    <x v="108"/>
    <s v="Gujarat"/>
    <x v="2"/>
    <x v="1"/>
    <x v="13"/>
    <n v="2"/>
    <n v="3499.1"/>
    <n v="0.25"/>
    <n v="5248.65"/>
    <n v="6998.2"/>
    <n v="1749.5500000000002"/>
    <n v="5248.65"/>
    <s v="UPI"/>
    <x v="1"/>
    <x v="2"/>
    <x v="0"/>
  </r>
  <r>
    <x v="1245"/>
    <x v="176"/>
    <s v="Delhi"/>
    <x v="2"/>
    <x v="3"/>
    <x v="12"/>
    <n v="4"/>
    <n v="4305.6499999999996"/>
    <n v="7.0000000000000007E-2"/>
    <n v="16017.02"/>
    <n v="17222.599999999999"/>
    <n v="1205.5799999999981"/>
    <n v="16017.02"/>
    <s v="COD"/>
    <x v="1"/>
    <x v="1"/>
    <x v="0"/>
  </r>
  <r>
    <x v="1246"/>
    <x v="29"/>
    <s v="Tamil Nadu"/>
    <x v="2"/>
    <x v="1"/>
    <x v="14"/>
    <n v="2"/>
    <n v="3635.58"/>
    <n v="7.0000000000000007E-2"/>
    <n v="6762.18"/>
    <n v="7271.16"/>
    <n v="508.97999999999956"/>
    <n v="6762.18"/>
    <s v="Net Banking"/>
    <x v="2"/>
    <x v="2"/>
    <x v="0"/>
  </r>
  <r>
    <x v="1247"/>
    <x v="98"/>
    <s v="Gujarat"/>
    <x v="3"/>
    <x v="4"/>
    <x v="16"/>
    <n v="1"/>
    <n v="3800.33"/>
    <n v="0.04"/>
    <n v="3648.32"/>
    <n v="3800.33"/>
    <n v="152.00999999999976"/>
    <n v="3648.32"/>
    <s v="COD"/>
    <x v="0"/>
    <x v="1"/>
    <x v="3"/>
  </r>
  <r>
    <x v="1248"/>
    <x v="172"/>
    <s v="Delhi"/>
    <x v="3"/>
    <x v="3"/>
    <x v="15"/>
    <n v="5"/>
    <n v="1047.52"/>
    <n v="0.21"/>
    <n v="4137.7"/>
    <n v="5237.6000000000004"/>
    <n v="1099.9000000000005"/>
    <n v="4137.7"/>
    <s v="Net Banking"/>
    <x v="2"/>
    <x v="2"/>
    <x v="2"/>
  </r>
  <r>
    <x v="1249"/>
    <x v="12"/>
    <s v="Tamil Nadu"/>
    <x v="3"/>
    <x v="4"/>
    <x v="16"/>
    <n v="5"/>
    <n v="4727.2700000000004"/>
    <n v="0.04"/>
    <n v="22690.9"/>
    <n v="23636.350000000002"/>
    <n v="945.45000000000073"/>
    <n v="22690.9"/>
    <s v="Credit Card"/>
    <x v="1"/>
    <x v="1"/>
    <x v="0"/>
  </r>
  <r>
    <x v="1250"/>
    <x v="115"/>
    <s v="Maharashtra"/>
    <x v="3"/>
    <x v="4"/>
    <x v="19"/>
    <n v="5"/>
    <n v="602.79999999999995"/>
    <n v="0.16"/>
    <n v="2531.7600000000002"/>
    <n v="3014"/>
    <n v="482.23999999999978"/>
    <n v="2531.7600000000002"/>
    <s v="COD"/>
    <x v="2"/>
    <x v="1"/>
    <x v="0"/>
  </r>
  <r>
    <x v="1251"/>
    <x v="145"/>
    <s v="Gujarat"/>
    <x v="2"/>
    <x v="4"/>
    <x v="19"/>
    <n v="2"/>
    <n v="444.97"/>
    <n v="0.24"/>
    <n v="676.35"/>
    <n v="889.94"/>
    <n v="213.59000000000003"/>
    <n v="676.35"/>
    <s v="COD"/>
    <x v="2"/>
    <x v="0"/>
    <x v="1"/>
  </r>
  <r>
    <x v="1252"/>
    <x v="22"/>
    <s v="Karnataka"/>
    <x v="1"/>
    <x v="0"/>
    <x v="3"/>
    <n v="4"/>
    <n v="2186.96"/>
    <n v="0.04"/>
    <n v="8397.93"/>
    <n v="8747.84"/>
    <n v="349.90999999999985"/>
    <n v="8397.93"/>
    <s v="Credit Card"/>
    <x v="1"/>
    <x v="0"/>
    <x v="3"/>
  </r>
  <r>
    <x v="1253"/>
    <x v="40"/>
    <s v="Maharashtra"/>
    <x v="1"/>
    <x v="3"/>
    <x v="8"/>
    <n v="3"/>
    <n v="1282.33"/>
    <n v="0.21"/>
    <n v="3039.12"/>
    <n v="3846.99"/>
    <n v="807.86999999999989"/>
    <n v="3039.12"/>
    <s v="COD"/>
    <x v="1"/>
    <x v="1"/>
    <x v="0"/>
  </r>
  <r>
    <x v="1254"/>
    <x v="178"/>
    <s v="Karnataka"/>
    <x v="2"/>
    <x v="0"/>
    <x v="2"/>
    <n v="5"/>
    <n v="1711.27"/>
    <n v="0.17"/>
    <n v="7101.77"/>
    <n v="8556.35"/>
    <n v="1454.58"/>
    <n v="7101.77"/>
    <s v="UPI"/>
    <x v="1"/>
    <x v="1"/>
    <x v="0"/>
  </r>
  <r>
    <x v="1255"/>
    <x v="45"/>
    <s v="Delhi"/>
    <x v="1"/>
    <x v="0"/>
    <x v="3"/>
    <n v="2"/>
    <n v="2996.31"/>
    <n v="0.17"/>
    <n v="4973.87"/>
    <n v="5992.62"/>
    <n v="1018.75"/>
    <n v="4973.87"/>
    <s v="COD"/>
    <x v="2"/>
    <x v="2"/>
    <x v="0"/>
  </r>
  <r>
    <x v="1256"/>
    <x v="111"/>
    <s v="Gujarat"/>
    <x v="0"/>
    <x v="1"/>
    <x v="14"/>
    <n v="4"/>
    <n v="306.3"/>
    <n v="0.03"/>
    <n v="1188.44"/>
    <n v="1225.2"/>
    <n v="36.759999999999991"/>
    <n v="1188.44"/>
    <s v="COD"/>
    <x v="1"/>
    <x v="0"/>
    <x v="0"/>
  </r>
  <r>
    <x v="1257"/>
    <x v="110"/>
    <s v="Karnataka"/>
    <x v="0"/>
    <x v="0"/>
    <x v="4"/>
    <n v="5"/>
    <n v="2166.96"/>
    <n v="0.1"/>
    <n v="9751.32"/>
    <n v="10834.8"/>
    <n v="1083.4799999999996"/>
    <n v="9751.32"/>
    <s v="COD"/>
    <x v="1"/>
    <x v="0"/>
    <x v="0"/>
  </r>
  <r>
    <x v="1258"/>
    <x v="58"/>
    <s v="Gujarat"/>
    <x v="0"/>
    <x v="2"/>
    <x v="5"/>
    <n v="4"/>
    <n v="4084.49"/>
    <n v="0.16"/>
    <n v="13723.89"/>
    <n v="16337.96"/>
    <n v="2614.0699999999997"/>
    <n v="13723.89"/>
    <s v="COD"/>
    <x v="0"/>
    <x v="1"/>
    <x v="0"/>
  </r>
  <r>
    <x v="1259"/>
    <x v="6"/>
    <s v="Karnataka"/>
    <x v="2"/>
    <x v="3"/>
    <x v="8"/>
    <n v="4"/>
    <n v="4029.29"/>
    <n v="0.18"/>
    <n v="13216.07"/>
    <n v="16117.16"/>
    <n v="2901.09"/>
    <n v="13216.07"/>
    <s v="Credit Card"/>
    <x v="2"/>
    <x v="1"/>
    <x v="3"/>
  </r>
  <r>
    <x v="1260"/>
    <x v="67"/>
    <s v="Delhi"/>
    <x v="2"/>
    <x v="4"/>
    <x v="17"/>
    <n v="1"/>
    <n v="1690.11"/>
    <n v="0.17"/>
    <n v="1402.79"/>
    <n v="1690.11"/>
    <n v="287.31999999999994"/>
    <n v="1402.79"/>
    <s v="UPI"/>
    <x v="2"/>
    <x v="0"/>
    <x v="3"/>
  </r>
  <r>
    <x v="1261"/>
    <x v="170"/>
    <s v="Gujarat"/>
    <x v="1"/>
    <x v="3"/>
    <x v="12"/>
    <n v="3"/>
    <n v="3729.45"/>
    <n v="0.19"/>
    <n v="9062.56"/>
    <n v="11188.349999999999"/>
    <n v="2125.7899999999991"/>
    <n v="9062.56"/>
    <s v="COD"/>
    <x v="1"/>
    <x v="2"/>
    <x v="1"/>
  </r>
  <r>
    <x v="1262"/>
    <x v="42"/>
    <s v="Gujarat"/>
    <x v="0"/>
    <x v="4"/>
    <x v="17"/>
    <n v="2"/>
    <n v="1651.02"/>
    <n v="0.08"/>
    <n v="3037.88"/>
    <n v="3302.04"/>
    <n v="264.15999999999985"/>
    <n v="3037.88"/>
    <s v="COD"/>
    <x v="1"/>
    <x v="0"/>
    <x v="0"/>
  </r>
  <r>
    <x v="1263"/>
    <x v="27"/>
    <s v="Delhi"/>
    <x v="1"/>
    <x v="4"/>
    <x v="18"/>
    <n v="3"/>
    <n v="4294.28"/>
    <n v="0.12"/>
    <n v="11336.9"/>
    <n v="12882.84"/>
    <n v="1545.9400000000005"/>
    <n v="11336.9"/>
    <s v="Net Banking"/>
    <x v="0"/>
    <x v="1"/>
    <x v="1"/>
  </r>
  <r>
    <x v="1264"/>
    <x v="174"/>
    <s v="Karnataka"/>
    <x v="2"/>
    <x v="3"/>
    <x v="12"/>
    <n v="2"/>
    <n v="2951.05"/>
    <n v="0.23"/>
    <n v="4544.62"/>
    <n v="5902.1"/>
    <n v="1357.4800000000005"/>
    <n v="4544.62"/>
    <s v="Credit Card"/>
    <x v="0"/>
    <x v="0"/>
    <x v="3"/>
  </r>
  <r>
    <x v="1265"/>
    <x v="143"/>
    <s v="Tamil Nadu"/>
    <x v="1"/>
    <x v="1"/>
    <x v="10"/>
    <n v="1"/>
    <n v="1073.24"/>
    <n v="0.02"/>
    <n v="1051.78"/>
    <n v="1073.24"/>
    <n v="21.460000000000036"/>
    <n v="1051.78"/>
    <s v="COD"/>
    <x v="1"/>
    <x v="0"/>
    <x v="1"/>
  </r>
  <r>
    <x v="1266"/>
    <x v="125"/>
    <s v="Gujarat"/>
    <x v="2"/>
    <x v="3"/>
    <x v="9"/>
    <n v="2"/>
    <n v="4614.17"/>
    <n v="0.03"/>
    <n v="8951.49"/>
    <n v="9228.34"/>
    <n v="276.85000000000036"/>
    <n v="8951.49"/>
    <s v="UPI"/>
    <x v="2"/>
    <x v="0"/>
    <x v="0"/>
  </r>
  <r>
    <x v="1267"/>
    <x v="60"/>
    <s v="Delhi"/>
    <x v="0"/>
    <x v="0"/>
    <x v="2"/>
    <n v="2"/>
    <n v="2785.14"/>
    <n v="0.17"/>
    <n v="4623.33"/>
    <n v="5570.28"/>
    <n v="946.94999999999982"/>
    <n v="4623.33"/>
    <s v="Net Banking"/>
    <x v="0"/>
    <x v="1"/>
    <x v="0"/>
  </r>
  <r>
    <x v="1268"/>
    <x v="13"/>
    <s v="Delhi"/>
    <x v="1"/>
    <x v="3"/>
    <x v="12"/>
    <n v="2"/>
    <n v="812.35"/>
    <n v="7.0000000000000007E-2"/>
    <n v="1510.97"/>
    <n v="1624.7"/>
    <n v="113.73000000000002"/>
    <n v="1510.97"/>
    <s v="Net Banking"/>
    <x v="1"/>
    <x v="2"/>
    <x v="3"/>
  </r>
  <r>
    <x v="1269"/>
    <x v="101"/>
    <s v="Tamil Nadu"/>
    <x v="2"/>
    <x v="2"/>
    <x v="11"/>
    <n v="5"/>
    <n v="2058.12"/>
    <n v="0.14000000000000001"/>
    <n v="8849.92"/>
    <n v="10290.599999999999"/>
    <n v="1440.6799999999985"/>
    <n v="8849.92"/>
    <s v="Debit Card"/>
    <x v="1"/>
    <x v="1"/>
    <x v="0"/>
  </r>
  <r>
    <x v="1270"/>
    <x v="132"/>
    <s v="Tamil Nadu"/>
    <x v="3"/>
    <x v="4"/>
    <x v="17"/>
    <n v="2"/>
    <n v="1668.76"/>
    <n v="0.09"/>
    <n v="3037.14"/>
    <n v="3337.52"/>
    <n v="300.38000000000011"/>
    <n v="3037.14"/>
    <s v="UPI"/>
    <x v="2"/>
    <x v="0"/>
    <x v="0"/>
  </r>
  <r>
    <x v="1271"/>
    <x v="92"/>
    <s v="Maharashtra"/>
    <x v="3"/>
    <x v="3"/>
    <x v="12"/>
    <n v="4"/>
    <n v="2723.26"/>
    <n v="0.03"/>
    <n v="10566.25"/>
    <n v="10893.04"/>
    <n v="326.79000000000087"/>
    <n v="10566.25"/>
    <s v="COD"/>
    <x v="1"/>
    <x v="0"/>
    <x v="0"/>
  </r>
  <r>
    <x v="1272"/>
    <x v="58"/>
    <s v="Tamil Nadu"/>
    <x v="1"/>
    <x v="1"/>
    <x v="10"/>
    <n v="1"/>
    <n v="2355.17"/>
    <n v="0.11"/>
    <n v="2096.1"/>
    <n v="2355.17"/>
    <n v="259.07000000000016"/>
    <n v="2096.1"/>
    <s v="UPI"/>
    <x v="1"/>
    <x v="0"/>
    <x v="0"/>
  </r>
  <r>
    <x v="1273"/>
    <x v="134"/>
    <s v="Gujarat"/>
    <x v="3"/>
    <x v="3"/>
    <x v="8"/>
    <n v="1"/>
    <n v="4489.62"/>
    <n v="0.12"/>
    <n v="3950.87"/>
    <n v="4489.62"/>
    <n v="538.75"/>
    <n v="3950.87"/>
    <s v="Net Banking"/>
    <x v="1"/>
    <x v="0"/>
    <x v="0"/>
  </r>
  <r>
    <x v="1274"/>
    <x v="78"/>
    <s v="Karnataka"/>
    <x v="3"/>
    <x v="4"/>
    <x v="19"/>
    <n v="1"/>
    <n v="3596.7"/>
    <n v="0.12"/>
    <n v="3165.1"/>
    <n v="3596.7"/>
    <n v="431.59999999999991"/>
    <n v="3165.1"/>
    <s v="COD"/>
    <x v="2"/>
    <x v="0"/>
    <x v="2"/>
  </r>
  <r>
    <x v="1275"/>
    <x v="3"/>
    <s v="Karnataka"/>
    <x v="1"/>
    <x v="3"/>
    <x v="15"/>
    <n v="3"/>
    <n v="1719.61"/>
    <n v="0.14000000000000001"/>
    <n v="4436.59"/>
    <n v="5158.83"/>
    <n v="722.23999999999978"/>
    <n v="4436.59"/>
    <s v="COD"/>
    <x v="1"/>
    <x v="0"/>
    <x v="0"/>
  </r>
  <r>
    <x v="1276"/>
    <x v="8"/>
    <s v="Maharashtra"/>
    <x v="0"/>
    <x v="1"/>
    <x v="1"/>
    <n v="3"/>
    <n v="2978.49"/>
    <n v="0.19"/>
    <n v="7237.73"/>
    <n v="8935.4699999999993"/>
    <n v="1697.7399999999998"/>
    <n v="7237.73"/>
    <s v="COD"/>
    <x v="0"/>
    <x v="2"/>
    <x v="0"/>
  </r>
  <r>
    <x v="1277"/>
    <x v="40"/>
    <s v="Delhi"/>
    <x v="0"/>
    <x v="3"/>
    <x v="12"/>
    <n v="2"/>
    <n v="244.49"/>
    <n v="0.23"/>
    <n v="376.51"/>
    <n v="488.98"/>
    <n v="112.47000000000003"/>
    <n v="376.51"/>
    <s v="COD"/>
    <x v="0"/>
    <x v="0"/>
    <x v="0"/>
  </r>
  <r>
    <x v="1278"/>
    <x v="73"/>
    <s v="Gujarat"/>
    <x v="3"/>
    <x v="0"/>
    <x v="3"/>
    <n v="4"/>
    <n v="3512.43"/>
    <n v="0.03"/>
    <n v="13628.23"/>
    <n v="14049.72"/>
    <n v="421.48999999999978"/>
    <n v="13628.23"/>
    <s v="Net Banking"/>
    <x v="2"/>
    <x v="1"/>
    <x v="0"/>
  </r>
  <r>
    <x v="1279"/>
    <x v="109"/>
    <s v="Tamil Nadu"/>
    <x v="2"/>
    <x v="4"/>
    <x v="16"/>
    <n v="1"/>
    <n v="1004.38"/>
    <n v="0.1"/>
    <n v="903.94"/>
    <n v="1004.38"/>
    <n v="100.43999999999994"/>
    <n v="903.94"/>
    <s v="UPI"/>
    <x v="2"/>
    <x v="2"/>
    <x v="2"/>
  </r>
  <r>
    <x v="1280"/>
    <x v="73"/>
    <s v="Tamil Nadu"/>
    <x v="0"/>
    <x v="0"/>
    <x v="2"/>
    <n v="3"/>
    <n v="199.96"/>
    <n v="0.15"/>
    <n v="509.9"/>
    <n v="599.88"/>
    <n v="89.980000000000018"/>
    <n v="509.9"/>
    <s v="Credit Card"/>
    <x v="1"/>
    <x v="0"/>
    <x v="0"/>
  </r>
  <r>
    <x v="1281"/>
    <x v="46"/>
    <s v="Maharashtra"/>
    <x v="2"/>
    <x v="0"/>
    <x v="4"/>
    <n v="1"/>
    <n v="1701.61"/>
    <n v="0.08"/>
    <n v="1565.48"/>
    <n v="1701.61"/>
    <n v="136.12999999999988"/>
    <n v="1565.48"/>
    <s v="COD"/>
    <x v="0"/>
    <x v="0"/>
    <x v="1"/>
  </r>
  <r>
    <x v="1282"/>
    <x v="65"/>
    <s v="Gujarat"/>
    <x v="3"/>
    <x v="3"/>
    <x v="12"/>
    <n v="5"/>
    <n v="1170.03"/>
    <n v="0.09"/>
    <n v="5323.64"/>
    <n v="5850.15"/>
    <n v="526.50999999999931"/>
    <n v="5323.64"/>
    <s v="Net Banking"/>
    <x v="0"/>
    <x v="0"/>
    <x v="0"/>
  </r>
  <r>
    <x v="1283"/>
    <x v="53"/>
    <s v="Tamil Nadu"/>
    <x v="0"/>
    <x v="1"/>
    <x v="10"/>
    <n v="2"/>
    <n v="4090.37"/>
    <n v="0.11"/>
    <n v="7280.86"/>
    <n v="8180.74"/>
    <n v="899.88000000000011"/>
    <n v="7280.86"/>
    <s v="Debit Card"/>
    <x v="1"/>
    <x v="0"/>
    <x v="1"/>
  </r>
  <r>
    <x v="1284"/>
    <x v="38"/>
    <s v="Karnataka"/>
    <x v="1"/>
    <x v="0"/>
    <x v="2"/>
    <n v="2"/>
    <n v="2991.52"/>
    <n v="0.04"/>
    <n v="5743.72"/>
    <n v="5983.04"/>
    <n v="239.31999999999971"/>
    <n v="5743.72"/>
    <s v="Credit Card"/>
    <x v="2"/>
    <x v="2"/>
    <x v="0"/>
  </r>
  <r>
    <x v="1285"/>
    <x v="133"/>
    <s v="Tamil Nadu"/>
    <x v="2"/>
    <x v="3"/>
    <x v="9"/>
    <n v="4"/>
    <n v="4725.6499999999996"/>
    <n v="0.17"/>
    <n v="15689.16"/>
    <n v="18902.599999999999"/>
    <n v="3213.4399999999987"/>
    <n v="15689.16"/>
    <s v="COD"/>
    <x v="2"/>
    <x v="2"/>
    <x v="0"/>
  </r>
  <r>
    <x v="1286"/>
    <x v="79"/>
    <s v="Tamil Nadu"/>
    <x v="0"/>
    <x v="3"/>
    <x v="12"/>
    <n v="1"/>
    <n v="1855.77"/>
    <n v="0.23"/>
    <n v="1428.94"/>
    <n v="1855.77"/>
    <n v="426.82999999999993"/>
    <n v="1428.94"/>
    <s v="Debit Card"/>
    <x v="2"/>
    <x v="1"/>
    <x v="3"/>
  </r>
  <r>
    <x v="1287"/>
    <x v="54"/>
    <s v="Gujarat"/>
    <x v="3"/>
    <x v="0"/>
    <x v="2"/>
    <n v="5"/>
    <n v="2656.2"/>
    <n v="0.19"/>
    <n v="10757.61"/>
    <n v="13281"/>
    <n v="2523.3899999999994"/>
    <n v="10757.61"/>
    <s v="COD"/>
    <x v="1"/>
    <x v="0"/>
    <x v="0"/>
  </r>
  <r>
    <x v="1288"/>
    <x v="160"/>
    <s v="Delhi"/>
    <x v="0"/>
    <x v="3"/>
    <x v="15"/>
    <n v="4"/>
    <n v="2080.77"/>
    <n v="0.09"/>
    <n v="7574"/>
    <n v="8323.08"/>
    <n v="749.07999999999993"/>
    <n v="7574"/>
    <s v="UPI"/>
    <x v="1"/>
    <x v="1"/>
    <x v="0"/>
  </r>
  <r>
    <x v="1289"/>
    <x v="38"/>
    <s v="Gujarat"/>
    <x v="0"/>
    <x v="4"/>
    <x v="18"/>
    <n v="4"/>
    <n v="4962.21"/>
    <n v="0.19"/>
    <n v="16077.56"/>
    <n v="19848.84"/>
    <n v="3771.2800000000007"/>
    <n v="16077.56"/>
    <s v="Net Banking"/>
    <x v="2"/>
    <x v="0"/>
    <x v="0"/>
  </r>
  <r>
    <x v="1290"/>
    <x v="119"/>
    <s v="Maharashtra"/>
    <x v="0"/>
    <x v="0"/>
    <x v="4"/>
    <n v="5"/>
    <n v="2759.66"/>
    <n v="0.16"/>
    <n v="11590.57"/>
    <n v="13798.3"/>
    <n v="2207.7299999999996"/>
    <n v="11590.57"/>
    <s v="UPI"/>
    <x v="1"/>
    <x v="0"/>
    <x v="0"/>
  </r>
  <r>
    <x v="1291"/>
    <x v="155"/>
    <s v="Tamil Nadu"/>
    <x v="3"/>
    <x v="0"/>
    <x v="2"/>
    <n v="5"/>
    <n v="356.93"/>
    <n v="0.21"/>
    <n v="1409.87"/>
    <n v="1784.65"/>
    <n v="374.7800000000002"/>
    <n v="1409.87"/>
    <s v="Debit Card"/>
    <x v="2"/>
    <x v="1"/>
    <x v="0"/>
  </r>
  <r>
    <x v="1292"/>
    <x v="27"/>
    <s v="Maharashtra"/>
    <x v="1"/>
    <x v="0"/>
    <x v="4"/>
    <n v="2"/>
    <n v="3590.81"/>
    <n v="0.02"/>
    <n v="7037.99"/>
    <n v="7181.62"/>
    <n v="143.63000000000011"/>
    <n v="7037.99"/>
    <s v="Net Banking"/>
    <x v="0"/>
    <x v="2"/>
    <x v="0"/>
  </r>
  <r>
    <x v="1293"/>
    <x v="82"/>
    <s v="Maharashtra"/>
    <x v="2"/>
    <x v="1"/>
    <x v="13"/>
    <n v="1"/>
    <n v="4629.13"/>
    <n v="0"/>
    <n v="4629.13"/>
    <n v="4629.13"/>
    <n v="0"/>
    <n v="4629.13"/>
    <s v="Net Banking"/>
    <x v="0"/>
    <x v="2"/>
    <x v="2"/>
  </r>
  <r>
    <x v="1294"/>
    <x v="111"/>
    <s v="Karnataka"/>
    <x v="2"/>
    <x v="2"/>
    <x v="11"/>
    <n v="2"/>
    <n v="794.18"/>
    <n v="0.06"/>
    <n v="1493.06"/>
    <n v="1588.36"/>
    <n v="95.299999999999955"/>
    <n v="1493.06"/>
    <s v="Net Banking"/>
    <x v="0"/>
    <x v="0"/>
    <x v="1"/>
  </r>
  <r>
    <x v="1295"/>
    <x v="153"/>
    <s v="Delhi"/>
    <x v="3"/>
    <x v="2"/>
    <x v="6"/>
    <n v="1"/>
    <n v="2137.85"/>
    <n v="0.1"/>
    <n v="1924.07"/>
    <n v="2137.85"/>
    <n v="213.77999999999997"/>
    <n v="1924.07"/>
    <s v="UPI"/>
    <x v="2"/>
    <x v="1"/>
    <x v="3"/>
  </r>
  <r>
    <x v="1296"/>
    <x v="55"/>
    <s v="Gujarat"/>
    <x v="3"/>
    <x v="2"/>
    <x v="6"/>
    <n v="4"/>
    <n v="304.82"/>
    <n v="0.19"/>
    <n v="987.62"/>
    <n v="1219.28"/>
    <n v="231.65999999999997"/>
    <n v="987.62"/>
    <s v="Credit Card"/>
    <x v="1"/>
    <x v="2"/>
    <x v="0"/>
  </r>
  <r>
    <x v="1297"/>
    <x v="15"/>
    <s v="Delhi"/>
    <x v="2"/>
    <x v="0"/>
    <x v="0"/>
    <n v="2"/>
    <n v="2731"/>
    <n v="0.04"/>
    <n v="5243.52"/>
    <n v="5462"/>
    <n v="218.47999999999956"/>
    <n v="5243.52"/>
    <s v="Net Banking"/>
    <x v="0"/>
    <x v="0"/>
    <x v="2"/>
  </r>
  <r>
    <x v="1298"/>
    <x v="66"/>
    <s v="Gujarat"/>
    <x v="3"/>
    <x v="2"/>
    <x v="6"/>
    <n v="5"/>
    <n v="1381.35"/>
    <n v="0.19"/>
    <n v="5594.47"/>
    <n v="6906.75"/>
    <n v="1312.2799999999997"/>
    <n v="5594.47"/>
    <s v="UPI"/>
    <x v="2"/>
    <x v="1"/>
    <x v="2"/>
  </r>
  <r>
    <x v="1299"/>
    <x v="165"/>
    <s v="Delhi"/>
    <x v="0"/>
    <x v="1"/>
    <x v="14"/>
    <n v="1"/>
    <n v="2397.89"/>
    <n v="0.03"/>
    <n v="2325.9499999999998"/>
    <n v="2397.89"/>
    <n v="71.940000000000055"/>
    <n v="2325.9499999999998"/>
    <s v="Debit Card"/>
    <x v="1"/>
    <x v="2"/>
    <x v="3"/>
  </r>
  <r>
    <x v="1300"/>
    <x v="146"/>
    <s v="Maharashtra"/>
    <x v="0"/>
    <x v="3"/>
    <x v="8"/>
    <n v="5"/>
    <n v="1917.42"/>
    <n v="0.18"/>
    <n v="7861.42"/>
    <n v="9587.1"/>
    <n v="1725.6800000000003"/>
    <n v="7861.42"/>
    <s v="Debit Card"/>
    <x v="2"/>
    <x v="1"/>
    <x v="0"/>
  </r>
  <r>
    <x v="1301"/>
    <x v="28"/>
    <s v="Delhi"/>
    <x v="3"/>
    <x v="1"/>
    <x v="10"/>
    <n v="5"/>
    <n v="169.63"/>
    <n v="0.04"/>
    <n v="814.22"/>
    <n v="848.15"/>
    <n v="33.92999999999995"/>
    <n v="814.22"/>
    <s v="UPI"/>
    <x v="0"/>
    <x v="1"/>
    <x v="0"/>
  </r>
  <r>
    <x v="1302"/>
    <x v="26"/>
    <s v="Tamil Nadu"/>
    <x v="3"/>
    <x v="3"/>
    <x v="8"/>
    <n v="3"/>
    <n v="2577.41"/>
    <n v="0.06"/>
    <n v="7268.3"/>
    <n v="7732.23"/>
    <n v="463.92999999999938"/>
    <n v="7268.3"/>
    <s v="Net Banking"/>
    <x v="0"/>
    <x v="0"/>
    <x v="0"/>
  </r>
  <r>
    <x v="1303"/>
    <x v="68"/>
    <s v="Tamil Nadu"/>
    <x v="2"/>
    <x v="2"/>
    <x v="7"/>
    <n v="5"/>
    <n v="2689.93"/>
    <n v="0.14000000000000001"/>
    <n v="11566.7"/>
    <n v="13449.65"/>
    <n v="1882.9499999999989"/>
    <n v="11566.7"/>
    <s v="Credit Card"/>
    <x v="0"/>
    <x v="2"/>
    <x v="0"/>
  </r>
  <r>
    <x v="1304"/>
    <x v="69"/>
    <s v="Gujarat"/>
    <x v="2"/>
    <x v="0"/>
    <x v="3"/>
    <n v="5"/>
    <n v="3630.36"/>
    <n v="0.18"/>
    <n v="14884.48"/>
    <n v="18151.8"/>
    <n v="3267.3199999999997"/>
    <n v="14884.48"/>
    <s v="COD"/>
    <x v="0"/>
    <x v="1"/>
    <x v="0"/>
  </r>
  <r>
    <x v="1305"/>
    <x v="64"/>
    <s v="Maharashtra"/>
    <x v="0"/>
    <x v="0"/>
    <x v="4"/>
    <n v="5"/>
    <n v="386.25"/>
    <n v="0.1"/>
    <n v="1738.12"/>
    <n v="1931.25"/>
    <n v="193.13000000000011"/>
    <n v="1738.12"/>
    <s v="Net Banking"/>
    <x v="0"/>
    <x v="0"/>
    <x v="1"/>
  </r>
  <r>
    <x v="1306"/>
    <x v="82"/>
    <s v="Maharashtra"/>
    <x v="3"/>
    <x v="0"/>
    <x v="0"/>
    <n v="4"/>
    <n v="1484.1"/>
    <n v="0.15"/>
    <n v="5045.9399999999996"/>
    <n v="5936.4"/>
    <n v="890.46"/>
    <n v="5045.9399999999996"/>
    <s v="Net Banking"/>
    <x v="1"/>
    <x v="1"/>
    <x v="0"/>
  </r>
  <r>
    <x v="1307"/>
    <x v="19"/>
    <s v="Karnataka"/>
    <x v="3"/>
    <x v="1"/>
    <x v="1"/>
    <n v="2"/>
    <n v="2325.69"/>
    <n v="0.22"/>
    <n v="3628.08"/>
    <n v="4651.38"/>
    <n v="1023.3000000000002"/>
    <n v="3628.08"/>
    <s v="Net Banking"/>
    <x v="2"/>
    <x v="2"/>
    <x v="0"/>
  </r>
  <r>
    <x v="1308"/>
    <x v="52"/>
    <s v="Karnataka"/>
    <x v="1"/>
    <x v="3"/>
    <x v="15"/>
    <n v="1"/>
    <n v="2215.5100000000002"/>
    <n v="7.0000000000000007E-2"/>
    <n v="2060.42"/>
    <n v="2215.5100000000002"/>
    <n v="155.09000000000015"/>
    <n v="2060.42"/>
    <s v="Debit Card"/>
    <x v="2"/>
    <x v="2"/>
    <x v="0"/>
  </r>
  <r>
    <x v="1309"/>
    <x v="46"/>
    <s v="Tamil Nadu"/>
    <x v="1"/>
    <x v="1"/>
    <x v="10"/>
    <n v="3"/>
    <n v="1119.69"/>
    <n v="0.1"/>
    <n v="3023.16"/>
    <n v="3359.07"/>
    <n v="335.91000000000031"/>
    <n v="3023.16"/>
    <s v="Debit Card"/>
    <x v="1"/>
    <x v="1"/>
    <x v="0"/>
  </r>
  <r>
    <x v="1310"/>
    <x v="154"/>
    <s v="Tamil Nadu"/>
    <x v="3"/>
    <x v="2"/>
    <x v="5"/>
    <n v="3"/>
    <n v="3360.33"/>
    <n v="0.03"/>
    <n v="9778.56"/>
    <n v="10080.99"/>
    <n v="302.43000000000029"/>
    <n v="9778.56"/>
    <s v="UPI"/>
    <x v="2"/>
    <x v="0"/>
    <x v="0"/>
  </r>
  <r>
    <x v="1311"/>
    <x v="110"/>
    <s v="Gujarat"/>
    <x v="2"/>
    <x v="3"/>
    <x v="12"/>
    <n v="5"/>
    <n v="4325.95"/>
    <n v="0.2"/>
    <n v="17303.8"/>
    <n v="21629.75"/>
    <n v="4325.9500000000007"/>
    <n v="17303.8"/>
    <s v="UPI"/>
    <x v="2"/>
    <x v="1"/>
    <x v="0"/>
  </r>
  <r>
    <x v="1312"/>
    <x v="109"/>
    <s v="Maharashtra"/>
    <x v="1"/>
    <x v="3"/>
    <x v="15"/>
    <n v="4"/>
    <n v="1571.57"/>
    <n v="0.21"/>
    <n v="4966.16"/>
    <n v="6286.28"/>
    <n v="1320.12"/>
    <n v="4966.16"/>
    <s v="COD"/>
    <x v="1"/>
    <x v="0"/>
    <x v="0"/>
  </r>
  <r>
    <x v="1313"/>
    <x v="13"/>
    <s v="Gujarat"/>
    <x v="0"/>
    <x v="3"/>
    <x v="9"/>
    <n v="4"/>
    <n v="4691.8999999999996"/>
    <n v="0.11"/>
    <n v="16703.16"/>
    <n v="18767.599999999999"/>
    <n v="2064.4399999999987"/>
    <n v="16703.16"/>
    <s v="Debit Card"/>
    <x v="1"/>
    <x v="1"/>
    <x v="0"/>
  </r>
  <r>
    <x v="1314"/>
    <x v="65"/>
    <s v="Karnataka"/>
    <x v="1"/>
    <x v="2"/>
    <x v="11"/>
    <n v="4"/>
    <n v="2917.84"/>
    <n v="0.2"/>
    <n v="9337.09"/>
    <n v="11671.36"/>
    <n v="2334.2700000000004"/>
    <n v="9337.09"/>
    <s v="COD"/>
    <x v="0"/>
    <x v="2"/>
    <x v="0"/>
  </r>
  <r>
    <x v="1315"/>
    <x v="33"/>
    <s v="Tamil Nadu"/>
    <x v="0"/>
    <x v="3"/>
    <x v="12"/>
    <n v="5"/>
    <n v="2699.88"/>
    <n v="0.16"/>
    <n v="11339.5"/>
    <n v="13499.400000000001"/>
    <n v="2159.9000000000015"/>
    <n v="11339.5"/>
    <s v="UPI"/>
    <x v="1"/>
    <x v="2"/>
    <x v="3"/>
  </r>
  <r>
    <x v="1316"/>
    <x v="75"/>
    <s v="Maharashtra"/>
    <x v="3"/>
    <x v="0"/>
    <x v="0"/>
    <n v="1"/>
    <n v="1635.14"/>
    <n v="0.23"/>
    <n v="1259.06"/>
    <n v="1635.14"/>
    <n v="376.08000000000015"/>
    <n v="1259.06"/>
    <s v="Credit Card"/>
    <x v="2"/>
    <x v="2"/>
    <x v="2"/>
  </r>
  <r>
    <x v="1317"/>
    <x v="23"/>
    <s v="Karnataka"/>
    <x v="3"/>
    <x v="4"/>
    <x v="19"/>
    <n v="5"/>
    <n v="4532.12"/>
    <n v="0.11"/>
    <n v="20167.93"/>
    <n v="22660.6"/>
    <n v="2492.6699999999983"/>
    <n v="20167.93"/>
    <s v="COD"/>
    <x v="2"/>
    <x v="1"/>
    <x v="0"/>
  </r>
  <r>
    <x v="1318"/>
    <x v="36"/>
    <s v="Delhi"/>
    <x v="1"/>
    <x v="0"/>
    <x v="4"/>
    <n v="1"/>
    <n v="2708.3"/>
    <n v="0.15"/>
    <n v="2302.06"/>
    <n v="2708.3"/>
    <n v="406.24000000000024"/>
    <n v="2302.06"/>
    <s v="Debit Card"/>
    <x v="2"/>
    <x v="2"/>
    <x v="0"/>
  </r>
  <r>
    <x v="1319"/>
    <x v="117"/>
    <s v="Maharashtra"/>
    <x v="1"/>
    <x v="4"/>
    <x v="16"/>
    <n v="1"/>
    <n v="3802.8"/>
    <n v="0.03"/>
    <n v="3688.72"/>
    <n v="3802.8"/>
    <n v="114.08000000000038"/>
    <n v="3688.72"/>
    <s v="Debit Card"/>
    <x v="2"/>
    <x v="1"/>
    <x v="0"/>
  </r>
  <r>
    <x v="1320"/>
    <x v="11"/>
    <s v="Gujarat"/>
    <x v="1"/>
    <x v="3"/>
    <x v="8"/>
    <n v="5"/>
    <n v="2902.36"/>
    <n v="0.11"/>
    <n v="12915.5"/>
    <n v="14511.800000000001"/>
    <n v="1596.3000000000011"/>
    <n v="12915.5"/>
    <s v="UPI"/>
    <x v="2"/>
    <x v="2"/>
    <x v="1"/>
  </r>
  <r>
    <x v="1321"/>
    <x v="6"/>
    <s v="Karnataka"/>
    <x v="1"/>
    <x v="1"/>
    <x v="1"/>
    <n v="1"/>
    <n v="968.45"/>
    <n v="0.16"/>
    <n v="813.5"/>
    <n v="968.45"/>
    <n v="154.95000000000005"/>
    <n v="813.5"/>
    <s v="Credit Card"/>
    <x v="2"/>
    <x v="0"/>
    <x v="1"/>
  </r>
  <r>
    <x v="1322"/>
    <x v="77"/>
    <s v="Karnataka"/>
    <x v="0"/>
    <x v="0"/>
    <x v="4"/>
    <n v="1"/>
    <n v="1838.09"/>
    <n v="0.25"/>
    <n v="1378.57"/>
    <n v="1838.09"/>
    <n v="459.52"/>
    <n v="1378.57"/>
    <s v="UPI"/>
    <x v="1"/>
    <x v="1"/>
    <x v="0"/>
  </r>
  <r>
    <x v="1323"/>
    <x v="176"/>
    <s v="Delhi"/>
    <x v="1"/>
    <x v="1"/>
    <x v="14"/>
    <n v="2"/>
    <n v="2615.77"/>
    <n v="0.25"/>
    <n v="3923.65"/>
    <n v="5231.54"/>
    <n v="1307.8899999999999"/>
    <n v="3923.65"/>
    <s v="UPI"/>
    <x v="2"/>
    <x v="2"/>
    <x v="0"/>
  </r>
  <r>
    <x v="1324"/>
    <x v="174"/>
    <s v="Delhi"/>
    <x v="1"/>
    <x v="3"/>
    <x v="8"/>
    <n v="4"/>
    <n v="4981.1499999999996"/>
    <n v="0.08"/>
    <n v="18330.63"/>
    <n v="19924.599999999999"/>
    <n v="1593.9699999999975"/>
    <n v="18330.63"/>
    <s v="UPI"/>
    <x v="2"/>
    <x v="1"/>
    <x v="0"/>
  </r>
  <r>
    <x v="1325"/>
    <x v="46"/>
    <s v="Delhi"/>
    <x v="1"/>
    <x v="4"/>
    <x v="19"/>
    <n v="5"/>
    <n v="194.14"/>
    <n v="0.1"/>
    <n v="873.63"/>
    <n v="970.69999999999993"/>
    <n v="97.069999999999936"/>
    <n v="873.63"/>
    <s v="COD"/>
    <x v="0"/>
    <x v="1"/>
    <x v="0"/>
  </r>
  <r>
    <x v="1326"/>
    <x v="182"/>
    <s v="Karnataka"/>
    <x v="2"/>
    <x v="4"/>
    <x v="18"/>
    <n v="4"/>
    <n v="2095.2600000000002"/>
    <n v="0.09"/>
    <n v="7626.75"/>
    <n v="8381.0400000000009"/>
    <n v="754.29000000000087"/>
    <n v="7626.75"/>
    <s v="UPI"/>
    <x v="1"/>
    <x v="1"/>
    <x v="0"/>
  </r>
  <r>
    <x v="1327"/>
    <x v="7"/>
    <s v="Karnataka"/>
    <x v="0"/>
    <x v="2"/>
    <x v="6"/>
    <n v="1"/>
    <n v="4046.83"/>
    <n v="0.23"/>
    <n v="3116.06"/>
    <n v="4046.83"/>
    <n v="930.77"/>
    <n v="3116.06"/>
    <s v="Credit Card"/>
    <x v="2"/>
    <x v="0"/>
    <x v="0"/>
  </r>
  <r>
    <x v="1328"/>
    <x v="64"/>
    <s v="Delhi"/>
    <x v="0"/>
    <x v="3"/>
    <x v="8"/>
    <n v="3"/>
    <n v="418.3"/>
    <n v="0.14000000000000001"/>
    <n v="1079.21"/>
    <n v="1254.9000000000001"/>
    <n v="175.69000000000005"/>
    <n v="1079.21"/>
    <s v="Credit Card"/>
    <x v="0"/>
    <x v="2"/>
    <x v="1"/>
  </r>
  <r>
    <x v="1329"/>
    <x v="134"/>
    <s v="Karnataka"/>
    <x v="2"/>
    <x v="0"/>
    <x v="0"/>
    <n v="2"/>
    <n v="2955.5"/>
    <n v="0.24"/>
    <n v="4492.3599999999997"/>
    <n v="5911"/>
    <n v="1418.6400000000003"/>
    <n v="4492.3599999999997"/>
    <s v="COD"/>
    <x v="0"/>
    <x v="1"/>
    <x v="3"/>
  </r>
  <r>
    <x v="1330"/>
    <x v="139"/>
    <s v="Maharashtra"/>
    <x v="0"/>
    <x v="0"/>
    <x v="0"/>
    <n v="1"/>
    <n v="1009.32"/>
    <n v="0.18"/>
    <n v="827.64"/>
    <n v="1009.32"/>
    <n v="181.68000000000006"/>
    <n v="827.64"/>
    <s v="Debit Card"/>
    <x v="0"/>
    <x v="2"/>
    <x v="0"/>
  </r>
  <r>
    <x v="1331"/>
    <x v="110"/>
    <s v="Maharashtra"/>
    <x v="1"/>
    <x v="3"/>
    <x v="12"/>
    <n v="3"/>
    <n v="3164.71"/>
    <n v="0.05"/>
    <n v="9019.42"/>
    <n v="9494.130000000001"/>
    <n v="474.71000000000095"/>
    <n v="9019.42"/>
    <s v="Credit Card"/>
    <x v="2"/>
    <x v="2"/>
    <x v="0"/>
  </r>
  <r>
    <x v="1332"/>
    <x v="132"/>
    <s v="Karnataka"/>
    <x v="3"/>
    <x v="3"/>
    <x v="15"/>
    <n v="4"/>
    <n v="1006.15"/>
    <n v="0"/>
    <n v="4024.6"/>
    <n v="4024.6"/>
    <n v="0"/>
    <n v="4024.6"/>
    <s v="COD"/>
    <x v="0"/>
    <x v="2"/>
    <x v="0"/>
  </r>
  <r>
    <x v="1333"/>
    <x v="111"/>
    <s v="Maharashtra"/>
    <x v="3"/>
    <x v="1"/>
    <x v="10"/>
    <n v="2"/>
    <n v="4258.22"/>
    <n v="0.19"/>
    <n v="6898.32"/>
    <n v="8516.44"/>
    <n v="1618.1200000000008"/>
    <n v="6898.32"/>
    <s v="Credit Card"/>
    <x v="0"/>
    <x v="2"/>
    <x v="0"/>
  </r>
  <r>
    <x v="1334"/>
    <x v="99"/>
    <s v="Gujarat"/>
    <x v="3"/>
    <x v="1"/>
    <x v="1"/>
    <n v="3"/>
    <n v="1169.47"/>
    <n v="0.06"/>
    <n v="3297.91"/>
    <n v="3508.41"/>
    <n v="210.5"/>
    <n v="3297.91"/>
    <s v="Net Banking"/>
    <x v="1"/>
    <x v="1"/>
    <x v="0"/>
  </r>
  <r>
    <x v="1335"/>
    <x v="182"/>
    <s v="Delhi"/>
    <x v="1"/>
    <x v="4"/>
    <x v="17"/>
    <n v="1"/>
    <n v="2520.2199999999998"/>
    <n v="0.23"/>
    <n v="1940.57"/>
    <n v="2520.2199999999998"/>
    <n v="579.64999999999986"/>
    <n v="1940.57"/>
    <s v="Credit Card"/>
    <x v="0"/>
    <x v="2"/>
    <x v="0"/>
  </r>
  <r>
    <x v="1336"/>
    <x v="92"/>
    <s v="Maharashtra"/>
    <x v="2"/>
    <x v="2"/>
    <x v="7"/>
    <n v="3"/>
    <n v="3520.57"/>
    <n v="0.15"/>
    <n v="8977.4500000000007"/>
    <n v="10561.710000000001"/>
    <n v="1584.2600000000002"/>
    <n v="8977.4500000000007"/>
    <s v="UPI"/>
    <x v="1"/>
    <x v="2"/>
    <x v="0"/>
  </r>
  <r>
    <x v="1337"/>
    <x v="128"/>
    <s v="Karnataka"/>
    <x v="3"/>
    <x v="4"/>
    <x v="18"/>
    <n v="4"/>
    <n v="1571.21"/>
    <n v="0.12"/>
    <n v="5530.66"/>
    <n v="6284.84"/>
    <n v="754.18000000000029"/>
    <n v="5530.66"/>
    <s v="Net Banking"/>
    <x v="2"/>
    <x v="0"/>
    <x v="0"/>
  </r>
  <r>
    <x v="1338"/>
    <x v="55"/>
    <s v="Karnataka"/>
    <x v="1"/>
    <x v="3"/>
    <x v="8"/>
    <n v="4"/>
    <n v="1689.4"/>
    <n v="0.2"/>
    <n v="5406.08"/>
    <n v="6757.6"/>
    <n v="1351.5200000000004"/>
    <n v="5406.08"/>
    <s v="Net Banking"/>
    <x v="2"/>
    <x v="1"/>
    <x v="1"/>
  </r>
  <r>
    <x v="1339"/>
    <x v="143"/>
    <s v="Delhi"/>
    <x v="2"/>
    <x v="2"/>
    <x v="5"/>
    <n v="4"/>
    <n v="2156.0300000000002"/>
    <n v="0.01"/>
    <n v="8537.8799999999992"/>
    <n v="8624.1200000000008"/>
    <n v="86.240000000001601"/>
    <n v="8537.8799999999992"/>
    <s v="Debit Card"/>
    <x v="1"/>
    <x v="2"/>
    <x v="0"/>
  </r>
  <r>
    <x v="1340"/>
    <x v="51"/>
    <s v="Karnataka"/>
    <x v="0"/>
    <x v="3"/>
    <x v="15"/>
    <n v="2"/>
    <n v="840.09"/>
    <n v="0.24"/>
    <n v="1276.94"/>
    <n v="1680.18"/>
    <n v="403.24"/>
    <n v="1276.94"/>
    <s v="Credit Card"/>
    <x v="2"/>
    <x v="2"/>
    <x v="0"/>
  </r>
  <r>
    <x v="1341"/>
    <x v="153"/>
    <s v="Karnataka"/>
    <x v="2"/>
    <x v="2"/>
    <x v="11"/>
    <n v="1"/>
    <n v="2536.88"/>
    <n v="0.04"/>
    <n v="2435.4"/>
    <n v="2536.88"/>
    <n v="101.48000000000002"/>
    <n v="2435.4"/>
    <s v="UPI"/>
    <x v="0"/>
    <x v="0"/>
    <x v="0"/>
  </r>
  <r>
    <x v="1342"/>
    <x v="82"/>
    <s v="Tamil Nadu"/>
    <x v="0"/>
    <x v="2"/>
    <x v="5"/>
    <n v="4"/>
    <n v="4848.59"/>
    <n v="0.01"/>
    <n v="19200.419999999998"/>
    <n v="19394.36"/>
    <n v="193.94000000000233"/>
    <n v="19200.419999999998"/>
    <s v="Net Banking"/>
    <x v="0"/>
    <x v="2"/>
    <x v="2"/>
  </r>
  <r>
    <x v="1343"/>
    <x v="132"/>
    <s v="Delhi"/>
    <x v="2"/>
    <x v="2"/>
    <x v="6"/>
    <n v="4"/>
    <n v="4037.75"/>
    <n v="0.1"/>
    <n v="14535.9"/>
    <n v="16151"/>
    <n v="1615.1000000000004"/>
    <n v="14535.9"/>
    <s v="Debit Card"/>
    <x v="1"/>
    <x v="2"/>
    <x v="0"/>
  </r>
  <r>
    <x v="1344"/>
    <x v="35"/>
    <s v="Gujarat"/>
    <x v="2"/>
    <x v="4"/>
    <x v="17"/>
    <n v="1"/>
    <n v="3035.67"/>
    <n v="0.13"/>
    <n v="2641.03"/>
    <n v="3035.67"/>
    <n v="394.63999999999987"/>
    <n v="2641.03"/>
    <s v="Net Banking"/>
    <x v="1"/>
    <x v="1"/>
    <x v="3"/>
  </r>
  <r>
    <x v="1345"/>
    <x v="157"/>
    <s v="Gujarat"/>
    <x v="2"/>
    <x v="3"/>
    <x v="9"/>
    <n v="1"/>
    <n v="2290.6799999999998"/>
    <n v="0.1"/>
    <n v="2061.61"/>
    <n v="2290.6799999999998"/>
    <n v="229.06999999999971"/>
    <n v="2061.61"/>
    <s v="Net Banking"/>
    <x v="0"/>
    <x v="2"/>
    <x v="0"/>
  </r>
  <r>
    <x v="1346"/>
    <x v="81"/>
    <s v="Karnataka"/>
    <x v="2"/>
    <x v="4"/>
    <x v="18"/>
    <n v="5"/>
    <n v="3989.71"/>
    <n v="0.17"/>
    <n v="16557.3"/>
    <n v="19948.55"/>
    <n v="3391.25"/>
    <n v="16557.3"/>
    <s v="COD"/>
    <x v="2"/>
    <x v="2"/>
    <x v="3"/>
  </r>
  <r>
    <x v="1347"/>
    <x v="121"/>
    <s v="Gujarat"/>
    <x v="2"/>
    <x v="1"/>
    <x v="10"/>
    <n v="2"/>
    <n v="2494.08"/>
    <n v="0.12"/>
    <n v="4389.58"/>
    <n v="4988.16"/>
    <n v="598.57999999999993"/>
    <n v="4389.58"/>
    <s v="COD"/>
    <x v="0"/>
    <x v="2"/>
    <x v="0"/>
  </r>
  <r>
    <x v="1348"/>
    <x v="50"/>
    <s v="Delhi"/>
    <x v="2"/>
    <x v="0"/>
    <x v="3"/>
    <n v="1"/>
    <n v="2693.25"/>
    <n v="0.12"/>
    <n v="2370.06"/>
    <n v="2693.25"/>
    <n v="323.19000000000005"/>
    <n v="2370.06"/>
    <s v="COD"/>
    <x v="2"/>
    <x v="0"/>
    <x v="0"/>
  </r>
  <r>
    <x v="1349"/>
    <x v="104"/>
    <s v="Karnataka"/>
    <x v="2"/>
    <x v="2"/>
    <x v="11"/>
    <n v="1"/>
    <n v="2421.36"/>
    <n v="0.06"/>
    <n v="2276.08"/>
    <n v="2421.36"/>
    <n v="145.2800000000002"/>
    <n v="2276.08"/>
    <s v="Debit Card"/>
    <x v="2"/>
    <x v="2"/>
    <x v="0"/>
  </r>
  <r>
    <x v="1350"/>
    <x v="143"/>
    <s v="Gujarat"/>
    <x v="3"/>
    <x v="1"/>
    <x v="14"/>
    <n v="3"/>
    <n v="2475.02"/>
    <n v="0.08"/>
    <n v="6831.06"/>
    <n v="7425.0599999999995"/>
    <n v="593.99999999999909"/>
    <n v="6831.06"/>
    <s v="Debit Card"/>
    <x v="2"/>
    <x v="0"/>
    <x v="3"/>
  </r>
  <r>
    <x v="1351"/>
    <x v="53"/>
    <s v="Karnataka"/>
    <x v="1"/>
    <x v="3"/>
    <x v="8"/>
    <n v="2"/>
    <n v="2665.16"/>
    <n v="0.13"/>
    <n v="4637.38"/>
    <n v="5330.32"/>
    <n v="692.9399999999996"/>
    <n v="4637.38"/>
    <s v="Credit Card"/>
    <x v="1"/>
    <x v="2"/>
    <x v="0"/>
  </r>
  <r>
    <x v="1352"/>
    <x v="21"/>
    <s v="Karnataka"/>
    <x v="0"/>
    <x v="0"/>
    <x v="2"/>
    <n v="3"/>
    <n v="223.89"/>
    <n v="0.16"/>
    <n v="564.20000000000005"/>
    <n v="671.67"/>
    <n v="107.46999999999991"/>
    <n v="564.20000000000005"/>
    <s v="Debit Card"/>
    <x v="0"/>
    <x v="1"/>
    <x v="0"/>
  </r>
  <r>
    <x v="1353"/>
    <x v="169"/>
    <s v="Tamil Nadu"/>
    <x v="1"/>
    <x v="3"/>
    <x v="15"/>
    <n v="5"/>
    <n v="2276.2800000000002"/>
    <n v="0.08"/>
    <n v="10470.89"/>
    <n v="11381.400000000001"/>
    <n v="910.51000000000204"/>
    <n v="10470.89"/>
    <s v="COD"/>
    <x v="0"/>
    <x v="1"/>
    <x v="0"/>
  </r>
  <r>
    <x v="1354"/>
    <x v="168"/>
    <s v="Karnataka"/>
    <x v="2"/>
    <x v="1"/>
    <x v="14"/>
    <n v="2"/>
    <n v="1681.74"/>
    <n v="0"/>
    <n v="3363.48"/>
    <n v="3363.48"/>
    <n v="0"/>
    <n v="3363.48"/>
    <s v="Debit Card"/>
    <x v="1"/>
    <x v="2"/>
    <x v="0"/>
  </r>
  <r>
    <x v="1355"/>
    <x v="101"/>
    <s v="Karnataka"/>
    <x v="3"/>
    <x v="4"/>
    <x v="16"/>
    <n v="1"/>
    <n v="3181.56"/>
    <n v="0.16"/>
    <n v="2672.51"/>
    <n v="3181.56"/>
    <n v="509.04999999999973"/>
    <n v="2672.51"/>
    <s v="Net Banking"/>
    <x v="1"/>
    <x v="1"/>
    <x v="0"/>
  </r>
  <r>
    <x v="1356"/>
    <x v="135"/>
    <s v="Karnataka"/>
    <x v="3"/>
    <x v="0"/>
    <x v="2"/>
    <n v="1"/>
    <n v="4427.97"/>
    <n v="0.01"/>
    <n v="4383.6899999999996"/>
    <n v="4427.97"/>
    <n v="44.280000000000655"/>
    <n v="4383.6899999999996"/>
    <s v="COD"/>
    <x v="1"/>
    <x v="0"/>
    <x v="0"/>
  </r>
  <r>
    <x v="1357"/>
    <x v="83"/>
    <s v="Delhi"/>
    <x v="2"/>
    <x v="0"/>
    <x v="4"/>
    <n v="2"/>
    <n v="4706.6000000000004"/>
    <n v="0.06"/>
    <n v="8848.41"/>
    <n v="9413.2000000000007"/>
    <n v="564.79000000000087"/>
    <n v="8848.41"/>
    <s v="Credit Card"/>
    <x v="1"/>
    <x v="1"/>
    <x v="0"/>
  </r>
  <r>
    <x v="1358"/>
    <x v="45"/>
    <s v="Maharashtra"/>
    <x v="3"/>
    <x v="2"/>
    <x v="6"/>
    <n v="5"/>
    <n v="404.54"/>
    <n v="0.1"/>
    <n v="1820.43"/>
    <n v="2022.7"/>
    <n v="202.26999999999998"/>
    <n v="1820.43"/>
    <s v="Net Banking"/>
    <x v="2"/>
    <x v="1"/>
    <x v="0"/>
  </r>
  <r>
    <x v="1359"/>
    <x v="115"/>
    <s v="Tamil Nadu"/>
    <x v="0"/>
    <x v="0"/>
    <x v="4"/>
    <n v="3"/>
    <n v="1214.24"/>
    <n v="0.01"/>
    <n v="3606.29"/>
    <n v="3642.7200000000003"/>
    <n v="36.430000000000291"/>
    <n v="3606.29"/>
    <s v="Debit Card"/>
    <x v="0"/>
    <x v="0"/>
    <x v="0"/>
  </r>
  <r>
    <x v="1360"/>
    <x v="16"/>
    <s v="Maharashtra"/>
    <x v="2"/>
    <x v="3"/>
    <x v="15"/>
    <n v="2"/>
    <n v="4754.83"/>
    <n v="0.24"/>
    <n v="7227.34"/>
    <n v="9509.66"/>
    <n v="2282.3199999999997"/>
    <n v="7227.34"/>
    <s v="Credit Card"/>
    <x v="0"/>
    <x v="2"/>
    <x v="0"/>
  </r>
  <r>
    <x v="1361"/>
    <x v="105"/>
    <s v="Gujarat"/>
    <x v="0"/>
    <x v="2"/>
    <x v="7"/>
    <n v="1"/>
    <n v="3381.25"/>
    <n v="0.17"/>
    <n v="2806.44"/>
    <n v="3381.25"/>
    <n v="574.80999999999995"/>
    <n v="2806.44"/>
    <s v="UPI"/>
    <x v="2"/>
    <x v="0"/>
    <x v="0"/>
  </r>
  <r>
    <x v="1362"/>
    <x v="66"/>
    <s v="Delhi"/>
    <x v="2"/>
    <x v="1"/>
    <x v="13"/>
    <n v="4"/>
    <n v="135.05000000000001"/>
    <n v="0.18"/>
    <n v="442.96"/>
    <n v="540.20000000000005"/>
    <n v="97.240000000000066"/>
    <n v="442.96"/>
    <s v="Debit Card"/>
    <x v="1"/>
    <x v="0"/>
    <x v="0"/>
  </r>
  <r>
    <x v="1363"/>
    <x v="74"/>
    <s v="Delhi"/>
    <x v="2"/>
    <x v="3"/>
    <x v="15"/>
    <n v="1"/>
    <n v="4584.4799999999996"/>
    <n v="0.19"/>
    <n v="3713.43"/>
    <n v="4584.4799999999996"/>
    <n v="871.04999999999973"/>
    <n v="3713.43"/>
    <s v="Debit Card"/>
    <x v="1"/>
    <x v="1"/>
    <x v="0"/>
  </r>
  <r>
    <x v="1364"/>
    <x v="162"/>
    <s v="Delhi"/>
    <x v="1"/>
    <x v="1"/>
    <x v="14"/>
    <n v="3"/>
    <n v="1738.98"/>
    <n v="0.08"/>
    <n v="4799.58"/>
    <n v="5216.9400000000005"/>
    <n v="417.36000000000058"/>
    <n v="4799.58"/>
    <s v="Debit Card"/>
    <x v="1"/>
    <x v="1"/>
    <x v="0"/>
  </r>
  <r>
    <x v="1365"/>
    <x v="60"/>
    <s v="Maharashtra"/>
    <x v="0"/>
    <x v="4"/>
    <x v="18"/>
    <n v="5"/>
    <n v="3873.08"/>
    <n v="0.05"/>
    <n v="18397.13"/>
    <n v="19365.400000000001"/>
    <n v="968.27000000000044"/>
    <n v="18397.13"/>
    <s v="Net Banking"/>
    <x v="1"/>
    <x v="2"/>
    <x v="0"/>
  </r>
  <r>
    <x v="1366"/>
    <x v="152"/>
    <s v="Delhi"/>
    <x v="2"/>
    <x v="0"/>
    <x v="4"/>
    <n v="3"/>
    <n v="4181.3599999999997"/>
    <n v="0.17"/>
    <n v="10411.59"/>
    <n v="12544.079999999998"/>
    <n v="2132.489999999998"/>
    <n v="10411.59"/>
    <s v="COD"/>
    <x v="1"/>
    <x v="0"/>
    <x v="0"/>
  </r>
  <r>
    <x v="1367"/>
    <x v="13"/>
    <s v="Gujarat"/>
    <x v="2"/>
    <x v="0"/>
    <x v="4"/>
    <n v="5"/>
    <n v="216.68"/>
    <n v="0"/>
    <n v="1083.4000000000001"/>
    <n v="1083.4000000000001"/>
    <n v="0"/>
    <n v="1083.4000000000001"/>
    <s v="UPI"/>
    <x v="0"/>
    <x v="2"/>
    <x v="0"/>
  </r>
  <r>
    <x v="1368"/>
    <x v="2"/>
    <s v="Tamil Nadu"/>
    <x v="2"/>
    <x v="2"/>
    <x v="6"/>
    <n v="2"/>
    <n v="4612.01"/>
    <n v="0.12"/>
    <n v="8117.14"/>
    <n v="9224.02"/>
    <n v="1106.8800000000001"/>
    <n v="8117.14"/>
    <s v="Net Banking"/>
    <x v="1"/>
    <x v="0"/>
    <x v="3"/>
  </r>
  <r>
    <x v="1369"/>
    <x v="40"/>
    <s v="Gujarat"/>
    <x v="0"/>
    <x v="3"/>
    <x v="8"/>
    <n v="1"/>
    <n v="3134.46"/>
    <n v="0.21"/>
    <n v="2476.2199999999998"/>
    <n v="3134.46"/>
    <n v="658.24000000000024"/>
    <n v="2476.2199999999998"/>
    <s v="Credit Card"/>
    <x v="0"/>
    <x v="1"/>
    <x v="0"/>
  </r>
  <r>
    <x v="1370"/>
    <x v="74"/>
    <s v="Maharashtra"/>
    <x v="2"/>
    <x v="2"/>
    <x v="11"/>
    <n v="2"/>
    <n v="3264.28"/>
    <n v="0.24"/>
    <n v="4961.71"/>
    <n v="6528.56"/>
    <n v="1566.8500000000004"/>
    <n v="4961.71"/>
    <s v="Credit Card"/>
    <x v="2"/>
    <x v="0"/>
    <x v="0"/>
  </r>
  <r>
    <x v="1371"/>
    <x v="87"/>
    <s v="Karnataka"/>
    <x v="0"/>
    <x v="2"/>
    <x v="7"/>
    <n v="3"/>
    <n v="795.01"/>
    <n v="0.11"/>
    <n v="2122.6799999999998"/>
    <n v="2385.0299999999997"/>
    <n v="262.34999999999991"/>
    <n v="2122.6799999999998"/>
    <s v="Credit Card"/>
    <x v="0"/>
    <x v="2"/>
    <x v="1"/>
  </r>
  <r>
    <x v="1372"/>
    <x v="81"/>
    <s v="Delhi"/>
    <x v="2"/>
    <x v="0"/>
    <x v="3"/>
    <n v="1"/>
    <n v="3651.56"/>
    <n v="0.11"/>
    <n v="3249.89"/>
    <n v="3651.56"/>
    <n v="401.67000000000007"/>
    <n v="3249.89"/>
    <s v="Credit Card"/>
    <x v="0"/>
    <x v="0"/>
    <x v="0"/>
  </r>
  <r>
    <x v="1373"/>
    <x v="152"/>
    <s v="Maharashtra"/>
    <x v="1"/>
    <x v="1"/>
    <x v="14"/>
    <n v="1"/>
    <n v="2047.94"/>
    <n v="0.09"/>
    <n v="1863.63"/>
    <n v="2047.94"/>
    <n v="184.30999999999995"/>
    <n v="1863.63"/>
    <s v="Debit Card"/>
    <x v="0"/>
    <x v="2"/>
    <x v="0"/>
  </r>
  <r>
    <x v="1374"/>
    <x v="169"/>
    <s v="Delhi"/>
    <x v="2"/>
    <x v="2"/>
    <x v="5"/>
    <n v="1"/>
    <n v="3317.39"/>
    <n v="0.24"/>
    <n v="2521.2199999999998"/>
    <n v="3317.39"/>
    <n v="796.17000000000007"/>
    <n v="2521.2199999999998"/>
    <s v="Credit Card"/>
    <x v="1"/>
    <x v="1"/>
    <x v="0"/>
  </r>
  <r>
    <x v="1375"/>
    <x v="40"/>
    <s v="Maharashtra"/>
    <x v="0"/>
    <x v="3"/>
    <x v="9"/>
    <n v="2"/>
    <n v="3479.41"/>
    <n v="0.2"/>
    <n v="5567.06"/>
    <n v="6958.82"/>
    <n v="1391.7599999999993"/>
    <n v="5567.06"/>
    <s v="UPI"/>
    <x v="0"/>
    <x v="0"/>
    <x v="1"/>
  </r>
  <r>
    <x v="1376"/>
    <x v="106"/>
    <s v="Delhi"/>
    <x v="3"/>
    <x v="2"/>
    <x v="5"/>
    <n v="3"/>
    <n v="533.24"/>
    <n v="0.09"/>
    <n v="1455.75"/>
    <n v="1599.72"/>
    <n v="143.97000000000003"/>
    <n v="1455.75"/>
    <s v="Credit Card"/>
    <x v="2"/>
    <x v="1"/>
    <x v="0"/>
  </r>
  <r>
    <x v="1377"/>
    <x v="122"/>
    <s v="Karnataka"/>
    <x v="2"/>
    <x v="4"/>
    <x v="16"/>
    <n v="2"/>
    <n v="2943.04"/>
    <n v="0.09"/>
    <n v="5356.33"/>
    <n v="5886.08"/>
    <n v="529.75"/>
    <n v="5356.33"/>
    <s v="UPI"/>
    <x v="2"/>
    <x v="1"/>
    <x v="0"/>
  </r>
  <r>
    <x v="1378"/>
    <x v="153"/>
    <s v="Karnataka"/>
    <x v="1"/>
    <x v="2"/>
    <x v="5"/>
    <n v="5"/>
    <n v="1340.68"/>
    <n v="0.03"/>
    <n v="6502.3"/>
    <n v="6703.4000000000005"/>
    <n v="201.10000000000036"/>
    <n v="6502.3"/>
    <s v="Net Banking"/>
    <x v="0"/>
    <x v="1"/>
    <x v="0"/>
  </r>
  <r>
    <x v="1379"/>
    <x v="144"/>
    <s v="Maharashtra"/>
    <x v="3"/>
    <x v="1"/>
    <x v="10"/>
    <n v="2"/>
    <n v="3034.08"/>
    <n v="0.14000000000000001"/>
    <n v="5218.62"/>
    <n v="6068.16"/>
    <n v="849.54"/>
    <n v="5218.62"/>
    <s v="UPI"/>
    <x v="1"/>
    <x v="0"/>
    <x v="1"/>
  </r>
  <r>
    <x v="1380"/>
    <x v="25"/>
    <s v="Delhi"/>
    <x v="0"/>
    <x v="1"/>
    <x v="10"/>
    <n v="4"/>
    <n v="4415.54"/>
    <n v="0.25"/>
    <n v="13246.62"/>
    <n v="17662.16"/>
    <n v="4415.5399999999991"/>
    <n v="13246.62"/>
    <s v="Net Banking"/>
    <x v="0"/>
    <x v="0"/>
    <x v="0"/>
  </r>
  <r>
    <x v="1381"/>
    <x v="143"/>
    <s v="Karnataka"/>
    <x v="1"/>
    <x v="1"/>
    <x v="13"/>
    <n v="2"/>
    <n v="3724.59"/>
    <n v="0.17"/>
    <n v="6182.82"/>
    <n v="7449.18"/>
    <n v="1266.3600000000006"/>
    <n v="6182.82"/>
    <s v="COD"/>
    <x v="1"/>
    <x v="1"/>
    <x v="0"/>
  </r>
  <r>
    <x v="1382"/>
    <x v="91"/>
    <s v="Gujarat"/>
    <x v="3"/>
    <x v="4"/>
    <x v="18"/>
    <n v="5"/>
    <n v="1820.56"/>
    <n v="0.1"/>
    <n v="8192.52"/>
    <n v="9102.7999999999993"/>
    <n v="910.27999999999884"/>
    <n v="8192.52"/>
    <s v="Net Banking"/>
    <x v="0"/>
    <x v="2"/>
    <x v="0"/>
  </r>
  <r>
    <x v="1383"/>
    <x v="28"/>
    <s v="Delhi"/>
    <x v="2"/>
    <x v="2"/>
    <x v="11"/>
    <n v="1"/>
    <n v="2526.4899999999998"/>
    <n v="0.23"/>
    <n v="1945.4"/>
    <n v="2526.4899999999998"/>
    <n v="581.08999999999969"/>
    <n v="1945.4"/>
    <s v="Credit Card"/>
    <x v="1"/>
    <x v="0"/>
    <x v="0"/>
  </r>
  <r>
    <x v="1384"/>
    <x v="159"/>
    <s v="Delhi"/>
    <x v="0"/>
    <x v="2"/>
    <x v="6"/>
    <n v="1"/>
    <n v="4762.6000000000004"/>
    <n v="0.05"/>
    <n v="4524.47"/>
    <n v="4762.6000000000004"/>
    <n v="238.13000000000011"/>
    <n v="4524.47"/>
    <s v="COD"/>
    <x v="1"/>
    <x v="2"/>
    <x v="0"/>
  </r>
  <r>
    <x v="1385"/>
    <x v="100"/>
    <s v="Maharashtra"/>
    <x v="1"/>
    <x v="3"/>
    <x v="12"/>
    <n v="4"/>
    <n v="4759.96"/>
    <n v="0.11"/>
    <n v="16945.46"/>
    <n v="19039.84"/>
    <n v="2094.380000000001"/>
    <n v="16945.46"/>
    <s v="Credit Card"/>
    <x v="2"/>
    <x v="1"/>
    <x v="0"/>
  </r>
  <r>
    <x v="1386"/>
    <x v="118"/>
    <s v="Karnataka"/>
    <x v="0"/>
    <x v="1"/>
    <x v="1"/>
    <n v="2"/>
    <n v="1588.55"/>
    <n v="0.15"/>
    <n v="2700.53"/>
    <n v="3177.1"/>
    <n v="476.56999999999971"/>
    <n v="2700.53"/>
    <s v="Net Banking"/>
    <x v="2"/>
    <x v="1"/>
    <x v="0"/>
  </r>
  <r>
    <x v="1387"/>
    <x v="70"/>
    <s v="Karnataka"/>
    <x v="0"/>
    <x v="0"/>
    <x v="3"/>
    <n v="3"/>
    <n v="3533.09"/>
    <n v="0.22"/>
    <n v="8267.43"/>
    <n v="10599.27"/>
    <n v="2331.84"/>
    <n v="8267.43"/>
    <s v="UPI"/>
    <x v="0"/>
    <x v="1"/>
    <x v="0"/>
  </r>
  <r>
    <x v="1388"/>
    <x v="136"/>
    <s v="Tamil Nadu"/>
    <x v="1"/>
    <x v="1"/>
    <x v="1"/>
    <n v="1"/>
    <n v="4817.5600000000004"/>
    <n v="0.19"/>
    <n v="3902.22"/>
    <n v="4817.5600000000004"/>
    <n v="915.3400000000006"/>
    <n v="3902.22"/>
    <s v="Credit Card"/>
    <x v="2"/>
    <x v="2"/>
    <x v="0"/>
  </r>
  <r>
    <x v="1389"/>
    <x v="104"/>
    <s v="Delhi"/>
    <x v="0"/>
    <x v="0"/>
    <x v="0"/>
    <n v="4"/>
    <n v="3770.36"/>
    <n v="0.06"/>
    <n v="14176.55"/>
    <n v="15081.44"/>
    <n v="904.89000000000124"/>
    <n v="14176.55"/>
    <s v="Credit Card"/>
    <x v="2"/>
    <x v="1"/>
    <x v="0"/>
  </r>
  <r>
    <x v="1390"/>
    <x v="105"/>
    <s v="Delhi"/>
    <x v="0"/>
    <x v="1"/>
    <x v="14"/>
    <n v="1"/>
    <n v="150.44"/>
    <n v="0.03"/>
    <n v="145.93"/>
    <n v="150.44"/>
    <n v="4.5099999999999909"/>
    <n v="145.93"/>
    <s v="COD"/>
    <x v="2"/>
    <x v="0"/>
    <x v="1"/>
  </r>
  <r>
    <x v="1391"/>
    <x v="153"/>
    <s v="Gujarat"/>
    <x v="0"/>
    <x v="2"/>
    <x v="7"/>
    <n v="3"/>
    <n v="3515.94"/>
    <n v="0.1"/>
    <n v="9493.0400000000009"/>
    <n v="10547.82"/>
    <n v="1054.7799999999988"/>
    <n v="9493.0400000000009"/>
    <s v="Debit Card"/>
    <x v="2"/>
    <x v="0"/>
    <x v="0"/>
  </r>
  <r>
    <x v="1392"/>
    <x v="173"/>
    <s v="Delhi"/>
    <x v="0"/>
    <x v="0"/>
    <x v="3"/>
    <n v="2"/>
    <n v="295.10000000000002"/>
    <n v="0.15"/>
    <n v="501.67"/>
    <n v="590.20000000000005"/>
    <n v="88.53000000000003"/>
    <n v="501.67"/>
    <s v="Net Banking"/>
    <x v="2"/>
    <x v="1"/>
    <x v="0"/>
  </r>
  <r>
    <x v="1393"/>
    <x v="155"/>
    <s v="Tamil Nadu"/>
    <x v="3"/>
    <x v="0"/>
    <x v="4"/>
    <n v="1"/>
    <n v="1997.79"/>
    <n v="0.19"/>
    <n v="1618.21"/>
    <n v="1997.79"/>
    <n v="379.57999999999993"/>
    <n v="1618.21"/>
    <s v="Net Banking"/>
    <x v="0"/>
    <x v="0"/>
    <x v="3"/>
  </r>
  <r>
    <x v="1394"/>
    <x v="148"/>
    <s v="Delhi"/>
    <x v="0"/>
    <x v="0"/>
    <x v="2"/>
    <n v="5"/>
    <n v="4243.1400000000003"/>
    <n v="0.06"/>
    <n v="19942.759999999998"/>
    <n v="21215.7"/>
    <n v="1272.9400000000023"/>
    <n v="19942.759999999998"/>
    <s v="Debit Card"/>
    <x v="2"/>
    <x v="1"/>
    <x v="0"/>
  </r>
  <r>
    <x v="1395"/>
    <x v="83"/>
    <s v="Gujarat"/>
    <x v="0"/>
    <x v="3"/>
    <x v="12"/>
    <n v="4"/>
    <n v="2531.11"/>
    <n v="0.2"/>
    <n v="8099.55"/>
    <n v="10124.44"/>
    <n v="2024.8900000000003"/>
    <n v="8099.55"/>
    <s v="COD"/>
    <x v="0"/>
    <x v="1"/>
    <x v="0"/>
  </r>
  <r>
    <x v="1396"/>
    <x v="74"/>
    <s v="Tamil Nadu"/>
    <x v="0"/>
    <x v="4"/>
    <x v="19"/>
    <n v="3"/>
    <n v="2237.83"/>
    <n v="0.18"/>
    <n v="5505.06"/>
    <n v="6713.49"/>
    <n v="1208.4299999999994"/>
    <n v="5505.06"/>
    <s v="Net Banking"/>
    <x v="0"/>
    <x v="2"/>
    <x v="0"/>
  </r>
  <r>
    <x v="1397"/>
    <x v="123"/>
    <s v="Tamil Nadu"/>
    <x v="3"/>
    <x v="4"/>
    <x v="18"/>
    <n v="2"/>
    <n v="692.95"/>
    <n v="0.04"/>
    <n v="1330.46"/>
    <n v="1385.9"/>
    <n v="55.440000000000055"/>
    <n v="1330.46"/>
    <s v="COD"/>
    <x v="0"/>
    <x v="0"/>
    <x v="0"/>
  </r>
  <r>
    <x v="1398"/>
    <x v="68"/>
    <s v="Gujarat"/>
    <x v="1"/>
    <x v="2"/>
    <x v="6"/>
    <n v="1"/>
    <n v="4857.24"/>
    <n v="0.16"/>
    <n v="4080.08"/>
    <n v="4857.24"/>
    <n v="777.15999999999985"/>
    <n v="4080.08"/>
    <s v="UPI"/>
    <x v="2"/>
    <x v="0"/>
    <x v="0"/>
  </r>
  <r>
    <x v="1399"/>
    <x v="34"/>
    <s v="Delhi"/>
    <x v="0"/>
    <x v="0"/>
    <x v="4"/>
    <n v="2"/>
    <n v="3758.55"/>
    <n v="0.1"/>
    <n v="6765.39"/>
    <n v="7517.1"/>
    <n v="751.71"/>
    <n v="6765.39"/>
    <s v="Debit Card"/>
    <x v="2"/>
    <x v="1"/>
    <x v="0"/>
  </r>
  <r>
    <x v="1400"/>
    <x v="148"/>
    <s v="Gujarat"/>
    <x v="2"/>
    <x v="0"/>
    <x v="0"/>
    <n v="5"/>
    <n v="143.4"/>
    <n v="0.22"/>
    <n v="559.26"/>
    <n v="717"/>
    <n v="157.74"/>
    <n v="559.26"/>
    <s v="UPI"/>
    <x v="1"/>
    <x v="2"/>
    <x v="1"/>
  </r>
  <r>
    <x v="1401"/>
    <x v="155"/>
    <s v="Delhi"/>
    <x v="0"/>
    <x v="2"/>
    <x v="11"/>
    <n v="4"/>
    <n v="1149.2"/>
    <n v="0.04"/>
    <n v="4412.93"/>
    <n v="4596.8"/>
    <n v="183.86999999999989"/>
    <n v="4412.93"/>
    <s v="Net Banking"/>
    <x v="2"/>
    <x v="0"/>
    <x v="0"/>
  </r>
  <r>
    <x v="1402"/>
    <x v="175"/>
    <s v="Maharashtra"/>
    <x v="2"/>
    <x v="3"/>
    <x v="12"/>
    <n v="1"/>
    <n v="2874.17"/>
    <n v="0.06"/>
    <n v="2701.72"/>
    <n v="2874.17"/>
    <n v="172.45000000000027"/>
    <n v="2701.72"/>
    <s v="Net Banking"/>
    <x v="1"/>
    <x v="1"/>
    <x v="1"/>
  </r>
  <r>
    <x v="1403"/>
    <x v="95"/>
    <s v="Maharashtra"/>
    <x v="2"/>
    <x v="4"/>
    <x v="18"/>
    <n v="3"/>
    <n v="3925.1"/>
    <n v="0.01"/>
    <n v="11657.55"/>
    <n v="11775.3"/>
    <n v="117.75"/>
    <n v="11657.55"/>
    <s v="Net Banking"/>
    <x v="0"/>
    <x v="0"/>
    <x v="0"/>
  </r>
  <r>
    <x v="1404"/>
    <x v="165"/>
    <s v="Delhi"/>
    <x v="3"/>
    <x v="1"/>
    <x v="10"/>
    <n v="5"/>
    <n v="4454.8500000000004"/>
    <n v="0.16"/>
    <n v="18710.37"/>
    <n v="22274.25"/>
    <n v="3563.880000000001"/>
    <n v="18710.37"/>
    <s v="Net Banking"/>
    <x v="1"/>
    <x v="0"/>
    <x v="0"/>
  </r>
  <r>
    <x v="1405"/>
    <x v="65"/>
    <s v="Tamil Nadu"/>
    <x v="3"/>
    <x v="1"/>
    <x v="1"/>
    <n v="5"/>
    <n v="251.48"/>
    <n v="0.02"/>
    <n v="1232.25"/>
    <n v="1257.3999999999999"/>
    <n v="25.149999999999864"/>
    <n v="1232.25"/>
    <s v="Credit Card"/>
    <x v="2"/>
    <x v="2"/>
    <x v="3"/>
  </r>
  <r>
    <x v="1406"/>
    <x v="89"/>
    <s v="Karnataka"/>
    <x v="2"/>
    <x v="0"/>
    <x v="2"/>
    <n v="4"/>
    <n v="3285.82"/>
    <n v="0.25"/>
    <n v="9857.4599999999991"/>
    <n v="13143.28"/>
    <n v="3285.8200000000015"/>
    <n v="9857.4599999999991"/>
    <s v="Net Banking"/>
    <x v="2"/>
    <x v="1"/>
    <x v="3"/>
  </r>
  <r>
    <x v="1407"/>
    <x v="29"/>
    <s v="Karnataka"/>
    <x v="3"/>
    <x v="1"/>
    <x v="1"/>
    <n v="4"/>
    <n v="1991.86"/>
    <n v="0.22"/>
    <n v="6214.6"/>
    <n v="7967.44"/>
    <n v="1752.8399999999992"/>
    <n v="6214.6"/>
    <s v="Net Banking"/>
    <x v="1"/>
    <x v="0"/>
    <x v="0"/>
  </r>
  <r>
    <x v="1408"/>
    <x v="32"/>
    <s v="Karnataka"/>
    <x v="2"/>
    <x v="0"/>
    <x v="3"/>
    <n v="5"/>
    <n v="3193.69"/>
    <n v="0.06"/>
    <n v="15010.34"/>
    <n v="15968.45"/>
    <n v="958.11000000000058"/>
    <n v="15010.34"/>
    <s v="COD"/>
    <x v="1"/>
    <x v="1"/>
    <x v="1"/>
  </r>
  <r>
    <x v="1409"/>
    <x v="138"/>
    <s v="Karnataka"/>
    <x v="2"/>
    <x v="1"/>
    <x v="10"/>
    <n v="5"/>
    <n v="1037.21"/>
    <n v="0.24"/>
    <n v="3941.4"/>
    <n v="5186.05"/>
    <n v="1244.6500000000001"/>
    <n v="3941.4"/>
    <s v="UPI"/>
    <x v="0"/>
    <x v="2"/>
    <x v="0"/>
  </r>
  <r>
    <x v="1410"/>
    <x v="169"/>
    <s v="Karnataka"/>
    <x v="2"/>
    <x v="2"/>
    <x v="6"/>
    <n v="2"/>
    <n v="3864.74"/>
    <n v="0.22"/>
    <n v="6028.99"/>
    <n v="7729.48"/>
    <n v="1700.4899999999998"/>
    <n v="6028.99"/>
    <s v="COD"/>
    <x v="2"/>
    <x v="2"/>
    <x v="0"/>
  </r>
  <r>
    <x v="1411"/>
    <x v="69"/>
    <s v="Delhi"/>
    <x v="3"/>
    <x v="4"/>
    <x v="17"/>
    <n v="5"/>
    <n v="949.74"/>
    <n v="0.18"/>
    <n v="3893.93"/>
    <n v="4748.7"/>
    <n v="854.77"/>
    <n v="3893.93"/>
    <s v="Net Banking"/>
    <x v="1"/>
    <x v="1"/>
    <x v="0"/>
  </r>
  <r>
    <x v="1412"/>
    <x v="105"/>
    <s v="Tamil Nadu"/>
    <x v="1"/>
    <x v="4"/>
    <x v="16"/>
    <n v="4"/>
    <n v="2473.2800000000002"/>
    <n v="7.0000000000000007E-2"/>
    <n v="9200.6"/>
    <n v="9893.1200000000008"/>
    <n v="692.52000000000044"/>
    <n v="9200.6"/>
    <s v="UPI"/>
    <x v="0"/>
    <x v="0"/>
    <x v="0"/>
  </r>
  <r>
    <x v="1413"/>
    <x v="88"/>
    <s v="Gujarat"/>
    <x v="0"/>
    <x v="3"/>
    <x v="9"/>
    <n v="1"/>
    <n v="4835.92"/>
    <n v="0.2"/>
    <n v="3868.74"/>
    <n v="4835.92"/>
    <n v="967.18000000000029"/>
    <n v="3868.74"/>
    <s v="Credit Card"/>
    <x v="2"/>
    <x v="1"/>
    <x v="0"/>
  </r>
  <r>
    <x v="1414"/>
    <x v="180"/>
    <s v="Tamil Nadu"/>
    <x v="0"/>
    <x v="4"/>
    <x v="18"/>
    <n v="3"/>
    <n v="2604.48"/>
    <n v="0.11"/>
    <n v="6953.96"/>
    <n v="7813.4400000000005"/>
    <n v="859.48000000000047"/>
    <n v="6953.96"/>
    <s v="COD"/>
    <x v="1"/>
    <x v="1"/>
    <x v="2"/>
  </r>
  <r>
    <x v="1415"/>
    <x v="83"/>
    <s v="Tamil Nadu"/>
    <x v="0"/>
    <x v="2"/>
    <x v="7"/>
    <n v="3"/>
    <n v="685.28"/>
    <n v="0.05"/>
    <n v="1953.05"/>
    <n v="2055.84"/>
    <n v="102.79000000000019"/>
    <n v="1953.05"/>
    <s v="Net Banking"/>
    <x v="2"/>
    <x v="1"/>
    <x v="0"/>
  </r>
  <r>
    <x v="1416"/>
    <x v="117"/>
    <s v="Maharashtra"/>
    <x v="1"/>
    <x v="0"/>
    <x v="2"/>
    <n v="3"/>
    <n v="724.37"/>
    <n v="0.02"/>
    <n v="2129.65"/>
    <n v="2173.11"/>
    <n v="43.460000000000036"/>
    <n v="2129.65"/>
    <s v="COD"/>
    <x v="1"/>
    <x v="0"/>
    <x v="0"/>
  </r>
  <r>
    <x v="1417"/>
    <x v="67"/>
    <s v="Maharashtra"/>
    <x v="3"/>
    <x v="1"/>
    <x v="13"/>
    <n v="5"/>
    <n v="3625.9"/>
    <n v="7.0000000000000007E-2"/>
    <n v="16860.43"/>
    <n v="18129.5"/>
    <n v="1269.0699999999997"/>
    <n v="16860.43"/>
    <s v="Credit Card"/>
    <x v="2"/>
    <x v="2"/>
    <x v="0"/>
  </r>
  <r>
    <x v="1418"/>
    <x v="157"/>
    <s v="Gujarat"/>
    <x v="3"/>
    <x v="1"/>
    <x v="1"/>
    <n v="2"/>
    <n v="212.47"/>
    <n v="0.15"/>
    <n v="361.2"/>
    <n v="424.94"/>
    <n v="63.740000000000009"/>
    <n v="361.2"/>
    <s v="UPI"/>
    <x v="0"/>
    <x v="2"/>
    <x v="3"/>
  </r>
  <r>
    <x v="1419"/>
    <x v="60"/>
    <s v="Gujarat"/>
    <x v="1"/>
    <x v="2"/>
    <x v="11"/>
    <n v="2"/>
    <n v="546.77"/>
    <n v="0.19"/>
    <n v="885.77"/>
    <n v="1093.54"/>
    <n v="207.76999999999998"/>
    <n v="885.77"/>
    <s v="COD"/>
    <x v="0"/>
    <x v="1"/>
    <x v="0"/>
  </r>
  <r>
    <x v="1420"/>
    <x v="149"/>
    <s v="Delhi"/>
    <x v="2"/>
    <x v="3"/>
    <x v="15"/>
    <n v="5"/>
    <n v="911.65"/>
    <n v="0.04"/>
    <n v="4375.92"/>
    <n v="4558.25"/>
    <n v="182.32999999999993"/>
    <n v="4375.92"/>
    <s v="Debit Card"/>
    <x v="2"/>
    <x v="2"/>
    <x v="0"/>
  </r>
  <r>
    <x v="1421"/>
    <x v="182"/>
    <s v="Tamil Nadu"/>
    <x v="1"/>
    <x v="3"/>
    <x v="9"/>
    <n v="4"/>
    <n v="2286.21"/>
    <n v="0.06"/>
    <n v="8596.15"/>
    <n v="9144.84"/>
    <n v="548.69000000000051"/>
    <n v="8596.15"/>
    <s v="COD"/>
    <x v="1"/>
    <x v="2"/>
    <x v="0"/>
  </r>
  <r>
    <x v="1422"/>
    <x v="119"/>
    <s v="Tamil Nadu"/>
    <x v="1"/>
    <x v="2"/>
    <x v="11"/>
    <n v="1"/>
    <n v="2752.2"/>
    <n v="7.0000000000000007E-2"/>
    <n v="2559.5500000000002"/>
    <n v="2752.2"/>
    <n v="192.64999999999964"/>
    <n v="2559.5500000000002"/>
    <s v="COD"/>
    <x v="2"/>
    <x v="0"/>
    <x v="0"/>
  </r>
  <r>
    <x v="1423"/>
    <x v="94"/>
    <s v="Karnataka"/>
    <x v="3"/>
    <x v="1"/>
    <x v="1"/>
    <n v="5"/>
    <n v="3116.63"/>
    <n v="0.21"/>
    <n v="12310.69"/>
    <n v="15583.150000000001"/>
    <n v="3272.4600000000009"/>
    <n v="12310.69"/>
    <s v="Credit Card"/>
    <x v="2"/>
    <x v="0"/>
    <x v="0"/>
  </r>
  <r>
    <x v="1424"/>
    <x v="30"/>
    <s v="Delhi"/>
    <x v="2"/>
    <x v="0"/>
    <x v="3"/>
    <n v="2"/>
    <n v="1639.64"/>
    <n v="0.1"/>
    <n v="2951.35"/>
    <n v="3279.28"/>
    <n v="327.93000000000029"/>
    <n v="2951.35"/>
    <s v="Net Banking"/>
    <x v="0"/>
    <x v="2"/>
    <x v="1"/>
  </r>
  <r>
    <x v="1425"/>
    <x v="11"/>
    <s v="Maharashtra"/>
    <x v="2"/>
    <x v="2"/>
    <x v="5"/>
    <n v="1"/>
    <n v="2316"/>
    <n v="0.2"/>
    <n v="1852.8"/>
    <n v="2316"/>
    <n v="463.20000000000005"/>
    <n v="1852.8"/>
    <s v="COD"/>
    <x v="0"/>
    <x v="1"/>
    <x v="0"/>
  </r>
  <r>
    <x v="1426"/>
    <x v="49"/>
    <s v="Tamil Nadu"/>
    <x v="2"/>
    <x v="0"/>
    <x v="3"/>
    <n v="1"/>
    <n v="2243.08"/>
    <n v="0.09"/>
    <n v="2041.2"/>
    <n v="2243.08"/>
    <n v="201.87999999999988"/>
    <n v="2041.2"/>
    <s v="Net Banking"/>
    <x v="2"/>
    <x v="1"/>
    <x v="1"/>
  </r>
  <r>
    <x v="1427"/>
    <x v="178"/>
    <s v="Delhi"/>
    <x v="0"/>
    <x v="4"/>
    <x v="18"/>
    <n v="5"/>
    <n v="3260.54"/>
    <n v="0.15"/>
    <n v="13857.3"/>
    <n v="16302.7"/>
    <n v="2445.4000000000015"/>
    <n v="13857.3"/>
    <s v="Debit Card"/>
    <x v="0"/>
    <x v="2"/>
    <x v="2"/>
  </r>
  <r>
    <x v="1428"/>
    <x v="86"/>
    <s v="Delhi"/>
    <x v="2"/>
    <x v="4"/>
    <x v="19"/>
    <n v="2"/>
    <n v="552.65"/>
    <n v="0.17"/>
    <n v="917.4"/>
    <n v="1105.3"/>
    <n v="187.89999999999998"/>
    <n v="917.4"/>
    <s v="Credit Card"/>
    <x v="1"/>
    <x v="2"/>
    <x v="0"/>
  </r>
  <r>
    <x v="1429"/>
    <x v="156"/>
    <s v="Delhi"/>
    <x v="1"/>
    <x v="4"/>
    <x v="18"/>
    <n v="4"/>
    <n v="1464.72"/>
    <n v="0.23"/>
    <n v="4511.34"/>
    <n v="5858.88"/>
    <n v="1347.54"/>
    <n v="4511.34"/>
    <s v="UPI"/>
    <x v="0"/>
    <x v="2"/>
    <x v="0"/>
  </r>
  <r>
    <x v="1430"/>
    <x v="144"/>
    <s v="Delhi"/>
    <x v="3"/>
    <x v="1"/>
    <x v="13"/>
    <n v="1"/>
    <n v="2905.78"/>
    <n v="0.2"/>
    <n v="2324.62"/>
    <n v="2905.78"/>
    <n v="581.16000000000031"/>
    <n v="2324.62"/>
    <s v="Credit Card"/>
    <x v="1"/>
    <x v="0"/>
    <x v="0"/>
  </r>
  <r>
    <x v="1431"/>
    <x v="61"/>
    <s v="Delhi"/>
    <x v="2"/>
    <x v="2"/>
    <x v="5"/>
    <n v="2"/>
    <n v="3052.91"/>
    <n v="0.02"/>
    <n v="5983.7"/>
    <n v="6105.82"/>
    <n v="122.11999999999989"/>
    <n v="5983.7"/>
    <s v="Debit Card"/>
    <x v="0"/>
    <x v="2"/>
    <x v="3"/>
  </r>
  <r>
    <x v="1432"/>
    <x v="58"/>
    <s v="Tamil Nadu"/>
    <x v="0"/>
    <x v="3"/>
    <x v="8"/>
    <n v="2"/>
    <n v="848.32"/>
    <n v="0.23"/>
    <n v="1306.4100000000001"/>
    <n v="1696.64"/>
    <n v="390.23"/>
    <n v="1306.4100000000001"/>
    <s v="COD"/>
    <x v="2"/>
    <x v="2"/>
    <x v="0"/>
  </r>
  <r>
    <x v="1433"/>
    <x v="106"/>
    <s v="Gujarat"/>
    <x v="0"/>
    <x v="3"/>
    <x v="9"/>
    <n v="5"/>
    <n v="4484.71"/>
    <n v="0.1"/>
    <n v="20181.189999999999"/>
    <n v="22423.55"/>
    <n v="2242.3600000000006"/>
    <n v="20181.189999999999"/>
    <s v="Credit Card"/>
    <x v="1"/>
    <x v="2"/>
    <x v="0"/>
  </r>
  <r>
    <x v="1434"/>
    <x v="95"/>
    <s v="Gujarat"/>
    <x v="0"/>
    <x v="3"/>
    <x v="12"/>
    <n v="3"/>
    <n v="2365.79"/>
    <n v="0.11"/>
    <n v="6316.66"/>
    <n v="7097.37"/>
    <n v="780.71"/>
    <n v="6316.66"/>
    <s v="UPI"/>
    <x v="1"/>
    <x v="0"/>
    <x v="0"/>
  </r>
  <r>
    <x v="1435"/>
    <x v="109"/>
    <s v="Maharashtra"/>
    <x v="1"/>
    <x v="3"/>
    <x v="8"/>
    <n v="1"/>
    <n v="1507.29"/>
    <n v="0.13"/>
    <n v="1311.34"/>
    <n v="1507.29"/>
    <n v="195.95000000000005"/>
    <n v="1311.34"/>
    <s v="Net Banking"/>
    <x v="0"/>
    <x v="1"/>
    <x v="0"/>
  </r>
  <r>
    <x v="1436"/>
    <x v="143"/>
    <s v="Gujarat"/>
    <x v="1"/>
    <x v="2"/>
    <x v="5"/>
    <n v="5"/>
    <n v="3619.94"/>
    <n v="0.19"/>
    <n v="14660.76"/>
    <n v="18099.7"/>
    <n v="3438.9400000000005"/>
    <n v="14660.76"/>
    <s v="UPI"/>
    <x v="1"/>
    <x v="1"/>
    <x v="0"/>
  </r>
  <r>
    <x v="1437"/>
    <x v="32"/>
    <s v="Maharashtra"/>
    <x v="1"/>
    <x v="2"/>
    <x v="11"/>
    <n v="5"/>
    <n v="4974.1000000000004"/>
    <n v="0.21"/>
    <n v="19647.689999999999"/>
    <n v="24870.5"/>
    <n v="5222.8100000000013"/>
    <n v="19647.689999999999"/>
    <s v="Debit Card"/>
    <x v="0"/>
    <x v="2"/>
    <x v="0"/>
  </r>
  <r>
    <x v="1438"/>
    <x v="86"/>
    <s v="Maharashtra"/>
    <x v="3"/>
    <x v="4"/>
    <x v="17"/>
    <n v="2"/>
    <n v="3776.53"/>
    <n v="0.05"/>
    <n v="7175.41"/>
    <n v="7553.06"/>
    <n v="377.65000000000055"/>
    <n v="7175.41"/>
    <s v="UPI"/>
    <x v="2"/>
    <x v="0"/>
    <x v="0"/>
  </r>
  <r>
    <x v="1439"/>
    <x v="140"/>
    <s v="Karnataka"/>
    <x v="2"/>
    <x v="1"/>
    <x v="10"/>
    <n v="2"/>
    <n v="180.25"/>
    <n v="0.06"/>
    <n v="338.87"/>
    <n v="360.5"/>
    <n v="21.629999999999995"/>
    <n v="338.87"/>
    <s v="Net Banking"/>
    <x v="0"/>
    <x v="1"/>
    <x v="0"/>
  </r>
  <r>
    <x v="1440"/>
    <x v="46"/>
    <s v="Karnataka"/>
    <x v="0"/>
    <x v="2"/>
    <x v="5"/>
    <n v="2"/>
    <n v="2137.42"/>
    <n v="0.01"/>
    <n v="4232.09"/>
    <n v="4274.84"/>
    <n v="42.75"/>
    <n v="4232.09"/>
    <s v="Debit Card"/>
    <x v="2"/>
    <x v="2"/>
    <x v="0"/>
  </r>
  <r>
    <x v="1441"/>
    <x v="138"/>
    <s v="Tamil Nadu"/>
    <x v="1"/>
    <x v="0"/>
    <x v="2"/>
    <n v="4"/>
    <n v="482.81"/>
    <n v="7.0000000000000007E-2"/>
    <n v="1796.05"/>
    <n v="1931.24"/>
    <n v="135.19000000000005"/>
    <n v="1796.05"/>
    <s v="Net Banking"/>
    <x v="1"/>
    <x v="0"/>
    <x v="0"/>
  </r>
  <r>
    <x v="1442"/>
    <x v="151"/>
    <s v="Karnataka"/>
    <x v="3"/>
    <x v="2"/>
    <x v="7"/>
    <n v="3"/>
    <n v="4617.7299999999996"/>
    <n v="0.04"/>
    <n v="13299.06"/>
    <n v="13853.189999999999"/>
    <n v="554.1299999999992"/>
    <n v="13299.06"/>
    <s v="UPI"/>
    <x v="0"/>
    <x v="2"/>
    <x v="0"/>
  </r>
  <r>
    <x v="1443"/>
    <x v="131"/>
    <s v="Maharashtra"/>
    <x v="1"/>
    <x v="1"/>
    <x v="1"/>
    <n v="2"/>
    <n v="3190.31"/>
    <n v="0.09"/>
    <n v="5806.36"/>
    <n v="6380.62"/>
    <n v="574.26000000000022"/>
    <n v="5806.36"/>
    <s v="Credit Card"/>
    <x v="1"/>
    <x v="1"/>
    <x v="0"/>
  </r>
  <r>
    <x v="1444"/>
    <x v="165"/>
    <s v="Karnataka"/>
    <x v="0"/>
    <x v="1"/>
    <x v="14"/>
    <n v="3"/>
    <n v="1903.04"/>
    <n v="0.2"/>
    <n v="4567.3"/>
    <n v="5709.12"/>
    <n v="1141.8199999999997"/>
    <n v="4567.3"/>
    <s v="COD"/>
    <x v="2"/>
    <x v="0"/>
    <x v="1"/>
  </r>
  <r>
    <x v="1445"/>
    <x v="143"/>
    <s v="Gujarat"/>
    <x v="3"/>
    <x v="2"/>
    <x v="5"/>
    <n v="5"/>
    <n v="3670.46"/>
    <n v="0.14000000000000001"/>
    <n v="15782.98"/>
    <n v="18352.3"/>
    <n v="2569.3199999999997"/>
    <n v="15782.98"/>
    <s v="Credit Card"/>
    <x v="1"/>
    <x v="2"/>
    <x v="1"/>
  </r>
  <r>
    <x v="1446"/>
    <x v="59"/>
    <s v="Tamil Nadu"/>
    <x v="1"/>
    <x v="2"/>
    <x v="6"/>
    <n v="2"/>
    <n v="3834.33"/>
    <n v="0.05"/>
    <n v="7285.23"/>
    <n v="7668.66"/>
    <n v="383.43000000000029"/>
    <n v="7285.23"/>
    <s v="UPI"/>
    <x v="0"/>
    <x v="0"/>
    <x v="0"/>
  </r>
  <r>
    <x v="1447"/>
    <x v="35"/>
    <s v="Maharashtra"/>
    <x v="3"/>
    <x v="3"/>
    <x v="8"/>
    <n v="2"/>
    <n v="1053.02"/>
    <n v="0.14000000000000001"/>
    <n v="1811.19"/>
    <n v="2106.04"/>
    <n v="294.84999999999991"/>
    <n v="1811.19"/>
    <s v="UPI"/>
    <x v="0"/>
    <x v="1"/>
    <x v="0"/>
  </r>
  <r>
    <x v="1448"/>
    <x v="129"/>
    <s v="Delhi"/>
    <x v="0"/>
    <x v="1"/>
    <x v="1"/>
    <n v="2"/>
    <n v="4308.32"/>
    <n v="7.0000000000000007E-2"/>
    <n v="8013.48"/>
    <n v="8616.64"/>
    <n v="603.15999999999985"/>
    <n v="8013.48"/>
    <s v="Credit Card"/>
    <x v="0"/>
    <x v="1"/>
    <x v="0"/>
  </r>
  <r>
    <x v="1449"/>
    <x v="145"/>
    <s v="Maharashtra"/>
    <x v="2"/>
    <x v="3"/>
    <x v="15"/>
    <n v="4"/>
    <n v="4077.28"/>
    <n v="0.09"/>
    <n v="14841.3"/>
    <n v="16309.12"/>
    <n v="1467.8200000000015"/>
    <n v="14841.3"/>
    <s v="Credit Card"/>
    <x v="1"/>
    <x v="0"/>
    <x v="1"/>
  </r>
  <r>
    <x v="1450"/>
    <x v="16"/>
    <s v="Karnataka"/>
    <x v="3"/>
    <x v="4"/>
    <x v="17"/>
    <n v="5"/>
    <n v="2648.24"/>
    <n v="7.0000000000000007E-2"/>
    <n v="12314.32"/>
    <n v="13241.199999999999"/>
    <n v="926.8799999999992"/>
    <n v="12314.32"/>
    <s v="COD"/>
    <x v="0"/>
    <x v="0"/>
    <x v="0"/>
  </r>
  <r>
    <x v="1451"/>
    <x v="57"/>
    <s v="Tamil Nadu"/>
    <x v="0"/>
    <x v="0"/>
    <x v="3"/>
    <n v="5"/>
    <n v="1572.79"/>
    <n v="0.24"/>
    <n v="5976.6"/>
    <n v="7863.95"/>
    <n v="1887.3499999999995"/>
    <n v="5976.6"/>
    <s v="UPI"/>
    <x v="2"/>
    <x v="1"/>
    <x v="2"/>
  </r>
  <r>
    <x v="1452"/>
    <x v="78"/>
    <s v="Maharashtra"/>
    <x v="1"/>
    <x v="4"/>
    <x v="17"/>
    <n v="2"/>
    <n v="4237.99"/>
    <n v="0.05"/>
    <n v="8052.18"/>
    <n v="8475.98"/>
    <n v="423.79999999999927"/>
    <n v="8052.18"/>
    <s v="Debit Card"/>
    <x v="1"/>
    <x v="2"/>
    <x v="1"/>
  </r>
  <r>
    <x v="1453"/>
    <x v="158"/>
    <s v="Tamil Nadu"/>
    <x v="1"/>
    <x v="0"/>
    <x v="2"/>
    <n v="5"/>
    <n v="1722.94"/>
    <n v="0.02"/>
    <n v="8442.41"/>
    <n v="8614.7000000000007"/>
    <n v="172.29000000000087"/>
    <n v="8442.41"/>
    <s v="Net Banking"/>
    <x v="2"/>
    <x v="2"/>
    <x v="1"/>
  </r>
  <r>
    <x v="1454"/>
    <x v="133"/>
    <s v="Maharashtra"/>
    <x v="2"/>
    <x v="0"/>
    <x v="2"/>
    <n v="4"/>
    <n v="854.83"/>
    <n v="0.12"/>
    <n v="3009"/>
    <n v="3419.32"/>
    <n v="410.32000000000016"/>
    <n v="3009"/>
    <s v="Net Banking"/>
    <x v="2"/>
    <x v="2"/>
    <x v="1"/>
  </r>
  <r>
    <x v="1455"/>
    <x v="146"/>
    <s v="Delhi"/>
    <x v="2"/>
    <x v="0"/>
    <x v="2"/>
    <n v="4"/>
    <n v="2983.27"/>
    <n v="0.1"/>
    <n v="10739.77"/>
    <n v="11933.08"/>
    <n v="1193.3099999999995"/>
    <n v="10739.77"/>
    <s v="Net Banking"/>
    <x v="2"/>
    <x v="2"/>
    <x v="0"/>
  </r>
  <r>
    <x v="1456"/>
    <x v="38"/>
    <s v="Delhi"/>
    <x v="0"/>
    <x v="3"/>
    <x v="9"/>
    <n v="5"/>
    <n v="1946.55"/>
    <n v="0.02"/>
    <n v="9538.09"/>
    <n v="9732.75"/>
    <n v="194.65999999999985"/>
    <n v="9538.09"/>
    <s v="COD"/>
    <x v="2"/>
    <x v="2"/>
    <x v="3"/>
  </r>
  <r>
    <x v="1457"/>
    <x v="142"/>
    <s v="Gujarat"/>
    <x v="3"/>
    <x v="0"/>
    <x v="4"/>
    <n v="1"/>
    <n v="4678.43"/>
    <n v="0.2"/>
    <n v="3742.74"/>
    <n v="4678.43"/>
    <n v="935.69000000000051"/>
    <n v="3742.74"/>
    <s v="Net Banking"/>
    <x v="2"/>
    <x v="0"/>
    <x v="2"/>
  </r>
  <r>
    <x v="1458"/>
    <x v="138"/>
    <s v="Delhi"/>
    <x v="2"/>
    <x v="0"/>
    <x v="3"/>
    <n v="3"/>
    <n v="4920.1400000000003"/>
    <n v="0.09"/>
    <n v="13431.98"/>
    <n v="14760.420000000002"/>
    <n v="1328.4400000000023"/>
    <n v="13431.98"/>
    <s v="Credit Card"/>
    <x v="0"/>
    <x v="0"/>
    <x v="0"/>
  </r>
  <r>
    <x v="1459"/>
    <x v="116"/>
    <s v="Delhi"/>
    <x v="0"/>
    <x v="0"/>
    <x v="0"/>
    <n v="1"/>
    <n v="290.82"/>
    <n v="0.15"/>
    <n v="247.2"/>
    <n v="290.82"/>
    <n v="43.620000000000005"/>
    <n v="247.2"/>
    <s v="UPI"/>
    <x v="2"/>
    <x v="2"/>
    <x v="3"/>
  </r>
  <r>
    <x v="1460"/>
    <x v="54"/>
    <s v="Tamil Nadu"/>
    <x v="0"/>
    <x v="3"/>
    <x v="12"/>
    <n v="3"/>
    <n v="3007.51"/>
    <n v="0.15"/>
    <n v="7669.15"/>
    <n v="9022.5300000000007"/>
    <n v="1353.380000000001"/>
    <n v="7669.15"/>
    <s v="Net Banking"/>
    <x v="0"/>
    <x v="0"/>
    <x v="3"/>
  </r>
  <r>
    <x v="1461"/>
    <x v="155"/>
    <s v="Maharashtra"/>
    <x v="0"/>
    <x v="4"/>
    <x v="16"/>
    <n v="3"/>
    <n v="871.23"/>
    <n v="0.19"/>
    <n v="2117.09"/>
    <n v="2613.69"/>
    <n v="496.59999999999991"/>
    <n v="2117.09"/>
    <s v="Net Banking"/>
    <x v="1"/>
    <x v="0"/>
    <x v="0"/>
  </r>
  <r>
    <x v="1462"/>
    <x v="17"/>
    <s v="Maharashtra"/>
    <x v="2"/>
    <x v="3"/>
    <x v="9"/>
    <n v="2"/>
    <n v="3505.05"/>
    <n v="0.2"/>
    <n v="5608.08"/>
    <n v="7010.1"/>
    <n v="1402.0200000000004"/>
    <n v="5608.08"/>
    <s v="Net Banking"/>
    <x v="2"/>
    <x v="1"/>
    <x v="0"/>
  </r>
  <r>
    <x v="1463"/>
    <x v="6"/>
    <s v="Delhi"/>
    <x v="3"/>
    <x v="2"/>
    <x v="5"/>
    <n v="3"/>
    <n v="1131.68"/>
    <n v="0.12"/>
    <n v="2987.64"/>
    <n v="3395.04"/>
    <n v="407.40000000000009"/>
    <n v="2987.64"/>
    <s v="UPI"/>
    <x v="1"/>
    <x v="0"/>
    <x v="0"/>
  </r>
  <r>
    <x v="1464"/>
    <x v="84"/>
    <s v="Delhi"/>
    <x v="2"/>
    <x v="0"/>
    <x v="0"/>
    <n v="2"/>
    <n v="831.7"/>
    <n v="0.02"/>
    <n v="1630.13"/>
    <n v="1663.4"/>
    <n v="33.269999999999982"/>
    <n v="1630.13"/>
    <s v="Credit Card"/>
    <x v="2"/>
    <x v="1"/>
    <x v="0"/>
  </r>
  <r>
    <x v="1465"/>
    <x v="91"/>
    <s v="Tamil Nadu"/>
    <x v="3"/>
    <x v="2"/>
    <x v="5"/>
    <n v="5"/>
    <n v="3673.96"/>
    <n v="0.08"/>
    <n v="16900.22"/>
    <n v="18369.8"/>
    <n v="1469.5799999999981"/>
    <n v="16900.22"/>
    <s v="Credit Card"/>
    <x v="1"/>
    <x v="0"/>
    <x v="1"/>
  </r>
  <r>
    <x v="1466"/>
    <x v="117"/>
    <s v="Delhi"/>
    <x v="1"/>
    <x v="0"/>
    <x v="2"/>
    <n v="3"/>
    <n v="423.67"/>
    <n v="0.01"/>
    <n v="1258.3"/>
    <n v="1271.01"/>
    <n v="12.710000000000036"/>
    <n v="1258.3"/>
    <s v="Net Banking"/>
    <x v="0"/>
    <x v="1"/>
    <x v="0"/>
  </r>
  <r>
    <x v="1467"/>
    <x v="49"/>
    <s v="Tamil Nadu"/>
    <x v="1"/>
    <x v="2"/>
    <x v="5"/>
    <n v="2"/>
    <n v="4097.33"/>
    <n v="0.19"/>
    <n v="6637.67"/>
    <n v="8194.66"/>
    <n v="1556.9899999999998"/>
    <n v="6637.67"/>
    <s v="UPI"/>
    <x v="2"/>
    <x v="0"/>
    <x v="0"/>
  </r>
  <r>
    <x v="1468"/>
    <x v="117"/>
    <s v="Maharashtra"/>
    <x v="3"/>
    <x v="1"/>
    <x v="10"/>
    <n v="4"/>
    <n v="556.76"/>
    <n v="0.22"/>
    <n v="1737.09"/>
    <n v="2227.04"/>
    <n v="489.95000000000005"/>
    <n v="1737.09"/>
    <s v="Debit Card"/>
    <x v="2"/>
    <x v="1"/>
    <x v="0"/>
  </r>
  <r>
    <x v="1469"/>
    <x v="77"/>
    <s v="Gujarat"/>
    <x v="0"/>
    <x v="3"/>
    <x v="12"/>
    <n v="3"/>
    <n v="4545.8"/>
    <n v="0.18"/>
    <n v="11182.67"/>
    <n v="13637.400000000001"/>
    <n v="2454.7300000000014"/>
    <n v="11182.67"/>
    <s v="COD"/>
    <x v="2"/>
    <x v="1"/>
    <x v="3"/>
  </r>
  <r>
    <x v="1470"/>
    <x v="56"/>
    <s v="Gujarat"/>
    <x v="3"/>
    <x v="4"/>
    <x v="17"/>
    <n v="1"/>
    <n v="612.53"/>
    <n v="0.19"/>
    <n v="496.15"/>
    <n v="612.53"/>
    <n v="116.38"/>
    <n v="496.15"/>
    <s v="UPI"/>
    <x v="2"/>
    <x v="0"/>
    <x v="0"/>
  </r>
  <r>
    <x v="1471"/>
    <x v="108"/>
    <s v="Gujarat"/>
    <x v="0"/>
    <x v="4"/>
    <x v="17"/>
    <n v="5"/>
    <n v="3101.07"/>
    <n v="0.15"/>
    <n v="13179.55"/>
    <n v="15505.35"/>
    <n v="2325.8000000000011"/>
    <n v="13179.55"/>
    <s v="Net Banking"/>
    <x v="1"/>
    <x v="1"/>
    <x v="0"/>
  </r>
  <r>
    <x v="1472"/>
    <x v="95"/>
    <s v="Gujarat"/>
    <x v="0"/>
    <x v="1"/>
    <x v="1"/>
    <n v="3"/>
    <n v="1729.77"/>
    <n v="0.1"/>
    <n v="4670.38"/>
    <n v="5189.3099999999995"/>
    <n v="518.92999999999938"/>
    <n v="4670.38"/>
    <s v="Net Banking"/>
    <x v="0"/>
    <x v="0"/>
    <x v="0"/>
  </r>
  <r>
    <x v="1473"/>
    <x v="75"/>
    <s v="Gujarat"/>
    <x v="2"/>
    <x v="2"/>
    <x v="5"/>
    <n v="3"/>
    <n v="4190.53"/>
    <n v="0.06"/>
    <n v="11817.29"/>
    <n v="12571.59"/>
    <n v="754.29999999999927"/>
    <n v="11817.29"/>
    <s v="COD"/>
    <x v="0"/>
    <x v="1"/>
    <x v="1"/>
  </r>
  <r>
    <x v="1474"/>
    <x v="24"/>
    <s v="Gujarat"/>
    <x v="1"/>
    <x v="0"/>
    <x v="4"/>
    <n v="3"/>
    <n v="121"/>
    <n v="0.06"/>
    <n v="341.22"/>
    <n v="363"/>
    <n v="21.779999999999973"/>
    <n v="341.22"/>
    <s v="UPI"/>
    <x v="2"/>
    <x v="2"/>
    <x v="0"/>
  </r>
  <r>
    <x v="1475"/>
    <x v="55"/>
    <s v="Maharashtra"/>
    <x v="0"/>
    <x v="0"/>
    <x v="3"/>
    <n v="5"/>
    <n v="4090.68"/>
    <n v="0.14000000000000001"/>
    <n v="17589.919999999998"/>
    <n v="20453.399999999998"/>
    <n v="2863.4799999999996"/>
    <n v="17589.919999999998"/>
    <s v="Credit Card"/>
    <x v="2"/>
    <x v="1"/>
    <x v="0"/>
  </r>
  <r>
    <x v="1476"/>
    <x v="20"/>
    <s v="Tamil Nadu"/>
    <x v="3"/>
    <x v="4"/>
    <x v="19"/>
    <n v="5"/>
    <n v="3340.31"/>
    <n v="7.0000000000000007E-2"/>
    <n v="15532.44"/>
    <n v="16701.55"/>
    <n v="1169.1099999999988"/>
    <n v="15532.44"/>
    <s v="COD"/>
    <x v="0"/>
    <x v="2"/>
    <x v="1"/>
  </r>
  <r>
    <x v="1477"/>
    <x v="26"/>
    <s v="Delhi"/>
    <x v="3"/>
    <x v="2"/>
    <x v="6"/>
    <n v="2"/>
    <n v="169.64"/>
    <n v="0.11"/>
    <n v="301.95999999999998"/>
    <n v="339.28"/>
    <n v="37.319999999999993"/>
    <n v="301.95999999999998"/>
    <s v="COD"/>
    <x v="1"/>
    <x v="1"/>
    <x v="1"/>
  </r>
  <r>
    <x v="1478"/>
    <x v="4"/>
    <s v="Delhi"/>
    <x v="3"/>
    <x v="0"/>
    <x v="0"/>
    <n v="3"/>
    <n v="3391.87"/>
    <n v="0.1"/>
    <n v="9158.0499999999993"/>
    <n v="10175.61"/>
    <n v="1017.5600000000013"/>
    <n v="9158.0499999999993"/>
    <s v="UPI"/>
    <x v="0"/>
    <x v="1"/>
    <x v="0"/>
  </r>
  <r>
    <x v="1479"/>
    <x v="178"/>
    <s v="Karnataka"/>
    <x v="0"/>
    <x v="4"/>
    <x v="19"/>
    <n v="5"/>
    <n v="3231.21"/>
    <n v="0.02"/>
    <n v="15832.93"/>
    <n v="16156.05"/>
    <n v="323.11999999999898"/>
    <n v="15832.93"/>
    <s v="UPI"/>
    <x v="1"/>
    <x v="2"/>
    <x v="1"/>
  </r>
  <r>
    <x v="1480"/>
    <x v="162"/>
    <s v="Maharashtra"/>
    <x v="1"/>
    <x v="0"/>
    <x v="4"/>
    <n v="1"/>
    <n v="3848.01"/>
    <n v="0.08"/>
    <n v="3540.17"/>
    <n v="3848.01"/>
    <n v="307.84000000000015"/>
    <n v="3540.17"/>
    <s v="UPI"/>
    <x v="0"/>
    <x v="0"/>
    <x v="0"/>
  </r>
  <r>
    <x v="1481"/>
    <x v="163"/>
    <s v="Maharashtra"/>
    <x v="2"/>
    <x v="2"/>
    <x v="6"/>
    <n v="3"/>
    <n v="964.35"/>
    <n v="0.2"/>
    <n v="2314.44"/>
    <n v="2893.05"/>
    <n v="578.61000000000013"/>
    <n v="2314.44"/>
    <s v="UPI"/>
    <x v="0"/>
    <x v="0"/>
    <x v="0"/>
  </r>
  <r>
    <x v="1482"/>
    <x v="153"/>
    <s v="Maharashtra"/>
    <x v="3"/>
    <x v="1"/>
    <x v="13"/>
    <n v="3"/>
    <n v="885.67"/>
    <n v="0.2"/>
    <n v="2125.61"/>
    <n v="2657.0099999999998"/>
    <n v="531.39999999999964"/>
    <n v="2125.61"/>
    <s v="Debit Card"/>
    <x v="0"/>
    <x v="0"/>
    <x v="0"/>
  </r>
  <r>
    <x v="1483"/>
    <x v="5"/>
    <s v="Karnataka"/>
    <x v="3"/>
    <x v="4"/>
    <x v="19"/>
    <n v="1"/>
    <n v="4055.65"/>
    <n v="0.19"/>
    <n v="3285.08"/>
    <n v="4055.65"/>
    <n v="770.57000000000016"/>
    <n v="3285.08"/>
    <s v="Net Banking"/>
    <x v="2"/>
    <x v="1"/>
    <x v="0"/>
  </r>
  <r>
    <x v="1484"/>
    <x v="69"/>
    <s v="Gujarat"/>
    <x v="1"/>
    <x v="1"/>
    <x v="14"/>
    <n v="2"/>
    <n v="4189.1000000000004"/>
    <n v="0.23"/>
    <n v="6451.21"/>
    <n v="8378.2000000000007"/>
    <n v="1926.9900000000007"/>
    <n v="6451.21"/>
    <s v="Credit Card"/>
    <x v="1"/>
    <x v="1"/>
    <x v="0"/>
  </r>
  <r>
    <x v="1485"/>
    <x v="54"/>
    <s v="Maharashtra"/>
    <x v="2"/>
    <x v="4"/>
    <x v="16"/>
    <n v="2"/>
    <n v="118.24"/>
    <n v="0.09"/>
    <n v="215.2"/>
    <n v="236.48"/>
    <n v="21.28"/>
    <n v="215.2"/>
    <s v="Credit Card"/>
    <x v="2"/>
    <x v="0"/>
    <x v="0"/>
  </r>
  <r>
    <x v="1486"/>
    <x v="176"/>
    <s v="Karnataka"/>
    <x v="0"/>
    <x v="2"/>
    <x v="7"/>
    <n v="2"/>
    <n v="4230.8100000000004"/>
    <n v="0.15"/>
    <n v="7192.38"/>
    <n v="8461.6200000000008"/>
    <n v="1269.2400000000007"/>
    <n v="7192.38"/>
    <s v="Net Banking"/>
    <x v="0"/>
    <x v="0"/>
    <x v="0"/>
  </r>
  <r>
    <x v="1487"/>
    <x v="112"/>
    <s v="Gujarat"/>
    <x v="2"/>
    <x v="2"/>
    <x v="5"/>
    <n v="3"/>
    <n v="686.79"/>
    <n v="0.2"/>
    <n v="1648.3"/>
    <n v="2060.37"/>
    <n v="412.06999999999994"/>
    <n v="1648.3"/>
    <s v="COD"/>
    <x v="1"/>
    <x v="0"/>
    <x v="0"/>
  </r>
  <r>
    <x v="1488"/>
    <x v="63"/>
    <s v="Karnataka"/>
    <x v="2"/>
    <x v="1"/>
    <x v="14"/>
    <n v="1"/>
    <n v="4701.34"/>
    <n v="0.17"/>
    <n v="3902.11"/>
    <n v="4701.34"/>
    <n v="799.23"/>
    <n v="3902.11"/>
    <s v="Credit Card"/>
    <x v="0"/>
    <x v="2"/>
    <x v="3"/>
  </r>
  <r>
    <x v="1489"/>
    <x v="52"/>
    <s v="Karnataka"/>
    <x v="2"/>
    <x v="3"/>
    <x v="9"/>
    <n v="5"/>
    <n v="1882.55"/>
    <n v="0.12"/>
    <n v="8283.2199999999993"/>
    <n v="9412.75"/>
    <n v="1129.5300000000007"/>
    <n v="8283.2199999999993"/>
    <s v="Net Banking"/>
    <x v="0"/>
    <x v="0"/>
    <x v="0"/>
  </r>
  <r>
    <x v="1490"/>
    <x v="21"/>
    <s v="Karnataka"/>
    <x v="0"/>
    <x v="0"/>
    <x v="2"/>
    <n v="1"/>
    <n v="4360.57"/>
    <n v="0.23"/>
    <n v="3357.64"/>
    <n v="4360.57"/>
    <n v="1002.9299999999998"/>
    <n v="3357.64"/>
    <s v="Debit Card"/>
    <x v="1"/>
    <x v="0"/>
    <x v="0"/>
  </r>
  <r>
    <x v="1491"/>
    <x v="20"/>
    <s v="Karnataka"/>
    <x v="3"/>
    <x v="0"/>
    <x v="2"/>
    <n v="2"/>
    <n v="2924.42"/>
    <n v="0.15"/>
    <n v="4971.51"/>
    <n v="5848.84"/>
    <n v="877.32999999999993"/>
    <n v="4971.51"/>
    <s v="UPI"/>
    <x v="0"/>
    <x v="2"/>
    <x v="0"/>
  </r>
  <r>
    <x v="1492"/>
    <x v="97"/>
    <s v="Gujarat"/>
    <x v="0"/>
    <x v="4"/>
    <x v="19"/>
    <n v="5"/>
    <n v="1556.31"/>
    <n v="0.14000000000000001"/>
    <n v="6692.13"/>
    <n v="7781.5499999999993"/>
    <n v="1089.4199999999992"/>
    <n v="6692.13"/>
    <s v="COD"/>
    <x v="1"/>
    <x v="1"/>
    <x v="1"/>
  </r>
  <r>
    <x v="1493"/>
    <x v="93"/>
    <s v="Tamil Nadu"/>
    <x v="0"/>
    <x v="0"/>
    <x v="2"/>
    <n v="3"/>
    <n v="1418.34"/>
    <n v="0.01"/>
    <n v="4212.47"/>
    <n v="4255.0199999999995"/>
    <n v="42.549999999999272"/>
    <n v="4212.47"/>
    <s v="Credit Card"/>
    <x v="1"/>
    <x v="2"/>
    <x v="1"/>
  </r>
  <r>
    <x v="1494"/>
    <x v="103"/>
    <s v="Maharashtra"/>
    <x v="2"/>
    <x v="1"/>
    <x v="13"/>
    <n v="4"/>
    <n v="4066.55"/>
    <n v="0.1"/>
    <n v="14639.58"/>
    <n v="16266.2"/>
    <n v="1626.6200000000008"/>
    <n v="14639.58"/>
    <s v="Net Banking"/>
    <x v="0"/>
    <x v="2"/>
    <x v="0"/>
  </r>
  <r>
    <x v="1495"/>
    <x v="60"/>
    <s v="Maharashtra"/>
    <x v="0"/>
    <x v="1"/>
    <x v="10"/>
    <n v="2"/>
    <n v="3277.58"/>
    <n v="0.14000000000000001"/>
    <n v="5637.44"/>
    <n v="6555.16"/>
    <n v="917.72000000000025"/>
    <n v="5637.44"/>
    <s v="UPI"/>
    <x v="0"/>
    <x v="2"/>
    <x v="0"/>
  </r>
  <r>
    <x v="1496"/>
    <x v="64"/>
    <s v="Gujarat"/>
    <x v="3"/>
    <x v="3"/>
    <x v="12"/>
    <n v="1"/>
    <n v="3438.91"/>
    <n v="0.22"/>
    <n v="2682.35"/>
    <n v="3438.91"/>
    <n v="756.56"/>
    <n v="2682.35"/>
    <s v="Debit Card"/>
    <x v="2"/>
    <x v="0"/>
    <x v="0"/>
  </r>
  <r>
    <x v="1497"/>
    <x v="4"/>
    <s v="Tamil Nadu"/>
    <x v="3"/>
    <x v="3"/>
    <x v="8"/>
    <n v="4"/>
    <n v="1043.1099999999999"/>
    <n v="0.13"/>
    <n v="3630.02"/>
    <n v="4172.4399999999996"/>
    <n v="542.41999999999962"/>
    <n v="3630.02"/>
    <s v="Debit Card"/>
    <x v="1"/>
    <x v="1"/>
    <x v="0"/>
  </r>
  <r>
    <x v="1498"/>
    <x v="67"/>
    <s v="Gujarat"/>
    <x v="1"/>
    <x v="1"/>
    <x v="14"/>
    <n v="2"/>
    <n v="3120.29"/>
    <n v="0.22"/>
    <n v="4867.6499999999996"/>
    <n v="6240.58"/>
    <n v="1372.9300000000003"/>
    <n v="4867.6499999999996"/>
    <s v="UPI"/>
    <x v="2"/>
    <x v="0"/>
    <x v="0"/>
  </r>
  <r>
    <x v="1499"/>
    <x v="110"/>
    <s v="Maharashtra"/>
    <x v="3"/>
    <x v="1"/>
    <x v="14"/>
    <n v="5"/>
    <n v="1036.71"/>
    <n v="0.06"/>
    <n v="4872.54"/>
    <n v="5183.55"/>
    <n v="311.01000000000022"/>
    <n v="4872.54"/>
    <s v="Credit Card"/>
    <x v="2"/>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CB5C7-9F4E-4737-AFB6-CA544DB980F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1503" firstHeaderRow="0" firstDataRow="1" firstDataCol="1"/>
  <pivotFields count="19">
    <pivotField axis="axisRow"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numFmtId="15" showAll="0">
      <items count="184">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t="grand">
      <x/>
    </i>
  </rowItems>
  <colFields count="1">
    <field x="-2"/>
  </colFields>
  <colItems count="2">
    <i>
      <x/>
    </i>
    <i i="1">
      <x v="1"/>
    </i>
  </colItems>
  <dataFields count="2">
    <dataField name="Sum of Gross Revenue" fld="10" baseField="0" baseItem="0"/>
    <dataField name="Sum of Net Revnue "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E337E3-B331-43DE-ABC7-B1FFCAC5FA0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9">
    <pivotField showAll="0"/>
    <pivotField numFmtId="15" showAll="0">
      <items count="184">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 t="default"/>
      </items>
    </pivotField>
    <pivotField showAll="0"/>
    <pivotField showAll="0"/>
    <pivotField axis="axisRow" showAll="0">
      <items count="6">
        <item x="2"/>
        <item x="3"/>
        <item x="0"/>
        <item x="1"/>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Over all Revenue" fld="9"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627BEF-1A75-4829-BA30-DA0AAD6E0AA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19">
    <pivotField showAll="0"/>
    <pivotField numFmtId="15" showAll="0">
      <items count="184">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 t="default"/>
      </items>
    </pivotField>
    <pivotField showAll="0"/>
    <pivotField showAll="0"/>
    <pivotField showAll="0"/>
    <pivotField axis="axisRow" showAll="0" measureFilter="1">
      <items count="21">
        <item x="5"/>
        <item x="14"/>
        <item x="6"/>
        <item x="17"/>
        <item x="9"/>
        <item x="2"/>
        <item x="15"/>
        <item x="12"/>
        <item x="19"/>
        <item x="4"/>
        <item x="1"/>
        <item x="7"/>
        <item x="10"/>
        <item x="13"/>
        <item x="0"/>
        <item x="3"/>
        <item x="16"/>
        <item x="18"/>
        <item x="11"/>
        <item x="8"/>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3"/>
    </i>
    <i>
      <x v="5"/>
    </i>
    <i>
      <x v="8"/>
    </i>
    <i>
      <x v="9"/>
    </i>
    <i>
      <x v="10"/>
    </i>
    <i>
      <x v="16"/>
    </i>
    <i>
      <x v="18"/>
    </i>
    <i>
      <x v="19"/>
    </i>
    <i t="grand">
      <x/>
    </i>
  </rowItems>
  <colFields count="1">
    <field x="-2"/>
  </colFields>
  <colItems count="2">
    <i>
      <x/>
    </i>
    <i i="1">
      <x v="1"/>
    </i>
  </colItems>
  <dataFields count="2">
    <dataField name="Sum of Total Price (?)" fld="9" baseField="0" baseItem="0"/>
    <dataField name="% of Total Revenue" fld="9" showDataAs="percentOfTotal" baseField="0" baseItem="0" numFmtId="1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D9E559-4B58-409F-93B0-FF05C75441CB}"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6" firstHeaderRow="1" firstDataRow="1" firstDataCol="1"/>
  <pivotFields count="19">
    <pivotField showAll="0" defaultSubtotal="0"/>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axis="axisRow" showAll="0" defaultSubtotal="0">
      <items count="3">
        <item x="1"/>
        <item x="2"/>
        <item x="0"/>
      </items>
    </pivotField>
    <pivotField showAll="0" defaultSubtotal="0"/>
    <pivotField showAll="0" defaultSubtotal="0"/>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4"/>
  </rowFields>
  <rowItems count="3">
    <i>
      <x/>
    </i>
    <i>
      <x v="1"/>
    </i>
    <i>
      <x v="2"/>
    </i>
  </rowItems>
  <colItems count="1">
    <i/>
  </colItems>
  <dataFields count="1">
    <dataField name="Average of Total Price (?)" fld="9"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3E941C-D78C-472B-A7F6-B85F95B36347}"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8" firstHeaderRow="1" firstDataRow="1" firstDataCol="1"/>
  <pivotFields count="19">
    <pivotField showAll="0"/>
    <pivotField numFmtId="15" showAll="0">
      <items count="184">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 t="default"/>
      </items>
    </pivotField>
    <pivotField showAll="0"/>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v="4"/>
    </i>
    <i>
      <x v="1"/>
    </i>
    <i>
      <x v="2"/>
    </i>
    <i>
      <x/>
    </i>
    <i>
      <x v="3"/>
    </i>
  </rowItems>
  <colItems count="1">
    <i/>
  </colItems>
  <dataFields count="1">
    <dataField name="Sum of Discount Rat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A0A0DA-D080-4C34-AD47-007139893B79}"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140" firstHeaderRow="1" firstDataRow="2" firstDataCol="1"/>
  <pivotFields count="19">
    <pivotField axis="axisRow" dataField="1" showAll="0" defaultSubtotal="0">
      <items count="1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s>
    </pivotField>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Col" showAll="0" defaultSubtotal="0">
      <items count="4">
        <item h="1" x="3"/>
        <item x="0"/>
        <item h="1" x="2"/>
        <item h="1" x="1"/>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0"/>
  </rowFields>
  <rowItems count="1136">
    <i>
      <x/>
    </i>
    <i>
      <x v="1"/>
    </i>
    <i>
      <x v="2"/>
    </i>
    <i>
      <x v="3"/>
    </i>
    <i>
      <x v="5"/>
    </i>
    <i>
      <x v="6"/>
    </i>
    <i>
      <x v="7"/>
    </i>
    <i>
      <x v="9"/>
    </i>
    <i>
      <x v="10"/>
    </i>
    <i>
      <x v="12"/>
    </i>
    <i>
      <x v="13"/>
    </i>
    <i>
      <x v="15"/>
    </i>
    <i>
      <x v="17"/>
    </i>
    <i>
      <x v="18"/>
    </i>
    <i>
      <x v="19"/>
    </i>
    <i>
      <x v="21"/>
    </i>
    <i>
      <x v="22"/>
    </i>
    <i>
      <x v="23"/>
    </i>
    <i>
      <x v="24"/>
    </i>
    <i>
      <x v="25"/>
    </i>
    <i>
      <x v="26"/>
    </i>
    <i>
      <x v="27"/>
    </i>
    <i>
      <x v="28"/>
    </i>
    <i>
      <x v="29"/>
    </i>
    <i>
      <x v="30"/>
    </i>
    <i>
      <x v="32"/>
    </i>
    <i>
      <x v="34"/>
    </i>
    <i>
      <x v="35"/>
    </i>
    <i>
      <x v="37"/>
    </i>
    <i>
      <x v="38"/>
    </i>
    <i>
      <x v="39"/>
    </i>
    <i>
      <x v="40"/>
    </i>
    <i>
      <x v="41"/>
    </i>
    <i>
      <x v="42"/>
    </i>
    <i>
      <x v="43"/>
    </i>
    <i>
      <x v="44"/>
    </i>
    <i>
      <x v="48"/>
    </i>
    <i>
      <x v="49"/>
    </i>
    <i>
      <x v="50"/>
    </i>
    <i>
      <x v="52"/>
    </i>
    <i>
      <x v="53"/>
    </i>
    <i>
      <x v="54"/>
    </i>
    <i>
      <x v="56"/>
    </i>
    <i>
      <x v="57"/>
    </i>
    <i>
      <x v="58"/>
    </i>
    <i>
      <x v="60"/>
    </i>
    <i>
      <x v="61"/>
    </i>
    <i>
      <x v="62"/>
    </i>
    <i>
      <x v="63"/>
    </i>
    <i>
      <x v="64"/>
    </i>
    <i>
      <x v="65"/>
    </i>
    <i>
      <x v="66"/>
    </i>
    <i>
      <x v="69"/>
    </i>
    <i>
      <x v="71"/>
    </i>
    <i>
      <x v="72"/>
    </i>
    <i>
      <x v="73"/>
    </i>
    <i>
      <x v="74"/>
    </i>
    <i>
      <x v="76"/>
    </i>
    <i>
      <x v="77"/>
    </i>
    <i>
      <x v="80"/>
    </i>
    <i>
      <x v="81"/>
    </i>
    <i>
      <x v="82"/>
    </i>
    <i>
      <x v="85"/>
    </i>
    <i>
      <x v="86"/>
    </i>
    <i>
      <x v="87"/>
    </i>
    <i>
      <x v="91"/>
    </i>
    <i>
      <x v="92"/>
    </i>
    <i>
      <x v="93"/>
    </i>
    <i>
      <x v="94"/>
    </i>
    <i>
      <x v="96"/>
    </i>
    <i>
      <x v="97"/>
    </i>
    <i>
      <x v="100"/>
    </i>
    <i>
      <x v="101"/>
    </i>
    <i>
      <x v="102"/>
    </i>
    <i>
      <x v="103"/>
    </i>
    <i>
      <x v="104"/>
    </i>
    <i>
      <x v="105"/>
    </i>
    <i>
      <x v="106"/>
    </i>
    <i>
      <x v="108"/>
    </i>
    <i>
      <x v="110"/>
    </i>
    <i>
      <x v="111"/>
    </i>
    <i>
      <x v="112"/>
    </i>
    <i>
      <x v="113"/>
    </i>
    <i>
      <x v="114"/>
    </i>
    <i>
      <x v="115"/>
    </i>
    <i>
      <x v="116"/>
    </i>
    <i>
      <x v="117"/>
    </i>
    <i>
      <x v="118"/>
    </i>
    <i>
      <x v="119"/>
    </i>
    <i>
      <x v="120"/>
    </i>
    <i>
      <x v="121"/>
    </i>
    <i>
      <x v="122"/>
    </i>
    <i>
      <x v="123"/>
    </i>
    <i>
      <x v="124"/>
    </i>
    <i>
      <x v="125"/>
    </i>
    <i>
      <x v="126"/>
    </i>
    <i>
      <x v="129"/>
    </i>
    <i>
      <x v="130"/>
    </i>
    <i>
      <x v="131"/>
    </i>
    <i>
      <x v="132"/>
    </i>
    <i>
      <x v="134"/>
    </i>
    <i>
      <x v="135"/>
    </i>
    <i>
      <x v="137"/>
    </i>
    <i>
      <x v="138"/>
    </i>
    <i>
      <x v="139"/>
    </i>
    <i>
      <x v="140"/>
    </i>
    <i>
      <x v="141"/>
    </i>
    <i>
      <x v="143"/>
    </i>
    <i>
      <x v="145"/>
    </i>
    <i>
      <x v="146"/>
    </i>
    <i>
      <x v="147"/>
    </i>
    <i>
      <x v="148"/>
    </i>
    <i>
      <x v="151"/>
    </i>
    <i>
      <x v="154"/>
    </i>
    <i>
      <x v="155"/>
    </i>
    <i>
      <x v="156"/>
    </i>
    <i>
      <x v="157"/>
    </i>
    <i>
      <x v="158"/>
    </i>
    <i>
      <x v="159"/>
    </i>
    <i>
      <x v="160"/>
    </i>
    <i>
      <x v="161"/>
    </i>
    <i>
      <x v="163"/>
    </i>
    <i>
      <x v="164"/>
    </i>
    <i>
      <x v="166"/>
    </i>
    <i>
      <x v="167"/>
    </i>
    <i>
      <x v="168"/>
    </i>
    <i>
      <x v="169"/>
    </i>
    <i>
      <x v="170"/>
    </i>
    <i>
      <x v="172"/>
    </i>
    <i>
      <x v="174"/>
    </i>
    <i>
      <x v="175"/>
    </i>
    <i>
      <x v="176"/>
    </i>
    <i>
      <x v="178"/>
    </i>
    <i>
      <x v="180"/>
    </i>
    <i>
      <x v="181"/>
    </i>
    <i>
      <x v="182"/>
    </i>
    <i>
      <x v="185"/>
    </i>
    <i>
      <x v="186"/>
    </i>
    <i>
      <x v="188"/>
    </i>
    <i>
      <x v="189"/>
    </i>
    <i>
      <x v="190"/>
    </i>
    <i>
      <x v="191"/>
    </i>
    <i>
      <x v="193"/>
    </i>
    <i>
      <x v="194"/>
    </i>
    <i>
      <x v="196"/>
    </i>
    <i>
      <x v="197"/>
    </i>
    <i>
      <x v="198"/>
    </i>
    <i>
      <x v="199"/>
    </i>
    <i>
      <x v="200"/>
    </i>
    <i>
      <x v="201"/>
    </i>
    <i>
      <x v="202"/>
    </i>
    <i>
      <x v="204"/>
    </i>
    <i>
      <x v="208"/>
    </i>
    <i>
      <x v="209"/>
    </i>
    <i>
      <x v="210"/>
    </i>
    <i>
      <x v="213"/>
    </i>
    <i>
      <x v="214"/>
    </i>
    <i>
      <x v="216"/>
    </i>
    <i>
      <x v="217"/>
    </i>
    <i>
      <x v="218"/>
    </i>
    <i>
      <x v="219"/>
    </i>
    <i>
      <x v="220"/>
    </i>
    <i>
      <x v="221"/>
    </i>
    <i>
      <x v="222"/>
    </i>
    <i>
      <x v="223"/>
    </i>
    <i>
      <x v="224"/>
    </i>
    <i>
      <x v="225"/>
    </i>
    <i>
      <x v="226"/>
    </i>
    <i>
      <x v="227"/>
    </i>
    <i>
      <x v="228"/>
    </i>
    <i>
      <x v="229"/>
    </i>
    <i>
      <x v="231"/>
    </i>
    <i>
      <x v="232"/>
    </i>
    <i>
      <x v="233"/>
    </i>
    <i>
      <x v="234"/>
    </i>
    <i>
      <x v="235"/>
    </i>
    <i>
      <x v="236"/>
    </i>
    <i>
      <x v="237"/>
    </i>
    <i>
      <x v="238"/>
    </i>
    <i>
      <x v="239"/>
    </i>
    <i>
      <x v="240"/>
    </i>
    <i>
      <x v="241"/>
    </i>
    <i>
      <x v="242"/>
    </i>
    <i>
      <x v="243"/>
    </i>
    <i>
      <x v="244"/>
    </i>
    <i>
      <x v="245"/>
    </i>
    <i>
      <x v="247"/>
    </i>
    <i>
      <x v="249"/>
    </i>
    <i>
      <x v="250"/>
    </i>
    <i>
      <x v="251"/>
    </i>
    <i>
      <x v="253"/>
    </i>
    <i>
      <x v="254"/>
    </i>
    <i>
      <x v="255"/>
    </i>
    <i>
      <x v="256"/>
    </i>
    <i>
      <x v="257"/>
    </i>
    <i>
      <x v="258"/>
    </i>
    <i>
      <x v="260"/>
    </i>
    <i>
      <x v="262"/>
    </i>
    <i>
      <x v="263"/>
    </i>
    <i>
      <x v="265"/>
    </i>
    <i>
      <x v="266"/>
    </i>
    <i>
      <x v="268"/>
    </i>
    <i>
      <x v="269"/>
    </i>
    <i>
      <x v="270"/>
    </i>
    <i>
      <x v="271"/>
    </i>
    <i>
      <x v="272"/>
    </i>
    <i>
      <x v="275"/>
    </i>
    <i>
      <x v="276"/>
    </i>
    <i>
      <x v="277"/>
    </i>
    <i>
      <x v="278"/>
    </i>
    <i>
      <x v="280"/>
    </i>
    <i>
      <x v="281"/>
    </i>
    <i>
      <x v="282"/>
    </i>
    <i>
      <x v="283"/>
    </i>
    <i>
      <x v="284"/>
    </i>
    <i>
      <x v="286"/>
    </i>
    <i>
      <x v="287"/>
    </i>
    <i>
      <x v="288"/>
    </i>
    <i>
      <x v="289"/>
    </i>
    <i>
      <x v="290"/>
    </i>
    <i>
      <x v="291"/>
    </i>
    <i>
      <x v="292"/>
    </i>
    <i>
      <x v="295"/>
    </i>
    <i>
      <x v="296"/>
    </i>
    <i>
      <x v="297"/>
    </i>
    <i>
      <x v="300"/>
    </i>
    <i>
      <x v="301"/>
    </i>
    <i>
      <x v="303"/>
    </i>
    <i>
      <x v="304"/>
    </i>
    <i>
      <x v="305"/>
    </i>
    <i>
      <x v="307"/>
    </i>
    <i>
      <x v="308"/>
    </i>
    <i>
      <x v="309"/>
    </i>
    <i>
      <x v="310"/>
    </i>
    <i>
      <x v="312"/>
    </i>
    <i>
      <x v="313"/>
    </i>
    <i>
      <x v="314"/>
    </i>
    <i>
      <x v="315"/>
    </i>
    <i>
      <x v="316"/>
    </i>
    <i>
      <x v="317"/>
    </i>
    <i>
      <x v="318"/>
    </i>
    <i>
      <x v="319"/>
    </i>
    <i>
      <x v="320"/>
    </i>
    <i>
      <x v="322"/>
    </i>
    <i>
      <x v="324"/>
    </i>
    <i>
      <x v="325"/>
    </i>
    <i>
      <x v="327"/>
    </i>
    <i>
      <x v="328"/>
    </i>
    <i>
      <x v="329"/>
    </i>
    <i>
      <x v="331"/>
    </i>
    <i>
      <x v="332"/>
    </i>
    <i>
      <x v="333"/>
    </i>
    <i>
      <x v="334"/>
    </i>
    <i>
      <x v="335"/>
    </i>
    <i>
      <x v="336"/>
    </i>
    <i>
      <x v="337"/>
    </i>
    <i>
      <x v="339"/>
    </i>
    <i>
      <x v="340"/>
    </i>
    <i>
      <x v="341"/>
    </i>
    <i>
      <x v="342"/>
    </i>
    <i>
      <x v="343"/>
    </i>
    <i>
      <x v="344"/>
    </i>
    <i>
      <x v="345"/>
    </i>
    <i>
      <x v="346"/>
    </i>
    <i>
      <x v="348"/>
    </i>
    <i>
      <x v="349"/>
    </i>
    <i>
      <x v="350"/>
    </i>
    <i>
      <x v="352"/>
    </i>
    <i>
      <x v="353"/>
    </i>
    <i>
      <x v="354"/>
    </i>
    <i>
      <x v="355"/>
    </i>
    <i>
      <x v="356"/>
    </i>
    <i>
      <x v="357"/>
    </i>
    <i>
      <x v="359"/>
    </i>
    <i>
      <x v="360"/>
    </i>
    <i>
      <x v="362"/>
    </i>
    <i>
      <x v="363"/>
    </i>
    <i>
      <x v="365"/>
    </i>
    <i>
      <x v="368"/>
    </i>
    <i>
      <x v="369"/>
    </i>
    <i>
      <x v="370"/>
    </i>
    <i>
      <x v="372"/>
    </i>
    <i>
      <x v="373"/>
    </i>
    <i>
      <x v="375"/>
    </i>
    <i>
      <x v="376"/>
    </i>
    <i>
      <x v="379"/>
    </i>
    <i>
      <x v="382"/>
    </i>
    <i>
      <x v="383"/>
    </i>
    <i>
      <x v="384"/>
    </i>
    <i>
      <x v="385"/>
    </i>
    <i>
      <x v="388"/>
    </i>
    <i>
      <x v="390"/>
    </i>
    <i>
      <x v="391"/>
    </i>
    <i>
      <x v="392"/>
    </i>
    <i>
      <x v="393"/>
    </i>
    <i>
      <x v="394"/>
    </i>
    <i>
      <x v="395"/>
    </i>
    <i>
      <x v="396"/>
    </i>
    <i>
      <x v="399"/>
    </i>
    <i>
      <x v="401"/>
    </i>
    <i>
      <x v="402"/>
    </i>
    <i>
      <x v="403"/>
    </i>
    <i>
      <x v="404"/>
    </i>
    <i>
      <x v="405"/>
    </i>
    <i>
      <x v="406"/>
    </i>
    <i>
      <x v="408"/>
    </i>
    <i>
      <x v="409"/>
    </i>
    <i>
      <x v="410"/>
    </i>
    <i>
      <x v="411"/>
    </i>
    <i>
      <x v="412"/>
    </i>
    <i>
      <x v="413"/>
    </i>
    <i>
      <x v="414"/>
    </i>
    <i>
      <x v="416"/>
    </i>
    <i>
      <x v="419"/>
    </i>
    <i>
      <x v="421"/>
    </i>
    <i>
      <x v="422"/>
    </i>
    <i>
      <x v="423"/>
    </i>
    <i>
      <x v="424"/>
    </i>
    <i>
      <x v="425"/>
    </i>
    <i>
      <x v="426"/>
    </i>
    <i>
      <x v="427"/>
    </i>
    <i>
      <x v="428"/>
    </i>
    <i>
      <x v="429"/>
    </i>
    <i>
      <x v="431"/>
    </i>
    <i>
      <x v="432"/>
    </i>
    <i>
      <x v="436"/>
    </i>
    <i>
      <x v="438"/>
    </i>
    <i>
      <x v="439"/>
    </i>
    <i>
      <x v="440"/>
    </i>
    <i>
      <x v="441"/>
    </i>
    <i>
      <x v="442"/>
    </i>
    <i>
      <x v="443"/>
    </i>
    <i>
      <x v="444"/>
    </i>
    <i>
      <x v="445"/>
    </i>
    <i>
      <x v="446"/>
    </i>
    <i>
      <x v="447"/>
    </i>
    <i>
      <x v="449"/>
    </i>
    <i>
      <x v="450"/>
    </i>
    <i>
      <x v="451"/>
    </i>
    <i>
      <x v="452"/>
    </i>
    <i>
      <x v="453"/>
    </i>
    <i>
      <x v="455"/>
    </i>
    <i>
      <x v="456"/>
    </i>
    <i>
      <x v="457"/>
    </i>
    <i>
      <x v="458"/>
    </i>
    <i>
      <x v="459"/>
    </i>
    <i>
      <x v="460"/>
    </i>
    <i>
      <x v="461"/>
    </i>
    <i>
      <x v="462"/>
    </i>
    <i>
      <x v="463"/>
    </i>
    <i>
      <x v="464"/>
    </i>
    <i>
      <x v="465"/>
    </i>
    <i>
      <x v="466"/>
    </i>
    <i>
      <x v="467"/>
    </i>
    <i>
      <x v="468"/>
    </i>
    <i>
      <x v="469"/>
    </i>
    <i>
      <x v="470"/>
    </i>
    <i>
      <x v="471"/>
    </i>
    <i>
      <x v="472"/>
    </i>
    <i>
      <x v="473"/>
    </i>
    <i>
      <x v="474"/>
    </i>
    <i>
      <x v="476"/>
    </i>
    <i>
      <x v="478"/>
    </i>
    <i>
      <x v="480"/>
    </i>
    <i>
      <x v="482"/>
    </i>
    <i>
      <x v="483"/>
    </i>
    <i>
      <x v="485"/>
    </i>
    <i>
      <x v="486"/>
    </i>
    <i>
      <x v="487"/>
    </i>
    <i>
      <x v="489"/>
    </i>
    <i>
      <x v="490"/>
    </i>
    <i>
      <x v="491"/>
    </i>
    <i>
      <x v="493"/>
    </i>
    <i>
      <x v="494"/>
    </i>
    <i>
      <x v="495"/>
    </i>
    <i>
      <x v="498"/>
    </i>
    <i>
      <x v="499"/>
    </i>
    <i>
      <x v="500"/>
    </i>
    <i>
      <x v="502"/>
    </i>
    <i>
      <x v="503"/>
    </i>
    <i>
      <x v="504"/>
    </i>
    <i>
      <x v="505"/>
    </i>
    <i>
      <x v="508"/>
    </i>
    <i>
      <x v="509"/>
    </i>
    <i>
      <x v="510"/>
    </i>
    <i>
      <x v="511"/>
    </i>
    <i>
      <x v="512"/>
    </i>
    <i>
      <x v="513"/>
    </i>
    <i>
      <x v="514"/>
    </i>
    <i>
      <x v="515"/>
    </i>
    <i>
      <x v="516"/>
    </i>
    <i>
      <x v="517"/>
    </i>
    <i>
      <x v="518"/>
    </i>
    <i>
      <x v="519"/>
    </i>
    <i>
      <x v="521"/>
    </i>
    <i>
      <x v="522"/>
    </i>
    <i>
      <x v="523"/>
    </i>
    <i>
      <x v="525"/>
    </i>
    <i>
      <x v="526"/>
    </i>
    <i>
      <x v="527"/>
    </i>
    <i>
      <x v="530"/>
    </i>
    <i>
      <x v="531"/>
    </i>
    <i>
      <x v="533"/>
    </i>
    <i>
      <x v="534"/>
    </i>
    <i>
      <x v="535"/>
    </i>
    <i>
      <x v="537"/>
    </i>
    <i>
      <x v="538"/>
    </i>
    <i>
      <x v="539"/>
    </i>
    <i>
      <x v="540"/>
    </i>
    <i>
      <x v="541"/>
    </i>
    <i>
      <x v="542"/>
    </i>
    <i>
      <x v="543"/>
    </i>
    <i>
      <x v="545"/>
    </i>
    <i>
      <x v="546"/>
    </i>
    <i>
      <x v="547"/>
    </i>
    <i>
      <x v="548"/>
    </i>
    <i>
      <x v="551"/>
    </i>
    <i>
      <x v="552"/>
    </i>
    <i>
      <x v="554"/>
    </i>
    <i>
      <x v="555"/>
    </i>
    <i>
      <x v="556"/>
    </i>
    <i>
      <x v="557"/>
    </i>
    <i>
      <x v="558"/>
    </i>
    <i>
      <x v="560"/>
    </i>
    <i>
      <x v="561"/>
    </i>
    <i>
      <x v="563"/>
    </i>
    <i>
      <x v="564"/>
    </i>
    <i>
      <x v="565"/>
    </i>
    <i>
      <x v="566"/>
    </i>
    <i>
      <x v="567"/>
    </i>
    <i>
      <x v="568"/>
    </i>
    <i>
      <x v="571"/>
    </i>
    <i>
      <x v="573"/>
    </i>
    <i>
      <x v="575"/>
    </i>
    <i>
      <x v="576"/>
    </i>
    <i>
      <x v="577"/>
    </i>
    <i>
      <x v="578"/>
    </i>
    <i>
      <x v="579"/>
    </i>
    <i>
      <x v="580"/>
    </i>
    <i>
      <x v="581"/>
    </i>
    <i>
      <x v="582"/>
    </i>
    <i>
      <x v="584"/>
    </i>
    <i>
      <x v="587"/>
    </i>
    <i>
      <x v="588"/>
    </i>
    <i>
      <x v="589"/>
    </i>
    <i>
      <x v="590"/>
    </i>
    <i>
      <x v="591"/>
    </i>
    <i>
      <x v="592"/>
    </i>
    <i>
      <x v="594"/>
    </i>
    <i>
      <x v="595"/>
    </i>
    <i>
      <x v="596"/>
    </i>
    <i>
      <x v="599"/>
    </i>
    <i>
      <x v="600"/>
    </i>
    <i>
      <x v="601"/>
    </i>
    <i>
      <x v="602"/>
    </i>
    <i>
      <x v="603"/>
    </i>
    <i>
      <x v="604"/>
    </i>
    <i>
      <x v="606"/>
    </i>
    <i>
      <x v="607"/>
    </i>
    <i>
      <x v="608"/>
    </i>
    <i>
      <x v="609"/>
    </i>
    <i>
      <x v="610"/>
    </i>
    <i>
      <x v="612"/>
    </i>
    <i>
      <x v="613"/>
    </i>
    <i>
      <x v="614"/>
    </i>
    <i>
      <x v="616"/>
    </i>
    <i>
      <x v="617"/>
    </i>
    <i>
      <x v="619"/>
    </i>
    <i>
      <x v="620"/>
    </i>
    <i>
      <x v="621"/>
    </i>
    <i>
      <x v="622"/>
    </i>
    <i>
      <x v="623"/>
    </i>
    <i>
      <x v="624"/>
    </i>
    <i>
      <x v="625"/>
    </i>
    <i>
      <x v="627"/>
    </i>
    <i>
      <x v="628"/>
    </i>
    <i>
      <x v="630"/>
    </i>
    <i>
      <x v="631"/>
    </i>
    <i>
      <x v="632"/>
    </i>
    <i>
      <x v="634"/>
    </i>
    <i>
      <x v="635"/>
    </i>
    <i>
      <x v="636"/>
    </i>
    <i>
      <x v="637"/>
    </i>
    <i>
      <x v="638"/>
    </i>
    <i>
      <x v="639"/>
    </i>
    <i>
      <x v="640"/>
    </i>
    <i>
      <x v="641"/>
    </i>
    <i>
      <x v="642"/>
    </i>
    <i>
      <x v="643"/>
    </i>
    <i>
      <x v="645"/>
    </i>
    <i>
      <x v="646"/>
    </i>
    <i>
      <x v="649"/>
    </i>
    <i>
      <x v="650"/>
    </i>
    <i>
      <x v="651"/>
    </i>
    <i>
      <x v="653"/>
    </i>
    <i>
      <x v="654"/>
    </i>
    <i>
      <x v="655"/>
    </i>
    <i>
      <x v="656"/>
    </i>
    <i>
      <x v="657"/>
    </i>
    <i>
      <x v="658"/>
    </i>
    <i>
      <x v="659"/>
    </i>
    <i>
      <x v="662"/>
    </i>
    <i>
      <x v="663"/>
    </i>
    <i>
      <x v="664"/>
    </i>
    <i>
      <x v="666"/>
    </i>
    <i>
      <x v="667"/>
    </i>
    <i>
      <x v="669"/>
    </i>
    <i>
      <x v="670"/>
    </i>
    <i>
      <x v="671"/>
    </i>
    <i>
      <x v="672"/>
    </i>
    <i>
      <x v="673"/>
    </i>
    <i>
      <x v="674"/>
    </i>
    <i>
      <x v="675"/>
    </i>
    <i>
      <x v="676"/>
    </i>
    <i>
      <x v="677"/>
    </i>
    <i>
      <x v="680"/>
    </i>
    <i>
      <x v="681"/>
    </i>
    <i>
      <x v="682"/>
    </i>
    <i>
      <x v="683"/>
    </i>
    <i>
      <x v="684"/>
    </i>
    <i>
      <x v="685"/>
    </i>
    <i>
      <x v="686"/>
    </i>
    <i>
      <x v="687"/>
    </i>
    <i>
      <x v="688"/>
    </i>
    <i>
      <x v="689"/>
    </i>
    <i>
      <x v="691"/>
    </i>
    <i>
      <x v="692"/>
    </i>
    <i>
      <x v="693"/>
    </i>
    <i>
      <x v="694"/>
    </i>
    <i>
      <x v="695"/>
    </i>
    <i>
      <x v="696"/>
    </i>
    <i>
      <x v="697"/>
    </i>
    <i>
      <x v="698"/>
    </i>
    <i>
      <x v="700"/>
    </i>
    <i>
      <x v="701"/>
    </i>
    <i>
      <x v="702"/>
    </i>
    <i>
      <x v="704"/>
    </i>
    <i>
      <x v="705"/>
    </i>
    <i>
      <x v="707"/>
    </i>
    <i>
      <x v="708"/>
    </i>
    <i>
      <x v="709"/>
    </i>
    <i>
      <x v="710"/>
    </i>
    <i>
      <x v="711"/>
    </i>
    <i>
      <x v="712"/>
    </i>
    <i>
      <x v="714"/>
    </i>
    <i>
      <x v="715"/>
    </i>
    <i>
      <x v="716"/>
    </i>
    <i>
      <x v="717"/>
    </i>
    <i>
      <x v="718"/>
    </i>
    <i>
      <x v="719"/>
    </i>
    <i>
      <x v="721"/>
    </i>
    <i>
      <x v="723"/>
    </i>
    <i>
      <x v="725"/>
    </i>
    <i>
      <x v="726"/>
    </i>
    <i>
      <x v="727"/>
    </i>
    <i>
      <x v="728"/>
    </i>
    <i>
      <x v="729"/>
    </i>
    <i>
      <x v="730"/>
    </i>
    <i>
      <x v="731"/>
    </i>
    <i>
      <x v="732"/>
    </i>
    <i>
      <x v="734"/>
    </i>
    <i>
      <x v="736"/>
    </i>
    <i>
      <x v="737"/>
    </i>
    <i>
      <x v="738"/>
    </i>
    <i>
      <x v="740"/>
    </i>
    <i>
      <x v="741"/>
    </i>
    <i>
      <x v="743"/>
    </i>
    <i>
      <x v="744"/>
    </i>
    <i>
      <x v="745"/>
    </i>
    <i>
      <x v="746"/>
    </i>
    <i>
      <x v="747"/>
    </i>
    <i>
      <x v="748"/>
    </i>
    <i>
      <x v="749"/>
    </i>
    <i>
      <x v="750"/>
    </i>
    <i>
      <x v="751"/>
    </i>
    <i>
      <x v="752"/>
    </i>
    <i>
      <x v="754"/>
    </i>
    <i>
      <x v="755"/>
    </i>
    <i>
      <x v="757"/>
    </i>
    <i>
      <x v="758"/>
    </i>
    <i>
      <x v="759"/>
    </i>
    <i>
      <x v="760"/>
    </i>
    <i>
      <x v="762"/>
    </i>
    <i>
      <x v="763"/>
    </i>
    <i>
      <x v="765"/>
    </i>
    <i>
      <x v="766"/>
    </i>
    <i>
      <x v="768"/>
    </i>
    <i>
      <x v="769"/>
    </i>
    <i>
      <x v="770"/>
    </i>
    <i>
      <x v="771"/>
    </i>
    <i>
      <x v="772"/>
    </i>
    <i>
      <x v="773"/>
    </i>
    <i>
      <x v="774"/>
    </i>
    <i>
      <x v="776"/>
    </i>
    <i>
      <x v="777"/>
    </i>
    <i>
      <x v="778"/>
    </i>
    <i>
      <x v="779"/>
    </i>
    <i>
      <x v="780"/>
    </i>
    <i>
      <x v="783"/>
    </i>
    <i>
      <x v="784"/>
    </i>
    <i>
      <x v="785"/>
    </i>
    <i>
      <x v="787"/>
    </i>
    <i>
      <x v="788"/>
    </i>
    <i>
      <x v="789"/>
    </i>
    <i>
      <x v="790"/>
    </i>
    <i>
      <x v="791"/>
    </i>
    <i>
      <x v="793"/>
    </i>
    <i>
      <x v="794"/>
    </i>
    <i>
      <x v="795"/>
    </i>
    <i>
      <x v="796"/>
    </i>
    <i>
      <x v="797"/>
    </i>
    <i>
      <x v="798"/>
    </i>
    <i>
      <x v="799"/>
    </i>
    <i>
      <x v="800"/>
    </i>
    <i>
      <x v="801"/>
    </i>
    <i>
      <x v="802"/>
    </i>
    <i>
      <x v="803"/>
    </i>
    <i>
      <x v="804"/>
    </i>
    <i>
      <x v="805"/>
    </i>
    <i>
      <x v="806"/>
    </i>
    <i>
      <x v="807"/>
    </i>
    <i>
      <x v="808"/>
    </i>
    <i>
      <x v="810"/>
    </i>
    <i>
      <x v="813"/>
    </i>
    <i>
      <x v="814"/>
    </i>
    <i>
      <x v="815"/>
    </i>
    <i>
      <x v="816"/>
    </i>
    <i>
      <x v="817"/>
    </i>
    <i>
      <x v="818"/>
    </i>
    <i>
      <x v="819"/>
    </i>
    <i>
      <x v="820"/>
    </i>
    <i>
      <x v="821"/>
    </i>
    <i>
      <x v="824"/>
    </i>
    <i>
      <x v="825"/>
    </i>
    <i>
      <x v="826"/>
    </i>
    <i>
      <x v="827"/>
    </i>
    <i>
      <x v="828"/>
    </i>
    <i>
      <x v="829"/>
    </i>
    <i>
      <x v="831"/>
    </i>
    <i>
      <x v="832"/>
    </i>
    <i>
      <x v="833"/>
    </i>
    <i>
      <x v="834"/>
    </i>
    <i>
      <x v="835"/>
    </i>
    <i>
      <x v="836"/>
    </i>
    <i>
      <x v="837"/>
    </i>
    <i>
      <x v="838"/>
    </i>
    <i>
      <x v="839"/>
    </i>
    <i>
      <x v="840"/>
    </i>
    <i>
      <x v="841"/>
    </i>
    <i>
      <x v="842"/>
    </i>
    <i>
      <x v="843"/>
    </i>
    <i>
      <x v="844"/>
    </i>
    <i>
      <x v="845"/>
    </i>
    <i>
      <x v="848"/>
    </i>
    <i>
      <x v="849"/>
    </i>
    <i>
      <x v="850"/>
    </i>
    <i>
      <x v="851"/>
    </i>
    <i>
      <x v="853"/>
    </i>
    <i>
      <x v="854"/>
    </i>
    <i>
      <x v="856"/>
    </i>
    <i>
      <x v="857"/>
    </i>
    <i>
      <x v="859"/>
    </i>
    <i>
      <x v="863"/>
    </i>
    <i>
      <x v="864"/>
    </i>
    <i>
      <x v="865"/>
    </i>
    <i>
      <x v="867"/>
    </i>
    <i>
      <x v="868"/>
    </i>
    <i>
      <x v="869"/>
    </i>
    <i>
      <x v="870"/>
    </i>
    <i>
      <x v="871"/>
    </i>
    <i>
      <x v="873"/>
    </i>
    <i>
      <x v="874"/>
    </i>
    <i>
      <x v="875"/>
    </i>
    <i>
      <x v="876"/>
    </i>
    <i>
      <x v="878"/>
    </i>
    <i>
      <x v="880"/>
    </i>
    <i>
      <x v="881"/>
    </i>
    <i>
      <x v="884"/>
    </i>
    <i>
      <x v="885"/>
    </i>
    <i>
      <x v="886"/>
    </i>
    <i>
      <x v="887"/>
    </i>
    <i>
      <x v="888"/>
    </i>
    <i>
      <x v="889"/>
    </i>
    <i>
      <x v="890"/>
    </i>
    <i>
      <x v="891"/>
    </i>
    <i>
      <x v="893"/>
    </i>
    <i>
      <x v="894"/>
    </i>
    <i>
      <x v="895"/>
    </i>
    <i>
      <x v="896"/>
    </i>
    <i>
      <x v="898"/>
    </i>
    <i>
      <x v="899"/>
    </i>
    <i>
      <x v="900"/>
    </i>
    <i>
      <x v="901"/>
    </i>
    <i>
      <x v="902"/>
    </i>
    <i>
      <x v="903"/>
    </i>
    <i>
      <x v="904"/>
    </i>
    <i>
      <x v="906"/>
    </i>
    <i>
      <x v="907"/>
    </i>
    <i>
      <x v="908"/>
    </i>
    <i>
      <x v="909"/>
    </i>
    <i>
      <x v="911"/>
    </i>
    <i>
      <x v="912"/>
    </i>
    <i>
      <x v="914"/>
    </i>
    <i>
      <x v="915"/>
    </i>
    <i>
      <x v="916"/>
    </i>
    <i>
      <x v="917"/>
    </i>
    <i>
      <x v="920"/>
    </i>
    <i>
      <x v="921"/>
    </i>
    <i>
      <x v="922"/>
    </i>
    <i>
      <x v="923"/>
    </i>
    <i>
      <x v="924"/>
    </i>
    <i>
      <x v="926"/>
    </i>
    <i>
      <x v="927"/>
    </i>
    <i>
      <x v="928"/>
    </i>
    <i>
      <x v="930"/>
    </i>
    <i>
      <x v="931"/>
    </i>
    <i>
      <x v="932"/>
    </i>
    <i>
      <x v="933"/>
    </i>
    <i>
      <x v="934"/>
    </i>
    <i>
      <x v="935"/>
    </i>
    <i>
      <x v="936"/>
    </i>
    <i>
      <x v="937"/>
    </i>
    <i>
      <x v="938"/>
    </i>
    <i>
      <x v="939"/>
    </i>
    <i>
      <x v="940"/>
    </i>
    <i>
      <x v="942"/>
    </i>
    <i>
      <x v="945"/>
    </i>
    <i>
      <x v="946"/>
    </i>
    <i>
      <x v="947"/>
    </i>
    <i>
      <x v="948"/>
    </i>
    <i>
      <x v="949"/>
    </i>
    <i>
      <x v="950"/>
    </i>
    <i>
      <x v="951"/>
    </i>
    <i>
      <x v="952"/>
    </i>
    <i>
      <x v="953"/>
    </i>
    <i>
      <x v="955"/>
    </i>
    <i>
      <x v="956"/>
    </i>
    <i>
      <x v="958"/>
    </i>
    <i>
      <x v="959"/>
    </i>
    <i>
      <x v="960"/>
    </i>
    <i>
      <x v="961"/>
    </i>
    <i>
      <x v="962"/>
    </i>
    <i>
      <x v="964"/>
    </i>
    <i>
      <x v="965"/>
    </i>
    <i>
      <x v="967"/>
    </i>
    <i>
      <x v="968"/>
    </i>
    <i>
      <x v="969"/>
    </i>
    <i>
      <x v="970"/>
    </i>
    <i>
      <x v="971"/>
    </i>
    <i>
      <x v="972"/>
    </i>
    <i>
      <x v="974"/>
    </i>
    <i>
      <x v="975"/>
    </i>
    <i>
      <x v="976"/>
    </i>
    <i>
      <x v="977"/>
    </i>
    <i>
      <x v="978"/>
    </i>
    <i>
      <x v="979"/>
    </i>
    <i>
      <x v="982"/>
    </i>
    <i>
      <x v="983"/>
    </i>
    <i>
      <x v="984"/>
    </i>
    <i>
      <x v="986"/>
    </i>
    <i>
      <x v="987"/>
    </i>
    <i>
      <x v="988"/>
    </i>
    <i>
      <x v="989"/>
    </i>
    <i>
      <x v="990"/>
    </i>
    <i>
      <x v="992"/>
    </i>
    <i>
      <x v="994"/>
    </i>
    <i>
      <x v="995"/>
    </i>
    <i>
      <x v="996"/>
    </i>
    <i>
      <x v="997"/>
    </i>
    <i>
      <x v="999"/>
    </i>
    <i>
      <x v="1000"/>
    </i>
    <i>
      <x v="1001"/>
    </i>
    <i>
      <x v="1002"/>
    </i>
    <i>
      <x v="1003"/>
    </i>
    <i>
      <x v="1004"/>
    </i>
    <i>
      <x v="1005"/>
    </i>
    <i>
      <x v="1006"/>
    </i>
    <i>
      <x v="1007"/>
    </i>
    <i>
      <x v="1008"/>
    </i>
    <i>
      <x v="1010"/>
    </i>
    <i>
      <x v="1011"/>
    </i>
    <i>
      <x v="1012"/>
    </i>
    <i>
      <x v="1013"/>
    </i>
    <i>
      <x v="1015"/>
    </i>
    <i>
      <x v="1016"/>
    </i>
    <i>
      <x v="1017"/>
    </i>
    <i>
      <x v="1019"/>
    </i>
    <i>
      <x v="1020"/>
    </i>
    <i>
      <x v="1021"/>
    </i>
    <i>
      <x v="1022"/>
    </i>
    <i>
      <x v="1024"/>
    </i>
    <i>
      <x v="1026"/>
    </i>
    <i>
      <x v="1027"/>
    </i>
    <i>
      <x v="1028"/>
    </i>
    <i>
      <x v="1029"/>
    </i>
    <i>
      <x v="1030"/>
    </i>
    <i>
      <x v="1032"/>
    </i>
    <i>
      <x v="1033"/>
    </i>
    <i>
      <x v="1034"/>
    </i>
    <i>
      <x v="1035"/>
    </i>
    <i>
      <x v="1036"/>
    </i>
    <i>
      <x v="1037"/>
    </i>
    <i>
      <x v="1038"/>
    </i>
    <i>
      <x v="1039"/>
    </i>
    <i>
      <x v="1040"/>
    </i>
    <i>
      <x v="1041"/>
    </i>
    <i>
      <x v="1042"/>
    </i>
    <i>
      <x v="1044"/>
    </i>
    <i>
      <x v="1045"/>
    </i>
    <i>
      <x v="1046"/>
    </i>
    <i>
      <x v="1047"/>
    </i>
    <i>
      <x v="1049"/>
    </i>
    <i>
      <x v="1050"/>
    </i>
    <i>
      <x v="1051"/>
    </i>
    <i>
      <x v="1052"/>
    </i>
    <i>
      <x v="1053"/>
    </i>
    <i>
      <x v="1054"/>
    </i>
    <i>
      <x v="1056"/>
    </i>
    <i>
      <x v="1058"/>
    </i>
    <i>
      <x v="1059"/>
    </i>
    <i>
      <x v="1062"/>
    </i>
    <i>
      <x v="1064"/>
    </i>
    <i>
      <x v="1065"/>
    </i>
    <i>
      <x v="1066"/>
    </i>
    <i>
      <x v="1067"/>
    </i>
    <i>
      <x v="1069"/>
    </i>
    <i>
      <x v="1070"/>
    </i>
    <i>
      <x v="1071"/>
    </i>
    <i>
      <x v="1073"/>
    </i>
    <i>
      <x v="1075"/>
    </i>
    <i>
      <x v="1076"/>
    </i>
    <i>
      <x v="1077"/>
    </i>
    <i>
      <x v="1078"/>
    </i>
    <i>
      <x v="1079"/>
    </i>
    <i>
      <x v="1082"/>
    </i>
    <i>
      <x v="1083"/>
    </i>
    <i>
      <x v="1084"/>
    </i>
    <i>
      <x v="1085"/>
    </i>
    <i>
      <x v="1087"/>
    </i>
    <i>
      <x v="1088"/>
    </i>
    <i>
      <x v="1090"/>
    </i>
    <i>
      <x v="1092"/>
    </i>
    <i>
      <x v="1093"/>
    </i>
    <i>
      <x v="1094"/>
    </i>
    <i>
      <x v="1095"/>
    </i>
    <i>
      <x v="1097"/>
    </i>
    <i>
      <x v="1098"/>
    </i>
    <i>
      <x v="1099"/>
    </i>
    <i>
      <x v="1103"/>
    </i>
    <i>
      <x v="1104"/>
    </i>
    <i>
      <x v="1105"/>
    </i>
    <i>
      <x v="1106"/>
    </i>
    <i>
      <x v="1107"/>
    </i>
    <i>
      <x v="1108"/>
    </i>
    <i>
      <x v="1110"/>
    </i>
    <i>
      <x v="1111"/>
    </i>
    <i>
      <x v="1113"/>
    </i>
    <i>
      <x v="1114"/>
    </i>
    <i>
      <x v="1115"/>
    </i>
    <i>
      <x v="1116"/>
    </i>
    <i>
      <x v="1117"/>
    </i>
    <i>
      <x v="1118"/>
    </i>
    <i>
      <x v="1119"/>
    </i>
    <i>
      <x v="1120"/>
    </i>
    <i>
      <x v="1121"/>
    </i>
    <i>
      <x v="1123"/>
    </i>
    <i>
      <x v="1124"/>
    </i>
    <i>
      <x v="1126"/>
    </i>
    <i>
      <x v="1127"/>
    </i>
    <i>
      <x v="1128"/>
    </i>
    <i>
      <x v="1129"/>
    </i>
    <i>
      <x v="1130"/>
    </i>
    <i>
      <x v="1134"/>
    </i>
    <i>
      <x v="1135"/>
    </i>
    <i>
      <x v="1137"/>
    </i>
    <i>
      <x v="1140"/>
    </i>
    <i>
      <x v="1141"/>
    </i>
    <i>
      <x v="1142"/>
    </i>
    <i>
      <x v="1143"/>
    </i>
    <i>
      <x v="1144"/>
    </i>
    <i>
      <x v="1145"/>
    </i>
    <i>
      <x v="1148"/>
    </i>
    <i>
      <x v="1149"/>
    </i>
    <i>
      <x v="1151"/>
    </i>
    <i>
      <x v="1152"/>
    </i>
    <i>
      <x v="1153"/>
    </i>
    <i>
      <x v="1154"/>
    </i>
    <i>
      <x v="1155"/>
    </i>
    <i>
      <x v="1156"/>
    </i>
    <i>
      <x v="1158"/>
    </i>
    <i>
      <x v="1160"/>
    </i>
    <i>
      <x v="1161"/>
    </i>
    <i>
      <x v="1162"/>
    </i>
    <i>
      <x v="1163"/>
    </i>
    <i>
      <x v="1164"/>
    </i>
    <i>
      <x v="1165"/>
    </i>
    <i>
      <x v="1166"/>
    </i>
    <i>
      <x v="1167"/>
    </i>
    <i>
      <x v="1168"/>
    </i>
    <i>
      <x v="1169"/>
    </i>
    <i>
      <x v="1170"/>
    </i>
    <i>
      <x v="1171"/>
    </i>
    <i>
      <x v="1172"/>
    </i>
    <i>
      <x v="1173"/>
    </i>
    <i>
      <x v="1174"/>
    </i>
    <i>
      <x v="1175"/>
    </i>
    <i>
      <x v="1176"/>
    </i>
    <i>
      <x v="1177"/>
    </i>
    <i>
      <x v="1179"/>
    </i>
    <i>
      <x v="1180"/>
    </i>
    <i>
      <x v="1182"/>
    </i>
    <i>
      <x v="1183"/>
    </i>
    <i>
      <x v="1184"/>
    </i>
    <i>
      <x v="1185"/>
    </i>
    <i>
      <x v="1188"/>
    </i>
    <i>
      <x v="1189"/>
    </i>
    <i>
      <x v="1190"/>
    </i>
    <i>
      <x v="1192"/>
    </i>
    <i>
      <x v="1193"/>
    </i>
    <i>
      <x v="1195"/>
    </i>
    <i>
      <x v="1197"/>
    </i>
    <i>
      <x v="1198"/>
    </i>
    <i>
      <x v="1200"/>
    </i>
    <i>
      <x v="1201"/>
    </i>
    <i>
      <x v="1202"/>
    </i>
    <i>
      <x v="1203"/>
    </i>
    <i>
      <x v="1204"/>
    </i>
    <i>
      <x v="1206"/>
    </i>
    <i>
      <x v="1208"/>
    </i>
    <i>
      <x v="1210"/>
    </i>
    <i>
      <x v="1211"/>
    </i>
    <i>
      <x v="1212"/>
    </i>
    <i>
      <x v="1213"/>
    </i>
    <i>
      <x v="1214"/>
    </i>
    <i>
      <x v="1215"/>
    </i>
    <i>
      <x v="1220"/>
    </i>
    <i>
      <x v="1221"/>
    </i>
    <i>
      <x v="1223"/>
    </i>
    <i>
      <x v="1224"/>
    </i>
    <i>
      <x v="1225"/>
    </i>
    <i>
      <x v="1226"/>
    </i>
    <i>
      <x v="1228"/>
    </i>
    <i>
      <x v="1229"/>
    </i>
    <i>
      <x v="1231"/>
    </i>
    <i>
      <x v="1234"/>
    </i>
    <i>
      <x v="1235"/>
    </i>
    <i>
      <x v="1237"/>
    </i>
    <i>
      <x v="1238"/>
    </i>
    <i>
      <x v="1239"/>
    </i>
    <i>
      <x v="1240"/>
    </i>
    <i>
      <x v="1242"/>
    </i>
    <i>
      <x v="1243"/>
    </i>
    <i>
      <x v="1244"/>
    </i>
    <i>
      <x v="1245"/>
    </i>
    <i>
      <x v="1246"/>
    </i>
    <i>
      <x v="1249"/>
    </i>
    <i>
      <x v="1250"/>
    </i>
    <i>
      <x v="1253"/>
    </i>
    <i>
      <x v="1254"/>
    </i>
    <i>
      <x v="1255"/>
    </i>
    <i>
      <x v="1256"/>
    </i>
    <i>
      <x v="1257"/>
    </i>
    <i>
      <x v="1258"/>
    </i>
    <i>
      <x v="1262"/>
    </i>
    <i>
      <x v="1266"/>
    </i>
    <i>
      <x v="1267"/>
    </i>
    <i>
      <x v="1269"/>
    </i>
    <i>
      <x v="1270"/>
    </i>
    <i>
      <x v="1271"/>
    </i>
    <i>
      <x v="1272"/>
    </i>
    <i>
      <x v="1273"/>
    </i>
    <i>
      <x v="1275"/>
    </i>
    <i>
      <x v="1276"/>
    </i>
    <i>
      <x v="1277"/>
    </i>
    <i>
      <x v="1278"/>
    </i>
    <i>
      <x v="1280"/>
    </i>
    <i>
      <x v="1282"/>
    </i>
    <i>
      <x v="1284"/>
    </i>
    <i>
      <x v="1285"/>
    </i>
    <i>
      <x v="1287"/>
    </i>
    <i>
      <x v="1288"/>
    </i>
    <i>
      <x v="1289"/>
    </i>
    <i>
      <x v="1290"/>
    </i>
    <i>
      <x v="1291"/>
    </i>
    <i>
      <x v="1292"/>
    </i>
    <i>
      <x v="1296"/>
    </i>
    <i>
      <x v="1300"/>
    </i>
    <i>
      <x v="1301"/>
    </i>
    <i>
      <x v="1302"/>
    </i>
    <i>
      <x v="1303"/>
    </i>
    <i>
      <x v="1304"/>
    </i>
    <i>
      <x v="1306"/>
    </i>
    <i>
      <x v="1307"/>
    </i>
    <i>
      <x v="1308"/>
    </i>
    <i>
      <x v="1309"/>
    </i>
    <i>
      <x v="1310"/>
    </i>
    <i>
      <x v="1311"/>
    </i>
    <i>
      <x v="1312"/>
    </i>
    <i>
      <x v="1313"/>
    </i>
    <i>
      <x v="1314"/>
    </i>
    <i>
      <x v="1317"/>
    </i>
    <i>
      <x v="1318"/>
    </i>
    <i>
      <x v="1319"/>
    </i>
    <i>
      <x v="1322"/>
    </i>
    <i>
      <x v="1323"/>
    </i>
    <i>
      <x v="1324"/>
    </i>
    <i>
      <x v="1325"/>
    </i>
    <i>
      <x v="1326"/>
    </i>
    <i>
      <x v="1327"/>
    </i>
    <i>
      <x v="1330"/>
    </i>
    <i>
      <x v="1331"/>
    </i>
    <i>
      <x v="1332"/>
    </i>
    <i>
      <x v="1333"/>
    </i>
    <i>
      <x v="1334"/>
    </i>
    <i>
      <x v="1335"/>
    </i>
    <i>
      <x v="1336"/>
    </i>
    <i>
      <x v="1337"/>
    </i>
    <i>
      <x v="1339"/>
    </i>
    <i>
      <x v="1340"/>
    </i>
    <i>
      <x v="1341"/>
    </i>
    <i>
      <x v="1343"/>
    </i>
    <i>
      <x v="1345"/>
    </i>
    <i>
      <x v="1347"/>
    </i>
    <i>
      <x v="1348"/>
    </i>
    <i>
      <x v="1349"/>
    </i>
    <i>
      <x v="1351"/>
    </i>
    <i>
      <x v="1352"/>
    </i>
    <i>
      <x v="1353"/>
    </i>
    <i>
      <x v="1354"/>
    </i>
    <i>
      <x v="1355"/>
    </i>
    <i>
      <x v="1356"/>
    </i>
    <i>
      <x v="1357"/>
    </i>
    <i>
      <x v="1358"/>
    </i>
    <i>
      <x v="1359"/>
    </i>
    <i>
      <x v="1360"/>
    </i>
    <i>
      <x v="1361"/>
    </i>
    <i>
      <x v="1362"/>
    </i>
    <i>
      <x v="1363"/>
    </i>
    <i>
      <x v="1364"/>
    </i>
    <i>
      <x v="1365"/>
    </i>
    <i>
      <x v="1366"/>
    </i>
    <i>
      <x v="1367"/>
    </i>
    <i>
      <x v="1369"/>
    </i>
    <i>
      <x v="1370"/>
    </i>
    <i>
      <x v="1372"/>
    </i>
    <i>
      <x v="1373"/>
    </i>
    <i>
      <x v="1374"/>
    </i>
    <i>
      <x v="1376"/>
    </i>
    <i>
      <x v="1377"/>
    </i>
    <i>
      <x v="1378"/>
    </i>
    <i>
      <x v="1380"/>
    </i>
    <i>
      <x v="1381"/>
    </i>
    <i>
      <x v="1382"/>
    </i>
    <i>
      <x v="1383"/>
    </i>
    <i>
      <x v="1384"/>
    </i>
    <i>
      <x v="1385"/>
    </i>
    <i>
      <x v="1386"/>
    </i>
    <i>
      <x v="1387"/>
    </i>
    <i>
      <x v="1388"/>
    </i>
    <i>
      <x v="1389"/>
    </i>
    <i>
      <x v="1391"/>
    </i>
    <i>
      <x v="1392"/>
    </i>
    <i>
      <x v="1394"/>
    </i>
    <i>
      <x v="1395"/>
    </i>
    <i>
      <x v="1396"/>
    </i>
    <i>
      <x v="1397"/>
    </i>
    <i>
      <x v="1398"/>
    </i>
    <i>
      <x v="1399"/>
    </i>
    <i>
      <x v="1401"/>
    </i>
    <i>
      <x v="1403"/>
    </i>
    <i>
      <x v="1404"/>
    </i>
    <i>
      <x v="1407"/>
    </i>
    <i>
      <x v="1409"/>
    </i>
    <i>
      <x v="1410"/>
    </i>
    <i>
      <x v="1411"/>
    </i>
    <i>
      <x v="1412"/>
    </i>
    <i>
      <x v="1413"/>
    </i>
    <i>
      <x v="1415"/>
    </i>
    <i>
      <x v="1416"/>
    </i>
    <i>
      <x v="1417"/>
    </i>
    <i>
      <x v="1419"/>
    </i>
    <i>
      <x v="1420"/>
    </i>
    <i>
      <x v="1421"/>
    </i>
    <i>
      <x v="1422"/>
    </i>
    <i>
      <x v="1423"/>
    </i>
    <i>
      <x v="1425"/>
    </i>
    <i>
      <x v="1428"/>
    </i>
    <i>
      <x v="1429"/>
    </i>
    <i>
      <x v="1430"/>
    </i>
    <i>
      <x v="1432"/>
    </i>
    <i>
      <x v="1433"/>
    </i>
    <i>
      <x v="1434"/>
    </i>
    <i>
      <x v="1435"/>
    </i>
    <i>
      <x v="1436"/>
    </i>
    <i>
      <x v="1437"/>
    </i>
    <i>
      <x v="1438"/>
    </i>
    <i>
      <x v="1439"/>
    </i>
    <i>
      <x v="1440"/>
    </i>
    <i>
      <x v="1441"/>
    </i>
    <i>
      <x v="1442"/>
    </i>
    <i>
      <x v="1443"/>
    </i>
    <i>
      <x v="1446"/>
    </i>
    <i>
      <x v="1447"/>
    </i>
    <i>
      <x v="1448"/>
    </i>
    <i>
      <x v="1450"/>
    </i>
    <i>
      <x v="1455"/>
    </i>
    <i>
      <x v="1458"/>
    </i>
    <i>
      <x v="1461"/>
    </i>
    <i>
      <x v="1462"/>
    </i>
    <i>
      <x v="1463"/>
    </i>
    <i>
      <x v="1464"/>
    </i>
    <i>
      <x v="1466"/>
    </i>
    <i>
      <x v="1467"/>
    </i>
    <i>
      <x v="1468"/>
    </i>
    <i>
      <x v="1470"/>
    </i>
    <i>
      <x v="1471"/>
    </i>
    <i>
      <x v="1472"/>
    </i>
    <i>
      <x v="1474"/>
    </i>
    <i>
      <x v="1475"/>
    </i>
    <i>
      <x v="1478"/>
    </i>
    <i>
      <x v="1480"/>
    </i>
    <i>
      <x v="1481"/>
    </i>
    <i>
      <x v="1482"/>
    </i>
    <i>
      <x v="1483"/>
    </i>
    <i>
      <x v="1484"/>
    </i>
    <i>
      <x v="1485"/>
    </i>
    <i>
      <x v="1486"/>
    </i>
    <i>
      <x v="1487"/>
    </i>
    <i>
      <x v="1489"/>
    </i>
    <i>
      <x v="1490"/>
    </i>
    <i>
      <x v="1491"/>
    </i>
    <i>
      <x v="1494"/>
    </i>
    <i>
      <x v="1495"/>
    </i>
    <i>
      <x v="1496"/>
    </i>
    <i>
      <x v="1497"/>
    </i>
    <i>
      <x v="1498"/>
    </i>
  </rowItems>
  <colFields count="1">
    <field x="16"/>
  </colFields>
  <colItems count="1">
    <i>
      <x v="1"/>
    </i>
  </colItems>
  <dataFields count="1">
    <dataField name="Count of Order 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958E2D-CD21-49C0-8E50-C733FF047159}"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7" firstHeaderRow="1" firstDataRow="2" firstDataCol="1"/>
  <pivotFields count="19">
    <pivotField showAll="0" defaultSubtotal="0"/>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sortType="descending" defaultSubtotal="0">
      <items count="3">
        <item x="1"/>
        <item x="2"/>
        <item x="0"/>
      </items>
      <autoSortScope>
        <pivotArea dataOnly="0" outline="0" fieldPosition="0">
          <references count="2">
            <reference field="4294967294" count="1" selected="0">
              <x v="0"/>
            </reference>
            <reference field="16" count="1" selected="0">
              <x v="3"/>
            </reference>
          </references>
        </pivotArea>
      </autoSortScope>
    </pivotField>
    <pivotField showAll="0" defaultSubtotal="0"/>
    <pivotField axis="axisCol" dataField="1" showAll="0" defaultSubtotal="0">
      <items count="4">
        <item x="3"/>
        <item h="1" x="0"/>
        <item h="1" x="2"/>
        <item x="1"/>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4"/>
  </rowFields>
  <rowItems count="3">
    <i>
      <x/>
    </i>
    <i>
      <x v="2"/>
    </i>
    <i>
      <x v="1"/>
    </i>
  </rowItems>
  <colFields count="1">
    <field x="16"/>
  </colFields>
  <colItems count="2">
    <i>
      <x/>
    </i>
    <i>
      <x v="3"/>
    </i>
  </colItems>
  <dataFields count="1">
    <dataField name="Count of Delivery Status" fld="1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EF314C-EA95-484B-8CFC-53D0F02267F1}"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7" firstHeaderRow="1" firstDataRow="2" firstDataCol="1"/>
  <pivotFields count="19">
    <pivotField dataField="1" showAll="0" defaultSubtotal="0"/>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sortType="descending" defaultSubtotal="0">
      <items count="3">
        <item x="1"/>
        <item x="0"/>
        <item x="2"/>
      </items>
      <autoSortScope>
        <pivotArea dataOnly="0" outline="0" fieldPosition="0">
          <references count="2">
            <reference field="4294967294" count="1" selected="0">
              <x v="0"/>
            </reference>
            <reference field="16" count="1" selected="0">
              <x v="1"/>
            </reference>
          </references>
        </pivotArea>
      </autoSortScope>
    </pivotField>
    <pivotField axis="axisCol" showAll="0" defaultSubtotal="0">
      <items count="4">
        <item x="3"/>
        <item x="0"/>
        <item x="2"/>
        <item x="1"/>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5"/>
  </rowFields>
  <rowItems count="3">
    <i>
      <x/>
    </i>
    <i>
      <x v="1"/>
    </i>
    <i>
      <x v="2"/>
    </i>
  </rowItems>
  <colFields count="1">
    <field x="16"/>
  </colFields>
  <colItems count="4">
    <i>
      <x/>
    </i>
    <i>
      <x v="1"/>
    </i>
    <i>
      <x v="2"/>
    </i>
    <i>
      <x v="3"/>
    </i>
  </colItems>
  <dataFields count="1">
    <dataField name="Count of Order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769E5B-7AF6-4C09-81F3-EDDA11240644}"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livery Status">
  <location ref="A3:B7" firstHeaderRow="1" firstDataRow="1" firstDataCol="1"/>
  <pivotFields count="19">
    <pivotField showAll="0" defaultSubtotal="0"/>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axis="axisRow" showAll="0" defaultSubtotal="0">
      <items count="4">
        <item x="3"/>
        <item x="0"/>
        <item x="2"/>
        <item x="1"/>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16"/>
  </rowFields>
  <rowItems count="4">
    <i>
      <x/>
    </i>
    <i>
      <x v="1"/>
    </i>
    <i>
      <x v="2"/>
    </i>
    <i>
      <x v="3"/>
    </i>
  </rowItems>
  <colItems count="1">
    <i/>
  </colItems>
  <dataFields count="1">
    <dataField name="Average Discount" fld="11" subtotal="average" baseField="16" baseItem="0"/>
  </dataFields>
  <formats count="1">
    <format dxfId="2">
      <pivotArea collapsedLevelsAreSubtotals="1" fieldPosition="0">
        <references count="1">
          <reference field="1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C951E4-B15E-49A7-93B3-8773C9E65E23}"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24" firstHeaderRow="1" firstDataRow="2" firstDataCol="1"/>
  <pivotFields count="19">
    <pivotField showAll="0" defaultSubtotal="0"/>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showAll="0" defaultSubtotal="0"/>
    <pivotField axis="axisRow" showAll="0" sortType="descending" defaultSubtotal="0">
      <items count="20">
        <item x="5"/>
        <item x="14"/>
        <item x="6"/>
        <item x="17"/>
        <item x="9"/>
        <item x="2"/>
        <item x="15"/>
        <item x="12"/>
        <item x="19"/>
        <item x="4"/>
        <item x="1"/>
        <item x="7"/>
        <item x="10"/>
        <item x="13"/>
        <item x="0"/>
        <item x="3"/>
        <item x="16"/>
        <item x="18"/>
        <item x="11"/>
        <item x="8"/>
      </items>
      <autoSortScope>
        <pivotArea dataOnly="0" outline="0" fieldPosition="0">
          <references count="2">
            <reference field="4294967294" count="1" selected="0">
              <x v="0"/>
            </reference>
            <reference field="16"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Col" dataField="1" showAll="0" defaultSubtotal="0">
      <items count="4">
        <item x="3"/>
        <item h="1" x="0"/>
        <item h="1" x="2"/>
        <item x="1"/>
      </items>
    </pivotField>
    <pivotField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ubtotalTop="0" showAll="0" defaultSubtotal="0">
      <items count="14">
        <item x="0"/>
        <item x="1"/>
        <item x="2"/>
        <item x="3"/>
        <item x="4"/>
        <item x="5"/>
        <item x="6"/>
        <item x="7"/>
        <item x="8"/>
        <item x="9"/>
        <item x="10"/>
        <item x="11"/>
        <item x="12"/>
        <item x="13"/>
      </items>
    </pivotField>
  </pivotFields>
  <rowFields count="1">
    <field x="5"/>
  </rowFields>
  <rowItems count="20">
    <i>
      <x v="3"/>
    </i>
    <i>
      <x v="4"/>
    </i>
    <i>
      <x v="15"/>
    </i>
    <i>
      <x v="18"/>
    </i>
    <i>
      <x v="1"/>
    </i>
    <i>
      <x v="7"/>
    </i>
    <i>
      <x v="5"/>
    </i>
    <i>
      <x v="12"/>
    </i>
    <i>
      <x/>
    </i>
    <i>
      <x v="16"/>
    </i>
    <i>
      <x v="6"/>
    </i>
    <i>
      <x v="14"/>
    </i>
    <i>
      <x v="17"/>
    </i>
    <i>
      <x v="10"/>
    </i>
    <i>
      <x v="8"/>
    </i>
    <i>
      <x v="13"/>
    </i>
    <i>
      <x v="9"/>
    </i>
    <i>
      <x v="11"/>
    </i>
    <i>
      <x v="19"/>
    </i>
    <i>
      <x v="2"/>
    </i>
  </rowItems>
  <colFields count="1">
    <field x="16"/>
  </colFields>
  <colItems count="2">
    <i>
      <x/>
    </i>
    <i>
      <x v="3"/>
    </i>
  </colItems>
  <dataFields count="1">
    <dataField name="Count of Delivery Status"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0411A4-95D4-4230-B126-6E61ED096369}"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F377" firstHeaderRow="1" firstDataRow="2" firstDataCol="1"/>
  <pivotFields count="19">
    <pivotField showAll="0" defaultSubtotal="0"/>
    <pivotField axis="axisRow"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axis="axisCol" showAll="0" defaultSubtotal="0">
      <items count="5">
        <item x="2"/>
        <item x="3"/>
        <item x="0"/>
        <item x="1"/>
        <item x="4"/>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ubtotalTop="0" showAll="0" defaultSubtotal="0">
      <items count="14">
        <item x="0"/>
        <item x="1"/>
        <item x="2"/>
        <item x="3"/>
        <item x="4"/>
        <item x="5"/>
        <item x="6"/>
        <item x="7"/>
        <item x="8"/>
        <item x="9"/>
        <item x="10"/>
        <item x="11"/>
        <item x="12"/>
        <item x="13"/>
      </items>
    </pivotField>
  </pivotFields>
  <rowFields count="3">
    <field x="18"/>
    <field x="17"/>
    <field x="1"/>
  </rowFields>
  <rowItems count="373">
    <i>
      <x v="1"/>
    </i>
    <i r="1">
      <x v="3"/>
    </i>
    <i r="2">
      <x/>
    </i>
    <i r="1">
      <x v="4"/>
    </i>
    <i r="2">
      <x v="1"/>
    </i>
    <i r="1">
      <x v="5"/>
    </i>
    <i r="2">
      <x v="2"/>
    </i>
    <i r="1">
      <x v="6"/>
    </i>
    <i r="2">
      <x v="3"/>
    </i>
    <i r="1">
      <x v="7"/>
    </i>
    <i r="2">
      <x v="4"/>
    </i>
    <i r="1">
      <x v="8"/>
    </i>
    <i r="2">
      <x v="5"/>
    </i>
    <i r="1">
      <x v="9"/>
    </i>
    <i r="2">
      <x v="6"/>
    </i>
    <i r="1">
      <x v="10"/>
    </i>
    <i r="2">
      <x v="7"/>
    </i>
    <i r="1">
      <x v="11"/>
    </i>
    <i r="2">
      <x v="8"/>
    </i>
    <i r="1">
      <x v="12"/>
    </i>
    <i r="2">
      <x v="9"/>
    </i>
    <i r="1">
      <x v="13"/>
    </i>
    <i r="2">
      <x v="10"/>
    </i>
    <i r="1">
      <x v="14"/>
    </i>
    <i r="2">
      <x v="11"/>
    </i>
    <i r="1">
      <x v="15"/>
    </i>
    <i r="2">
      <x v="12"/>
    </i>
    <i r="1">
      <x v="16"/>
    </i>
    <i r="2">
      <x v="13"/>
    </i>
    <i r="1">
      <x v="17"/>
    </i>
    <i r="2">
      <x v="14"/>
    </i>
    <i r="1">
      <x v="18"/>
    </i>
    <i r="2">
      <x v="15"/>
    </i>
    <i r="1">
      <x v="19"/>
    </i>
    <i r="2">
      <x v="16"/>
    </i>
    <i r="1">
      <x v="20"/>
    </i>
    <i r="2">
      <x v="17"/>
    </i>
    <i r="1">
      <x v="21"/>
    </i>
    <i r="2">
      <x v="18"/>
    </i>
    <i r="1">
      <x v="22"/>
    </i>
    <i r="2">
      <x v="19"/>
    </i>
    <i r="1">
      <x v="23"/>
    </i>
    <i r="2">
      <x v="20"/>
    </i>
    <i r="1">
      <x v="24"/>
    </i>
    <i r="2">
      <x v="21"/>
    </i>
    <i r="1">
      <x v="25"/>
    </i>
    <i r="2">
      <x v="22"/>
    </i>
    <i r="1">
      <x v="26"/>
    </i>
    <i r="2">
      <x v="23"/>
    </i>
    <i r="1">
      <x v="27"/>
    </i>
    <i r="2">
      <x v="24"/>
    </i>
    <i r="1">
      <x v="28"/>
    </i>
    <i r="2">
      <x v="25"/>
    </i>
    <i r="1">
      <x v="29"/>
    </i>
    <i r="2">
      <x v="26"/>
    </i>
    <i r="1">
      <x v="30"/>
    </i>
    <i r="2">
      <x v="27"/>
    </i>
    <i r="1">
      <x v="31"/>
    </i>
    <i r="2">
      <x v="28"/>
    </i>
    <i>
      <x v="2"/>
    </i>
    <i r="1">
      <x v="32"/>
    </i>
    <i r="2">
      <x v="29"/>
    </i>
    <i r="1">
      <x v="33"/>
    </i>
    <i r="2">
      <x v="30"/>
    </i>
    <i r="1">
      <x v="34"/>
    </i>
    <i r="2">
      <x v="31"/>
    </i>
    <i r="1">
      <x v="35"/>
    </i>
    <i r="2">
      <x v="32"/>
    </i>
    <i r="1">
      <x v="36"/>
    </i>
    <i r="2">
      <x v="33"/>
    </i>
    <i r="1">
      <x v="37"/>
    </i>
    <i r="2">
      <x v="34"/>
    </i>
    <i r="1">
      <x v="38"/>
    </i>
    <i r="2">
      <x v="35"/>
    </i>
    <i r="1">
      <x v="39"/>
    </i>
    <i r="2">
      <x v="36"/>
    </i>
    <i r="1">
      <x v="40"/>
    </i>
    <i r="2">
      <x v="37"/>
    </i>
    <i r="1">
      <x v="41"/>
    </i>
    <i r="2">
      <x v="38"/>
    </i>
    <i r="1">
      <x v="42"/>
    </i>
    <i r="2">
      <x v="39"/>
    </i>
    <i r="1">
      <x v="43"/>
    </i>
    <i r="2">
      <x v="40"/>
    </i>
    <i r="1">
      <x v="44"/>
    </i>
    <i r="2">
      <x v="41"/>
    </i>
    <i r="1">
      <x v="45"/>
    </i>
    <i r="2">
      <x v="42"/>
    </i>
    <i r="1">
      <x v="46"/>
    </i>
    <i r="2">
      <x v="43"/>
    </i>
    <i r="1">
      <x v="47"/>
    </i>
    <i r="2">
      <x v="44"/>
    </i>
    <i r="1">
      <x v="48"/>
    </i>
    <i r="2">
      <x v="45"/>
    </i>
    <i r="1">
      <x v="49"/>
    </i>
    <i r="2">
      <x v="46"/>
    </i>
    <i r="1">
      <x v="50"/>
    </i>
    <i r="2">
      <x v="47"/>
    </i>
    <i r="1">
      <x v="51"/>
    </i>
    <i r="2">
      <x v="48"/>
    </i>
    <i r="1">
      <x v="52"/>
    </i>
    <i r="2">
      <x v="49"/>
    </i>
    <i r="1">
      <x v="53"/>
    </i>
    <i r="2">
      <x v="50"/>
    </i>
    <i r="1">
      <x v="54"/>
    </i>
    <i r="2">
      <x v="51"/>
    </i>
    <i r="1">
      <x v="55"/>
    </i>
    <i r="2">
      <x v="52"/>
    </i>
    <i r="1">
      <x v="56"/>
    </i>
    <i r="2">
      <x v="53"/>
    </i>
    <i r="1">
      <x v="57"/>
    </i>
    <i r="2">
      <x v="54"/>
    </i>
    <i r="1">
      <x v="58"/>
    </i>
    <i r="2">
      <x v="55"/>
    </i>
    <i r="1">
      <x v="59"/>
    </i>
    <i r="2">
      <x v="56"/>
    </i>
    <i>
      <x v="3"/>
    </i>
    <i r="1">
      <x v="61"/>
    </i>
    <i r="2">
      <x v="57"/>
    </i>
    <i r="1">
      <x v="62"/>
    </i>
    <i r="2">
      <x v="58"/>
    </i>
    <i r="1">
      <x v="63"/>
    </i>
    <i r="2">
      <x v="59"/>
    </i>
    <i r="1">
      <x v="64"/>
    </i>
    <i r="2">
      <x v="60"/>
    </i>
    <i r="1">
      <x v="65"/>
    </i>
    <i r="2">
      <x v="61"/>
    </i>
    <i r="1">
      <x v="66"/>
    </i>
    <i r="2">
      <x v="62"/>
    </i>
    <i r="1">
      <x v="67"/>
    </i>
    <i r="2">
      <x v="63"/>
    </i>
    <i r="1">
      <x v="68"/>
    </i>
    <i r="2">
      <x v="64"/>
    </i>
    <i r="1">
      <x v="69"/>
    </i>
    <i r="2">
      <x v="65"/>
    </i>
    <i r="1">
      <x v="70"/>
    </i>
    <i r="2">
      <x v="66"/>
    </i>
    <i r="1">
      <x v="71"/>
    </i>
    <i r="2">
      <x v="67"/>
    </i>
    <i r="1">
      <x v="72"/>
    </i>
    <i r="2">
      <x v="68"/>
    </i>
    <i r="1">
      <x v="73"/>
    </i>
    <i r="2">
      <x v="69"/>
    </i>
    <i r="1">
      <x v="74"/>
    </i>
    <i r="2">
      <x v="70"/>
    </i>
    <i r="1">
      <x v="75"/>
    </i>
    <i r="2">
      <x v="71"/>
    </i>
    <i r="1">
      <x v="76"/>
    </i>
    <i r="2">
      <x v="72"/>
    </i>
    <i r="1">
      <x v="77"/>
    </i>
    <i r="2">
      <x v="73"/>
    </i>
    <i r="1">
      <x v="78"/>
    </i>
    <i r="2">
      <x v="74"/>
    </i>
    <i r="1">
      <x v="79"/>
    </i>
    <i r="2">
      <x v="75"/>
    </i>
    <i r="1">
      <x v="80"/>
    </i>
    <i r="2">
      <x v="76"/>
    </i>
    <i r="1">
      <x v="81"/>
    </i>
    <i r="2">
      <x v="77"/>
    </i>
    <i r="1">
      <x v="82"/>
    </i>
    <i r="2">
      <x v="78"/>
    </i>
    <i r="1">
      <x v="83"/>
    </i>
    <i r="2">
      <x v="79"/>
    </i>
    <i r="1">
      <x v="84"/>
    </i>
    <i r="2">
      <x v="80"/>
    </i>
    <i r="1">
      <x v="85"/>
    </i>
    <i r="2">
      <x v="81"/>
    </i>
    <i r="1">
      <x v="86"/>
    </i>
    <i r="2">
      <x v="82"/>
    </i>
    <i r="1">
      <x v="87"/>
    </i>
    <i r="2">
      <x v="83"/>
    </i>
    <i r="1">
      <x v="88"/>
    </i>
    <i r="2">
      <x v="84"/>
    </i>
    <i r="1">
      <x v="89"/>
    </i>
    <i r="2">
      <x v="85"/>
    </i>
    <i r="1">
      <x v="90"/>
    </i>
    <i r="2">
      <x v="86"/>
    </i>
    <i r="1">
      <x v="91"/>
    </i>
    <i r="2">
      <x v="87"/>
    </i>
    <i>
      <x v="4"/>
    </i>
    <i r="1">
      <x v="92"/>
    </i>
    <i r="2">
      <x v="88"/>
    </i>
    <i r="1">
      <x v="93"/>
    </i>
    <i r="2">
      <x v="89"/>
    </i>
    <i r="1">
      <x v="94"/>
    </i>
    <i r="2">
      <x v="90"/>
    </i>
    <i r="1">
      <x v="95"/>
    </i>
    <i r="2">
      <x v="91"/>
    </i>
    <i r="1">
      <x v="96"/>
    </i>
    <i r="2">
      <x v="92"/>
    </i>
    <i r="1">
      <x v="97"/>
    </i>
    <i r="2">
      <x v="93"/>
    </i>
    <i r="1">
      <x v="98"/>
    </i>
    <i r="2">
      <x v="94"/>
    </i>
    <i r="1">
      <x v="99"/>
    </i>
    <i r="2">
      <x v="95"/>
    </i>
    <i r="1">
      <x v="100"/>
    </i>
    <i r="2">
      <x v="96"/>
    </i>
    <i r="1">
      <x v="101"/>
    </i>
    <i r="2">
      <x v="97"/>
    </i>
    <i r="1">
      <x v="102"/>
    </i>
    <i r="2">
      <x v="98"/>
    </i>
    <i r="1">
      <x v="103"/>
    </i>
    <i r="2">
      <x v="99"/>
    </i>
    <i r="1">
      <x v="104"/>
    </i>
    <i r="2">
      <x v="100"/>
    </i>
    <i r="1">
      <x v="105"/>
    </i>
    <i r="2">
      <x v="101"/>
    </i>
    <i r="1">
      <x v="106"/>
    </i>
    <i r="2">
      <x v="102"/>
    </i>
    <i r="1">
      <x v="107"/>
    </i>
    <i r="2">
      <x v="103"/>
    </i>
    <i r="1">
      <x v="108"/>
    </i>
    <i r="2">
      <x v="104"/>
    </i>
    <i r="1">
      <x v="109"/>
    </i>
    <i r="2">
      <x v="105"/>
    </i>
    <i r="1">
      <x v="110"/>
    </i>
    <i r="2">
      <x v="106"/>
    </i>
    <i r="1">
      <x v="111"/>
    </i>
    <i r="2">
      <x v="107"/>
    </i>
    <i r="1">
      <x v="112"/>
    </i>
    <i r="2">
      <x v="108"/>
    </i>
    <i r="1">
      <x v="113"/>
    </i>
    <i r="2">
      <x v="109"/>
    </i>
    <i r="1">
      <x v="114"/>
    </i>
    <i r="2">
      <x v="110"/>
    </i>
    <i r="1">
      <x v="115"/>
    </i>
    <i r="2">
      <x v="111"/>
    </i>
    <i r="1">
      <x v="116"/>
    </i>
    <i r="2">
      <x v="112"/>
    </i>
    <i r="1">
      <x v="117"/>
    </i>
    <i r="2">
      <x v="113"/>
    </i>
    <i r="1">
      <x v="118"/>
    </i>
    <i r="2">
      <x v="114"/>
    </i>
    <i r="1">
      <x v="119"/>
    </i>
    <i r="2">
      <x v="115"/>
    </i>
    <i r="1">
      <x v="120"/>
    </i>
    <i r="2">
      <x v="116"/>
    </i>
    <i r="1">
      <x v="121"/>
    </i>
    <i r="2">
      <x v="117"/>
    </i>
    <i>
      <x v="5"/>
    </i>
    <i r="1">
      <x v="122"/>
    </i>
    <i r="2">
      <x v="118"/>
    </i>
    <i r="1">
      <x v="123"/>
    </i>
    <i r="2">
      <x v="119"/>
    </i>
    <i r="1">
      <x v="124"/>
    </i>
    <i r="2">
      <x v="120"/>
    </i>
    <i r="1">
      <x v="125"/>
    </i>
    <i r="2">
      <x v="121"/>
    </i>
    <i r="1">
      <x v="126"/>
    </i>
    <i r="2">
      <x v="122"/>
    </i>
    <i r="1">
      <x v="127"/>
    </i>
    <i r="2">
      <x v="123"/>
    </i>
    <i r="1">
      <x v="128"/>
    </i>
    <i r="2">
      <x v="124"/>
    </i>
    <i r="1">
      <x v="129"/>
    </i>
    <i r="2">
      <x v="125"/>
    </i>
    <i r="1">
      <x v="130"/>
    </i>
    <i r="2">
      <x v="126"/>
    </i>
    <i r="1">
      <x v="131"/>
    </i>
    <i r="2">
      <x v="127"/>
    </i>
    <i r="1">
      <x v="132"/>
    </i>
    <i r="2">
      <x v="128"/>
    </i>
    <i r="1">
      <x v="133"/>
    </i>
    <i r="2">
      <x v="129"/>
    </i>
    <i r="1">
      <x v="134"/>
    </i>
    <i r="2">
      <x v="130"/>
    </i>
    <i r="1">
      <x v="135"/>
    </i>
    <i r="2">
      <x v="131"/>
    </i>
    <i r="1">
      <x v="136"/>
    </i>
    <i r="2">
      <x v="132"/>
    </i>
    <i r="1">
      <x v="137"/>
    </i>
    <i r="2">
      <x v="133"/>
    </i>
    <i r="1">
      <x v="138"/>
    </i>
    <i r="2">
      <x v="134"/>
    </i>
    <i r="1">
      <x v="139"/>
    </i>
    <i r="2">
      <x v="135"/>
    </i>
    <i r="1">
      <x v="140"/>
    </i>
    <i r="2">
      <x v="136"/>
    </i>
    <i r="1">
      <x v="141"/>
    </i>
    <i r="2">
      <x v="137"/>
    </i>
    <i r="1">
      <x v="142"/>
    </i>
    <i r="2">
      <x v="138"/>
    </i>
    <i r="1">
      <x v="143"/>
    </i>
    <i r="2">
      <x v="139"/>
    </i>
    <i r="1">
      <x v="144"/>
    </i>
    <i r="2">
      <x v="140"/>
    </i>
    <i r="1">
      <x v="145"/>
    </i>
    <i r="2">
      <x v="141"/>
    </i>
    <i r="1">
      <x v="146"/>
    </i>
    <i r="2">
      <x v="142"/>
    </i>
    <i r="1">
      <x v="147"/>
    </i>
    <i r="2">
      <x v="143"/>
    </i>
    <i r="1">
      <x v="148"/>
    </i>
    <i r="2">
      <x v="144"/>
    </i>
    <i r="1">
      <x v="149"/>
    </i>
    <i r="2">
      <x v="145"/>
    </i>
    <i r="1">
      <x v="150"/>
    </i>
    <i r="2">
      <x v="146"/>
    </i>
    <i r="1">
      <x v="151"/>
    </i>
    <i r="2">
      <x v="147"/>
    </i>
    <i r="1">
      <x v="152"/>
    </i>
    <i r="2">
      <x v="148"/>
    </i>
    <i>
      <x v="6"/>
    </i>
    <i r="1">
      <x v="153"/>
    </i>
    <i r="2">
      <x v="149"/>
    </i>
    <i r="1">
      <x v="154"/>
    </i>
    <i r="2">
      <x v="150"/>
    </i>
    <i r="1">
      <x v="155"/>
    </i>
    <i r="2">
      <x v="151"/>
    </i>
    <i r="1">
      <x v="156"/>
    </i>
    <i r="2">
      <x v="152"/>
    </i>
    <i r="1">
      <x v="157"/>
    </i>
    <i r="2">
      <x v="153"/>
    </i>
    <i r="1">
      <x v="158"/>
    </i>
    <i r="2">
      <x v="154"/>
    </i>
    <i r="1">
      <x v="159"/>
    </i>
    <i r="2">
      <x v="155"/>
    </i>
    <i r="1">
      <x v="160"/>
    </i>
    <i r="2">
      <x v="156"/>
    </i>
    <i r="1">
      <x v="161"/>
    </i>
    <i r="2">
      <x v="157"/>
    </i>
    <i r="1">
      <x v="162"/>
    </i>
    <i r="2">
      <x v="158"/>
    </i>
    <i r="1">
      <x v="163"/>
    </i>
    <i r="2">
      <x v="159"/>
    </i>
    <i r="1">
      <x v="164"/>
    </i>
    <i r="2">
      <x v="160"/>
    </i>
    <i r="1">
      <x v="165"/>
    </i>
    <i r="2">
      <x v="161"/>
    </i>
    <i r="1">
      <x v="166"/>
    </i>
    <i r="2">
      <x v="162"/>
    </i>
    <i r="1">
      <x v="167"/>
    </i>
    <i r="2">
      <x v="163"/>
    </i>
    <i r="1">
      <x v="168"/>
    </i>
    <i r="2">
      <x v="164"/>
    </i>
    <i r="1">
      <x v="169"/>
    </i>
    <i r="2">
      <x v="165"/>
    </i>
    <i r="1">
      <x v="170"/>
    </i>
    <i r="2">
      <x v="166"/>
    </i>
    <i r="1">
      <x v="171"/>
    </i>
    <i r="2">
      <x v="167"/>
    </i>
    <i r="1">
      <x v="172"/>
    </i>
    <i r="2">
      <x v="168"/>
    </i>
    <i r="1">
      <x v="173"/>
    </i>
    <i r="2">
      <x v="169"/>
    </i>
    <i r="1">
      <x v="174"/>
    </i>
    <i r="2">
      <x v="170"/>
    </i>
    <i r="1">
      <x v="175"/>
    </i>
    <i r="2">
      <x v="171"/>
    </i>
    <i r="1">
      <x v="176"/>
    </i>
    <i r="2">
      <x v="172"/>
    </i>
    <i r="1">
      <x v="177"/>
    </i>
    <i r="2">
      <x v="173"/>
    </i>
    <i r="1">
      <x v="178"/>
    </i>
    <i r="2">
      <x v="174"/>
    </i>
    <i r="1">
      <x v="179"/>
    </i>
    <i r="2">
      <x v="175"/>
    </i>
    <i r="1">
      <x v="180"/>
    </i>
    <i r="2">
      <x v="176"/>
    </i>
    <i r="1">
      <x v="181"/>
    </i>
    <i r="2">
      <x v="177"/>
    </i>
    <i r="1">
      <x v="182"/>
    </i>
    <i r="2">
      <x v="178"/>
    </i>
    <i>
      <x v="7"/>
    </i>
    <i r="1">
      <x v="183"/>
    </i>
    <i r="2">
      <x v="179"/>
    </i>
    <i r="1">
      <x v="184"/>
    </i>
    <i r="2">
      <x v="180"/>
    </i>
    <i r="1">
      <x v="185"/>
    </i>
    <i r="2">
      <x v="181"/>
    </i>
    <i r="1">
      <x v="186"/>
    </i>
    <i r="2">
      <x v="182"/>
    </i>
  </rowItems>
  <colFields count="1">
    <field x="4"/>
  </colFields>
  <colItems count="5">
    <i>
      <x/>
    </i>
    <i>
      <x v="1"/>
    </i>
    <i>
      <x v="2"/>
    </i>
    <i>
      <x v="3"/>
    </i>
    <i>
      <x v="4"/>
    </i>
  </colItems>
  <dataFields count="1">
    <dataField name="Sum of Total Price (?)" fld="9" baseField="0" baseItem="0" numFmtId="164"/>
  </dataFields>
  <formats count="1">
    <format dxfId="1">
      <pivotArea outline="0" collapsedLevelsAreSubtotals="1"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E2631B-79A5-421D-A819-C67025A45BD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7" firstHeaderRow="1" firstDataRow="1" firstDataCol="1"/>
  <pivotFields count="19">
    <pivotField showAll="0"/>
    <pivotField axis="axisRow" numFmtId="15" showAll="0">
      <items count="184">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8"/>
    <field x="17"/>
    <field x="1"/>
  </rowFields>
  <rowItems count="374">
    <i>
      <x v="1"/>
    </i>
    <i r="1">
      <x v="3"/>
    </i>
    <i r="2">
      <x/>
    </i>
    <i r="1">
      <x v="4"/>
    </i>
    <i r="2">
      <x v="1"/>
    </i>
    <i r="1">
      <x v="5"/>
    </i>
    <i r="2">
      <x v="2"/>
    </i>
    <i r="1">
      <x v="6"/>
    </i>
    <i r="2">
      <x v="3"/>
    </i>
    <i r="1">
      <x v="7"/>
    </i>
    <i r="2">
      <x v="4"/>
    </i>
    <i r="1">
      <x v="8"/>
    </i>
    <i r="2">
      <x v="5"/>
    </i>
    <i r="1">
      <x v="9"/>
    </i>
    <i r="2">
      <x v="6"/>
    </i>
    <i r="1">
      <x v="10"/>
    </i>
    <i r="2">
      <x v="7"/>
    </i>
    <i r="1">
      <x v="11"/>
    </i>
    <i r="2">
      <x v="8"/>
    </i>
    <i r="1">
      <x v="12"/>
    </i>
    <i r="2">
      <x v="9"/>
    </i>
    <i r="1">
      <x v="13"/>
    </i>
    <i r="2">
      <x v="10"/>
    </i>
    <i r="1">
      <x v="14"/>
    </i>
    <i r="2">
      <x v="11"/>
    </i>
    <i r="1">
      <x v="15"/>
    </i>
    <i r="2">
      <x v="12"/>
    </i>
    <i r="1">
      <x v="16"/>
    </i>
    <i r="2">
      <x v="13"/>
    </i>
    <i r="1">
      <x v="17"/>
    </i>
    <i r="2">
      <x v="14"/>
    </i>
    <i r="1">
      <x v="18"/>
    </i>
    <i r="2">
      <x v="15"/>
    </i>
    <i r="1">
      <x v="19"/>
    </i>
    <i r="2">
      <x v="16"/>
    </i>
    <i r="1">
      <x v="20"/>
    </i>
    <i r="2">
      <x v="17"/>
    </i>
    <i r="1">
      <x v="21"/>
    </i>
    <i r="2">
      <x v="18"/>
    </i>
    <i r="1">
      <x v="22"/>
    </i>
    <i r="2">
      <x v="19"/>
    </i>
    <i r="1">
      <x v="23"/>
    </i>
    <i r="2">
      <x v="20"/>
    </i>
    <i r="1">
      <x v="24"/>
    </i>
    <i r="2">
      <x v="21"/>
    </i>
    <i r="1">
      <x v="25"/>
    </i>
    <i r="2">
      <x v="22"/>
    </i>
    <i r="1">
      <x v="26"/>
    </i>
    <i r="2">
      <x v="23"/>
    </i>
    <i r="1">
      <x v="27"/>
    </i>
    <i r="2">
      <x v="24"/>
    </i>
    <i r="1">
      <x v="28"/>
    </i>
    <i r="2">
      <x v="25"/>
    </i>
    <i r="1">
      <x v="29"/>
    </i>
    <i r="2">
      <x v="26"/>
    </i>
    <i r="1">
      <x v="30"/>
    </i>
    <i r="2">
      <x v="27"/>
    </i>
    <i r="1">
      <x v="31"/>
    </i>
    <i r="2">
      <x v="28"/>
    </i>
    <i>
      <x v="2"/>
    </i>
    <i r="1">
      <x v="32"/>
    </i>
    <i r="2">
      <x v="29"/>
    </i>
    <i r="1">
      <x v="33"/>
    </i>
    <i r="2">
      <x v="30"/>
    </i>
    <i r="1">
      <x v="34"/>
    </i>
    <i r="2">
      <x v="31"/>
    </i>
    <i r="1">
      <x v="35"/>
    </i>
    <i r="2">
      <x v="32"/>
    </i>
    <i r="1">
      <x v="36"/>
    </i>
    <i r="2">
      <x v="33"/>
    </i>
    <i r="1">
      <x v="37"/>
    </i>
    <i r="2">
      <x v="34"/>
    </i>
    <i r="1">
      <x v="38"/>
    </i>
    <i r="2">
      <x v="35"/>
    </i>
    <i r="1">
      <x v="39"/>
    </i>
    <i r="2">
      <x v="36"/>
    </i>
    <i r="1">
      <x v="40"/>
    </i>
    <i r="2">
      <x v="37"/>
    </i>
    <i r="1">
      <x v="41"/>
    </i>
    <i r="2">
      <x v="38"/>
    </i>
    <i r="1">
      <x v="42"/>
    </i>
    <i r="2">
      <x v="39"/>
    </i>
    <i r="1">
      <x v="43"/>
    </i>
    <i r="2">
      <x v="40"/>
    </i>
    <i r="1">
      <x v="44"/>
    </i>
    <i r="2">
      <x v="41"/>
    </i>
    <i r="1">
      <x v="45"/>
    </i>
    <i r="2">
      <x v="42"/>
    </i>
    <i r="1">
      <x v="46"/>
    </i>
    <i r="2">
      <x v="43"/>
    </i>
    <i r="1">
      <x v="47"/>
    </i>
    <i r="2">
      <x v="44"/>
    </i>
    <i r="1">
      <x v="48"/>
    </i>
    <i r="2">
      <x v="45"/>
    </i>
    <i r="1">
      <x v="49"/>
    </i>
    <i r="2">
      <x v="46"/>
    </i>
    <i r="1">
      <x v="50"/>
    </i>
    <i r="2">
      <x v="47"/>
    </i>
    <i r="1">
      <x v="51"/>
    </i>
    <i r="2">
      <x v="48"/>
    </i>
    <i r="1">
      <x v="52"/>
    </i>
    <i r="2">
      <x v="49"/>
    </i>
    <i r="1">
      <x v="53"/>
    </i>
    <i r="2">
      <x v="50"/>
    </i>
    <i r="1">
      <x v="54"/>
    </i>
    <i r="2">
      <x v="51"/>
    </i>
    <i r="1">
      <x v="55"/>
    </i>
    <i r="2">
      <x v="52"/>
    </i>
    <i r="1">
      <x v="56"/>
    </i>
    <i r="2">
      <x v="53"/>
    </i>
    <i r="1">
      <x v="57"/>
    </i>
    <i r="2">
      <x v="54"/>
    </i>
    <i r="1">
      <x v="58"/>
    </i>
    <i r="2">
      <x v="55"/>
    </i>
    <i r="1">
      <x v="59"/>
    </i>
    <i r="2">
      <x v="56"/>
    </i>
    <i>
      <x v="3"/>
    </i>
    <i r="1">
      <x v="61"/>
    </i>
    <i r="2">
      <x v="57"/>
    </i>
    <i r="1">
      <x v="62"/>
    </i>
    <i r="2">
      <x v="58"/>
    </i>
    <i r="1">
      <x v="63"/>
    </i>
    <i r="2">
      <x v="59"/>
    </i>
    <i r="1">
      <x v="64"/>
    </i>
    <i r="2">
      <x v="60"/>
    </i>
    <i r="1">
      <x v="65"/>
    </i>
    <i r="2">
      <x v="61"/>
    </i>
    <i r="1">
      <x v="66"/>
    </i>
    <i r="2">
      <x v="62"/>
    </i>
    <i r="1">
      <x v="67"/>
    </i>
    <i r="2">
      <x v="63"/>
    </i>
    <i r="1">
      <x v="68"/>
    </i>
    <i r="2">
      <x v="64"/>
    </i>
    <i r="1">
      <x v="69"/>
    </i>
    <i r="2">
      <x v="65"/>
    </i>
    <i r="1">
      <x v="70"/>
    </i>
    <i r="2">
      <x v="66"/>
    </i>
    <i r="1">
      <x v="71"/>
    </i>
    <i r="2">
      <x v="67"/>
    </i>
    <i r="1">
      <x v="72"/>
    </i>
    <i r="2">
      <x v="68"/>
    </i>
    <i r="1">
      <x v="73"/>
    </i>
    <i r="2">
      <x v="69"/>
    </i>
    <i r="1">
      <x v="74"/>
    </i>
    <i r="2">
      <x v="70"/>
    </i>
    <i r="1">
      <x v="75"/>
    </i>
    <i r="2">
      <x v="71"/>
    </i>
    <i r="1">
      <x v="76"/>
    </i>
    <i r="2">
      <x v="72"/>
    </i>
    <i r="1">
      <x v="77"/>
    </i>
    <i r="2">
      <x v="73"/>
    </i>
    <i r="1">
      <x v="78"/>
    </i>
    <i r="2">
      <x v="74"/>
    </i>
    <i r="1">
      <x v="79"/>
    </i>
    <i r="2">
      <x v="75"/>
    </i>
    <i r="1">
      <x v="80"/>
    </i>
    <i r="2">
      <x v="76"/>
    </i>
    <i r="1">
      <x v="81"/>
    </i>
    <i r="2">
      <x v="77"/>
    </i>
    <i r="1">
      <x v="82"/>
    </i>
    <i r="2">
      <x v="78"/>
    </i>
    <i r="1">
      <x v="83"/>
    </i>
    <i r="2">
      <x v="79"/>
    </i>
    <i r="1">
      <x v="84"/>
    </i>
    <i r="2">
      <x v="80"/>
    </i>
    <i r="1">
      <x v="85"/>
    </i>
    <i r="2">
      <x v="81"/>
    </i>
    <i r="1">
      <x v="86"/>
    </i>
    <i r="2">
      <x v="82"/>
    </i>
    <i r="1">
      <x v="87"/>
    </i>
    <i r="2">
      <x v="83"/>
    </i>
    <i r="1">
      <x v="88"/>
    </i>
    <i r="2">
      <x v="84"/>
    </i>
    <i r="1">
      <x v="89"/>
    </i>
    <i r="2">
      <x v="85"/>
    </i>
    <i r="1">
      <x v="90"/>
    </i>
    <i r="2">
      <x v="86"/>
    </i>
    <i r="1">
      <x v="91"/>
    </i>
    <i r="2">
      <x v="87"/>
    </i>
    <i>
      <x v="4"/>
    </i>
    <i r="1">
      <x v="92"/>
    </i>
    <i r="2">
      <x v="88"/>
    </i>
    <i r="1">
      <x v="93"/>
    </i>
    <i r="2">
      <x v="89"/>
    </i>
    <i r="1">
      <x v="94"/>
    </i>
    <i r="2">
      <x v="90"/>
    </i>
    <i r="1">
      <x v="95"/>
    </i>
    <i r="2">
      <x v="91"/>
    </i>
    <i r="1">
      <x v="96"/>
    </i>
    <i r="2">
      <x v="92"/>
    </i>
    <i r="1">
      <x v="97"/>
    </i>
    <i r="2">
      <x v="93"/>
    </i>
    <i r="1">
      <x v="98"/>
    </i>
    <i r="2">
      <x v="94"/>
    </i>
    <i r="1">
      <x v="99"/>
    </i>
    <i r="2">
      <x v="95"/>
    </i>
    <i r="1">
      <x v="100"/>
    </i>
    <i r="2">
      <x v="96"/>
    </i>
    <i r="1">
      <x v="101"/>
    </i>
    <i r="2">
      <x v="97"/>
    </i>
    <i r="1">
      <x v="102"/>
    </i>
    <i r="2">
      <x v="98"/>
    </i>
    <i r="1">
      <x v="103"/>
    </i>
    <i r="2">
      <x v="99"/>
    </i>
    <i r="1">
      <x v="104"/>
    </i>
    <i r="2">
      <x v="100"/>
    </i>
    <i r="1">
      <x v="105"/>
    </i>
    <i r="2">
      <x v="101"/>
    </i>
    <i r="1">
      <x v="106"/>
    </i>
    <i r="2">
      <x v="102"/>
    </i>
    <i r="1">
      <x v="107"/>
    </i>
    <i r="2">
      <x v="103"/>
    </i>
    <i r="1">
      <x v="108"/>
    </i>
    <i r="2">
      <x v="104"/>
    </i>
    <i r="1">
      <x v="109"/>
    </i>
    <i r="2">
      <x v="105"/>
    </i>
    <i r="1">
      <x v="110"/>
    </i>
    <i r="2">
      <x v="106"/>
    </i>
    <i r="1">
      <x v="111"/>
    </i>
    <i r="2">
      <x v="107"/>
    </i>
    <i r="1">
      <x v="112"/>
    </i>
    <i r="2">
      <x v="108"/>
    </i>
    <i r="1">
      <x v="113"/>
    </i>
    <i r="2">
      <x v="109"/>
    </i>
    <i r="1">
      <x v="114"/>
    </i>
    <i r="2">
      <x v="110"/>
    </i>
    <i r="1">
      <x v="115"/>
    </i>
    <i r="2">
      <x v="111"/>
    </i>
    <i r="1">
      <x v="116"/>
    </i>
    <i r="2">
      <x v="112"/>
    </i>
    <i r="1">
      <x v="117"/>
    </i>
    <i r="2">
      <x v="113"/>
    </i>
    <i r="1">
      <x v="118"/>
    </i>
    <i r="2">
      <x v="114"/>
    </i>
    <i r="1">
      <x v="119"/>
    </i>
    <i r="2">
      <x v="115"/>
    </i>
    <i r="1">
      <x v="120"/>
    </i>
    <i r="2">
      <x v="116"/>
    </i>
    <i r="1">
      <x v="121"/>
    </i>
    <i r="2">
      <x v="117"/>
    </i>
    <i>
      <x v="5"/>
    </i>
    <i r="1">
      <x v="122"/>
    </i>
    <i r="2">
      <x v="118"/>
    </i>
    <i r="1">
      <x v="123"/>
    </i>
    <i r="2">
      <x v="119"/>
    </i>
    <i r="1">
      <x v="124"/>
    </i>
    <i r="2">
      <x v="120"/>
    </i>
    <i r="1">
      <x v="125"/>
    </i>
    <i r="2">
      <x v="121"/>
    </i>
    <i r="1">
      <x v="126"/>
    </i>
    <i r="2">
      <x v="122"/>
    </i>
    <i r="1">
      <x v="127"/>
    </i>
    <i r="2">
      <x v="123"/>
    </i>
    <i r="1">
      <x v="128"/>
    </i>
    <i r="2">
      <x v="124"/>
    </i>
    <i r="1">
      <x v="129"/>
    </i>
    <i r="2">
      <x v="125"/>
    </i>
    <i r="1">
      <x v="130"/>
    </i>
    <i r="2">
      <x v="126"/>
    </i>
    <i r="1">
      <x v="131"/>
    </i>
    <i r="2">
      <x v="127"/>
    </i>
    <i r="1">
      <x v="132"/>
    </i>
    <i r="2">
      <x v="128"/>
    </i>
    <i r="1">
      <x v="133"/>
    </i>
    <i r="2">
      <x v="129"/>
    </i>
    <i r="1">
      <x v="134"/>
    </i>
    <i r="2">
      <x v="130"/>
    </i>
    <i r="1">
      <x v="135"/>
    </i>
    <i r="2">
      <x v="131"/>
    </i>
    <i r="1">
      <x v="136"/>
    </i>
    <i r="2">
      <x v="132"/>
    </i>
    <i r="1">
      <x v="137"/>
    </i>
    <i r="2">
      <x v="133"/>
    </i>
    <i r="1">
      <x v="138"/>
    </i>
    <i r="2">
      <x v="134"/>
    </i>
    <i r="1">
      <x v="139"/>
    </i>
    <i r="2">
      <x v="135"/>
    </i>
    <i r="1">
      <x v="140"/>
    </i>
    <i r="2">
      <x v="136"/>
    </i>
    <i r="1">
      <x v="141"/>
    </i>
    <i r="2">
      <x v="137"/>
    </i>
    <i r="1">
      <x v="142"/>
    </i>
    <i r="2">
      <x v="138"/>
    </i>
    <i r="1">
      <x v="143"/>
    </i>
    <i r="2">
      <x v="139"/>
    </i>
    <i r="1">
      <x v="144"/>
    </i>
    <i r="2">
      <x v="140"/>
    </i>
    <i r="1">
      <x v="145"/>
    </i>
    <i r="2">
      <x v="141"/>
    </i>
    <i r="1">
      <x v="146"/>
    </i>
    <i r="2">
      <x v="142"/>
    </i>
    <i r="1">
      <x v="147"/>
    </i>
    <i r="2">
      <x v="143"/>
    </i>
    <i r="1">
      <x v="148"/>
    </i>
    <i r="2">
      <x v="144"/>
    </i>
    <i r="1">
      <x v="149"/>
    </i>
    <i r="2">
      <x v="145"/>
    </i>
    <i r="1">
      <x v="150"/>
    </i>
    <i r="2">
      <x v="146"/>
    </i>
    <i r="1">
      <x v="151"/>
    </i>
    <i r="2">
      <x v="147"/>
    </i>
    <i r="1">
      <x v="152"/>
    </i>
    <i r="2">
      <x v="148"/>
    </i>
    <i>
      <x v="6"/>
    </i>
    <i r="1">
      <x v="153"/>
    </i>
    <i r="2">
      <x v="149"/>
    </i>
    <i r="1">
      <x v="154"/>
    </i>
    <i r="2">
      <x v="150"/>
    </i>
    <i r="1">
      <x v="155"/>
    </i>
    <i r="2">
      <x v="151"/>
    </i>
    <i r="1">
      <x v="156"/>
    </i>
    <i r="2">
      <x v="152"/>
    </i>
    <i r="1">
      <x v="157"/>
    </i>
    <i r="2">
      <x v="153"/>
    </i>
    <i r="1">
      <x v="158"/>
    </i>
    <i r="2">
      <x v="154"/>
    </i>
    <i r="1">
      <x v="159"/>
    </i>
    <i r="2">
      <x v="155"/>
    </i>
    <i r="1">
      <x v="160"/>
    </i>
    <i r="2">
      <x v="156"/>
    </i>
    <i r="1">
      <x v="161"/>
    </i>
    <i r="2">
      <x v="157"/>
    </i>
    <i r="1">
      <x v="162"/>
    </i>
    <i r="2">
      <x v="158"/>
    </i>
    <i r="1">
      <x v="163"/>
    </i>
    <i r="2">
      <x v="159"/>
    </i>
    <i r="1">
      <x v="164"/>
    </i>
    <i r="2">
      <x v="160"/>
    </i>
    <i r="1">
      <x v="165"/>
    </i>
    <i r="2">
      <x v="161"/>
    </i>
    <i r="1">
      <x v="166"/>
    </i>
    <i r="2">
      <x v="162"/>
    </i>
    <i r="1">
      <x v="167"/>
    </i>
    <i r="2">
      <x v="163"/>
    </i>
    <i r="1">
      <x v="168"/>
    </i>
    <i r="2">
      <x v="164"/>
    </i>
    <i r="1">
      <x v="169"/>
    </i>
    <i r="2">
      <x v="165"/>
    </i>
    <i r="1">
      <x v="170"/>
    </i>
    <i r="2">
      <x v="166"/>
    </i>
    <i r="1">
      <x v="171"/>
    </i>
    <i r="2">
      <x v="167"/>
    </i>
    <i r="1">
      <x v="172"/>
    </i>
    <i r="2">
      <x v="168"/>
    </i>
    <i r="1">
      <x v="173"/>
    </i>
    <i r="2">
      <x v="169"/>
    </i>
    <i r="1">
      <x v="174"/>
    </i>
    <i r="2">
      <x v="170"/>
    </i>
    <i r="1">
      <x v="175"/>
    </i>
    <i r="2">
      <x v="171"/>
    </i>
    <i r="1">
      <x v="176"/>
    </i>
    <i r="2">
      <x v="172"/>
    </i>
    <i r="1">
      <x v="177"/>
    </i>
    <i r="2">
      <x v="173"/>
    </i>
    <i r="1">
      <x v="178"/>
    </i>
    <i r="2">
      <x v="174"/>
    </i>
    <i r="1">
      <x v="179"/>
    </i>
    <i r="2">
      <x v="175"/>
    </i>
    <i r="1">
      <x v="180"/>
    </i>
    <i r="2">
      <x v="176"/>
    </i>
    <i r="1">
      <x v="181"/>
    </i>
    <i r="2">
      <x v="177"/>
    </i>
    <i r="1">
      <x v="182"/>
    </i>
    <i r="2">
      <x v="178"/>
    </i>
    <i>
      <x v="7"/>
    </i>
    <i r="1">
      <x v="183"/>
    </i>
    <i r="2">
      <x v="179"/>
    </i>
    <i r="1">
      <x v="184"/>
    </i>
    <i r="2">
      <x v="180"/>
    </i>
    <i r="1">
      <x v="185"/>
    </i>
    <i r="2">
      <x v="181"/>
    </i>
    <i r="1">
      <x v="186"/>
    </i>
    <i r="2">
      <x v="182"/>
    </i>
    <i t="grand">
      <x/>
    </i>
  </rowItems>
  <colItems count="1">
    <i/>
  </colItems>
  <dataFields count="1">
    <dataField name="Sum of Total Price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14B777-2FCA-4E5C-9FAD-87295712332D}"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ates &amp; Months">
  <location ref="A3:C193" firstHeaderRow="0" firstDataRow="1" firstDataCol="1"/>
  <pivotFields count="19">
    <pivotField showAll="0" defaultSubtotal="0"/>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s>
  <rowFields count="2">
    <field x="18"/>
    <field x="17"/>
  </rowFields>
  <rowItems count="190">
    <i>
      <x v="1"/>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3"/>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x v="4"/>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x v="5"/>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x v="6"/>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x v="7"/>
    </i>
    <i r="1">
      <x v="183"/>
    </i>
    <i r="1">
      <x v="184"/>
    </i>
    <i r="1">
      <x v="185"/>
    </i>
    <i r="1">
      <x v="186"/>
    </i>
  </rowItems>
  <colFields count="1">
    <field x="-2"/>
  </colFields>
  <colItems count="2">
    <i>
      <x/>
    </i>
    <i i="1">
      <x v="1"/>
    </i>
  </colItems>
  <dataFields count="2">
    <dataField name="Total Revenue" fld="9" baseField="18" baseItem="1"/>
    <dataField name="MoM grwoth %" fld="9" showDataAs="percentDiff" baseField="17" baseItem="1048828" numFmtId="10"/>
  </dataFields>
  <conditionalFormats count="1">
    <conditionalFormat priority="1">
      <pivotAreas count="13">
        <pivotArea type="data" collapsedLevelsAreSubtotals="1" fieldPosition="0">
          <references count="3">
            <reference field="4294967294" count="1" selected="0">
              <x v="1"/>
            </reference>
            <reference field="17" count="28">
              <x v="4"/>
              <x v="5"/>
              <x v="6"/>
              <x v="7"/>
              <x v="8"/>
              <x v="9"/>
              <x v="10"/>
              <x v="11"/>
              <x v="12"/>
              <x v="13"/>
              <x v="14"/>
              <x v="15"/>
              <x v="16"/>
              <x v="17"/>
              <x v="18"/>
              <x v="19"/>
              <x v="20"/>
              <x v="21"/>
              <x v="22"/>
              <x v="23"/>
              <x v="24"/>
              <x v="25"/>
              <x v="26"/>
              <x v="27"/>
              <x v="28"/>
              <x v="29"/>
              <x v="30"/>
              <x v="31"/>
            </reference>
            <reference field="18" count="1" selected="0">
              <x v="1"/>
            </reference>
          </references>
        </pivotArea>
        <pivotArea type="data" collapsedLevelsAreSubtotals="1" fieldPosition="0">
          <references count="2">
            <reference field="4294967294" count="1" selected="0">
              <x v="1"/>
            </reference>
            <reference field="18" count="1">
              <x v="2"/>
            </reference>
          </references>
        </pivotArea>
        <pivotArea type="data" collapsedLevelsAreSubtotals="1" fieldPosition="0">
          <references count="3">
            <reference field="4294967294" count="1" selected="0">
              <x v="1"/>
            </reference>
            <reference field="17" count="28">
              <x v="32"/>
              <x v="33"/>
              <x v="34"/>
              <x v="35"/>
              <x v="36"/>
              <x v="37"/>
              <x v="38"/>
              <x v="39"/>
              <x v="40"/>
              <x v="41"/>
              <x v="42"/>
              <x v="43"/>
              <x v="44"/>
              <x v="45"/>
              <x v="46"/>
              <x v="47"/>
              <x v="48"/>
              <x v="49"/>
              <x v="50"/>
              <x v="51"/>
              <x v="52"/>
              <x v="53"/>
              <x v="54"/>
              <x v="55"/>
              <x v="56"/>
              <x v="57"/>
              <x v="58"/>
              <x v="59"/>
            </reference>
            <reference field="18" count="1" selected="0">
              <x v="2"/>
            </reference>
          </references>
        </pivotArea>
        <pivotArea type="data" collapsedLevelsAreSubtotals="1" fieldPosition="0">
          <references count="2">
            <reference field="4294967294" count="1" selected="0">
              <x v="1"/>
            </reference>
            <reference field="18" count="1">
              <x v="3"/>
            </reference>
          </references>
        </pivotArea>
        <pivotArea type="data" collapsedLevelsAreSubtotals="1" fieldPosition="0">
          <references count="3">
            <reference field="4294967294" count="1" selected="0">
              <x v="1"/>
            </reference>
            <reference field="17" count="31">
              <x v="61"/>
              <x v="62"/>
              <x v="63"/>
              <x v="64"/>
              <x v="65"/>
              <x v="66"/>
              <x v="67"/>
              <x v="68"/>
              <x v="69"/>
              <x v="70"/>
              <x v="71"/>
              <x v="72"/>
              <x v="73"/>
              <x v="74"/>
              <x v="75"/>
              <x v="76"/>
              <x v="77"/>
              <x v="78"/>
              <x v="79"/>
              <x v="80"/>
              <x v="81"/>
              <x v="82"/>
              <x v="83"/>
              <x v="84"/>
              <x v="85"/>
              <x v="86"/>
              <x v="87"/>
              <x v="88"/>
              <x v="89"/>
              <x v="90"/>
              <x v="91"/>
            </reference>
            <reference field="18" count="1" selected="0">
              <x v="3"/>
            </reference>
          </references>
        </pivotArea>
        <pivotArea type="data" collapsedLevelsAreSubtotals="1" fieldPosition="0">
          <references count="2">
            <reference field="4294967294" count="1" selected="0">
              <x v="1"/>
            </reference>
            <reference field="18" count="1">
              <x v="4"/>
            </reference>
          </references>
        </pivotArea>
        <pivotArea type="data" collapsedLevelsAreSubtotals="1" fieldPosition="0">
          <references count="3">
            <reference field="4294967294" count="1" selected="0">
              <x v="1"/>
            </reference>
            <reference field="17" count="30">
              <x v="92"/>
              <x v="93"/>
              <x v="94"/>
              <x v="95"/>
              <x v="96"/>
              <x v="97"/>
              <x v="98"/>
              <x v="99"/>
              <x v="100"/>
              <x v="101"/>
              <x v="102"/>
              <x v="103"/>
              <x v="104"/>
              <x v="105"/>
              <x v="106"/>
              <x v="107"/>
              <x v="108"/>
              <x v="109"/>
              <x v="110"/>
              <x v="111"/>
              <x v="112"/>
              <x v="113"/>
              <x v="114"/>
              <x v="115"/>
              <x v="116"/>
              <x v="117"/>
              <x v="118"/>
              <x v="119"/>
              <x v="120"/>
              <x v="121"/>
            </reference>
            <reference field="18" count="1" selected="0">
              <x v="4"/>
            </reference>
          </references>
        </pivotArea>
        <pivotArea type="data" collapsedLevelsAreSubtotals="1" fieldPosition="0">
          <references count="2">
            <reference field="4294967294" count="1" selected="0">
              <x v="1"/>
            </reference>
            <reference field="18" count="1">
              <x v="5"/>
            </reference>
          </references>
        </pivotArea>
        <pivotArea type="data" collapsedLevelsAreSubtotals="1" fieldPosition="0">
          <references count="3">
            <reference field="4294967294" count="1" selected="0">
              <x v="1"/>
            </reference>
            <reference field="17" count="31">
              <x v="122"/>
              <x v="123"/>
              <x v="124"/>
              <x v="125"/>
              <x v="126"/>
              <x v="127"/>
              <x v="128"/>
              <x v="129"/>
              <x v="130"/>
              <x v="131"/>
              <x v="132"/>
              <x v="133"/>
              <x v="134"/>
              <x v="135"/>
              <x v="136"/>
              <x v="137"/>
              <x v="138"/>
              <x v="139"/>
              <x v="140"/>
              <x v="141"/>
              <x v="142"/>
              <x v="143"/>
              <x v="144"/>
              <x v="145"/>
              <x v="146"/>
              <x v="147"/>
              <x v="148"/>
              <x v="149"/>
              <x v="150"/>
              <x v="151"/>
              <x v="152"/>
            </reference>
            <reference field="18" count="1" selected="0">
              <x v="5"/>
            </reference>
          </references>
        </pivotArea>
        <pivotArea type="data" collapsedLevelsAreSubtotals="1" fieldPosition="0">
          <references count="2">
            <reference field="4294967294" count="1" selected="0">
              <x v="1"/>
            </reference>
            <reference field="18" count="1">
              <x v="6"/>
            </reference>
          </references>
        </pivotArea>
        <pivotArea type="data" collapsedLevelsAreSubtotals="1" fieldPosition="0">
          <references count="3">
            <reference field="4294967294" count="1" selected="0">
              <x v="1"/>
            </reference>
            <reference field="17" count="30">
              <x v="153"/>
              <x v="154"/>
              <x v="155"/>
              <x v="156"/>
              <x v="157"/>
              <x v="158"/>
              <x v="159"/>
              <x v="160"/>
              <x v="161"/>
              <x v="162"/>
              <x v="163"/>
              <x v="164"/>
              <x v="165"/>
              <x v="166"/>
              <x v="167"/>
              <x v="168"/>
              <x v="169"/>
              <x v="170"/>
              <x v="171"/>
              <x v="172"/>
              <x v="173"/>
              <x v="174"/>
              <x v="175"/>
              <x v="176"/>
              <x v="177"/>
              <x v="178"/>
              <x v="179"/>
              <x v="180"/>
              <x v="181"/>
              <x v="182"/>
            </reference>
            <reference field="18" count="1" selected="0">
              <x v="6"/>
            </reference>
          </references>
        </pivotArea>
        <pivotArea type="data" collapsedLevelsAreSubtotals="1" fieldPosition="0">
          <references count="2">
            <reference field="4294967294" count="1" selected="0">
              <x v="1"/>
            </reference>
            <reference field="18" count="1">
              <x v="7"/>
            </reference>
          </references>
        </pivotArea>
        <pivotArea type="data" collapsedLevelsAreSubtotals="1" fieldPosition="0">
          <references count="3">
            <reference field="4294967294" count="1" selected="0">
              <x v="1"/>
            </reference>
            <reference field="17" count="4">
              <x v="183"/>
              <x v="184"/>
              <x v="185"/>
              <x v="186"/>
            </reference>
            <reference field="18" count="1" selected="0">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5FEE0D-35F1-4E0B-A95B-5F156EE5FD1B}"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9" firstHeaderRow="1" firstDataRow="2" firstDataCol="1"/>
  <pivotFields count="19">
    <pivotField showAll="0" defaultSubtotal="0"/>
    <pivotField numFmtId="15" showAll="0" defaultSubtotal="0">
      <items count="183">
        <item x="119"/>
        <item x="31"/>
        <item x="116"/>
        <item x="130"/>
        <item x="2"/>
        <item x="16"/>
        <item x="15"/>
        <item x="169"/>
        <item x="47"/>
        <item x="107"/>
        <item x="86"/>
        <item x="134"/>
        <item x="90"/>
        <item x="64"/>
        <item x="160"/>
        <item x="53"/>
        <item x="12"/>
        <item x="105"/>
        <item x="17"/>
        <item x="8"/>
        <item x="123"/>
        <item x="1"/>
        <item x="117"/>
        <item x="145"/>
        <item x="51"/>
        <item x="151"/>
        <item x="103"/>
        <item x="7"/>
        <item x="176"/>
        <item x="108"/>
        <item x="38"/>
        <item x="34"/>
        <item x="139"/>
        <item x="79"/>
        <item x="122"/>
        <item x="159"/>
        <item x="156"/>
        <item x="63"/>
        <item x="23"/>
        <item x="140"/>
        <item x="73"/>
        <item x="39"/>
        <item x="18"/>
        <item x="6"/>
        <item x="66"/>
        <item x="19"/>
        <item x="133"/>
        <item x="5"/>
        <item x="115"/>
        <item x="180"/>
        <item x="171"/>
        <item x="46"/>
        <item x="81"/>
        <item x="4"/>
        <item x="28"/>
        <item x="165"/>
        <item x="55"/>
        <item x="125"/>
        <item x="172"/>
        <item x="132"/>
        <item x="142"/>
        <item x="88"/>
        <item x="83"/>
        <item x="179"/>
        <item x="148"/>
        <item x="41"/>
        <item x="37"/>
        <item x="173"/>
        <item x="72"/>
        <item x="43"/>
        <item x="61"/>
        <item x="71"/>
        <item x="126"/>
        <item x="42"/>
        <item x="112"/>
        <item x="164"/>
        <item x="96"/>
        <item x="89"/>
        <item x="157"/>
        <item x="155"/>
        <item x="178"/>
        <item x="14"/>
        <item x="36"/>
        <item x="101"/>
        <item x="118"/>
        <item x="143"/>
        <item x="161"/>
        <item x="27"/>
        <item x="69"/>
        <item x="49"/>
        <item x="113"/>
        <item x="153"/>
        <item x="137"/>
        <item x="163"/>
        <item x="129"/>
        <item x="104"/>
        <item x="95"/>
        <item x="121"/>
        <item x="20"/>
        <item x="149"/>
        <item x="144"/>
        <item x="170"/>
        <item x="114"/>
        <item x="80"/>
        <item x="50"/>
        <item x="11"/>
        <item x="138"/>
        <item x="54"/>
        <item x="22"/>
        <item x="98"/>
        <item x="92"/>
        <item x="152"/>
        <item x="62"/>
        <item x="100"/>
        <item x="13"/>
        <item x="111"/>
        <item x="21"/>
        <item x="45"/>
        <item x="78"/>
        <item x="181"/>
        <item x="58"/>
        <item x="109"/>
        <item x="57"/>
        <item x="70"/>
        <item x="0"/>
        <item x="77"/>
        <item x="25"/>
        <item x="94"/>
        <item x="65"/>
        <item x="150"/>
        <item x="74"/>
        <item x="9"/>
        <item x="76"/>
        <item x="82"/>
        <item x="175"/>
        <item x="35"/>
        <item x="26"/>
        <item x="146"/>
        <item x="141"/>
        <item x="24"/>
        <item x="120"/>
        <item x="48"/>
        <item x="135"/>
        <item x="3"/>
        <item x="97"/>
        <item x="99"/>
        <item x="106"/>
        <item x="32"/>
        <item x="40"/>
        <item x="85"/>
        <item x="67"/>
        <item x="127"/>
        <item x="154"/>
        <item x="110"/>
        <item x="177"/>
        <item x="158"/>
        <item x="33"/>
        <item x="29"/>
        <item x="136"/>
        <item x="87"/>
        <item x="182"/>
        <item x="56"/>
        <item x="162"/>
        <item x="84"/>
        <item x="44"/>
        <item x="166"/>
        <item x="68"/>
        <item x="60"/>
        <item x="30"/>
        <item x="124"/>
        <item x="93"/>
        <item x="59"/>
        <item x="168"/>
        <item x="10"/>
        <item x="102"/>
        <item x="147"/>
        <item x="174"/>
        <item x="91"/>
        <item x="128"/>
        <item x="52"/>
        <item x="131"/>
        <item x="75"/>
        <item x="167"/>
      </items>
    </pivotField>
    <pivotField showAll="0" defaultSubtotal="0"/>
    <pivotField axis="axisCol" showAll="0" defaultSubtotal="0">
      <items count="4">
        <item x="2"/>
        <item x="0"/>
        <item x="3"/>
        <item x="1"/>
      </items>
    </pivotField>
    <pivotField axis="axisRow" showAll="0" defaultSubtotal="0">
      <items count="5">
        <item x="2"/>
        <item x="3"/>
        <item x="0"/>
        <item x="1"/>
        <item x="4"/>
      </items>
    </pivotField>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x v="4"/>
    </i>
  </rowItems>
  <colFields count="1">
    <field x="3"/>
  </colFields>
  <colItems count="4">
    <i>
      <x/>
    </i>
    <i>
      <x v="1"/>
    </i>
    <i>
      <x v="2"/>
    </i>
    <i>
      <x v="3"/>
    </i>
  </colItems>
  <dataFields count="1">
    <dataField name="Average of Quantity"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834692-220E-4E9F-B631-39C2A02B3DFF}" sourceName="Category">
  <pivotTables>
    <pivotTable tabId="12" name="PivotTable2"/>
  </pivotTables>
  <data>
    <tabular pivotCacheId="916830455">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242904D-01E4-4985-AB44-6B426819A9D2}"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D946-BD73-4332-8151-3A74098F32A3}">
  <dimension ref="A1:D1503"/>
  <sheetViews>
    <sheetView workbookViewId="0">
      <selection activeCell="D3" sqref="D3"/>
    </sheetView>
  </sheetViews>
  <sheetFormatPr defaultRowHeight="14.4" x14ac:dyDescent="0.3"/>
  <cols>
    <col min="1" max="1" width="12.44140625" bestFit="1" customWidth="1"/>
    <col min="2" max="2" width="19.33203125" bestFit="1" customWidth="1"/>
    <col min="3" max="3" width="16.77734375" bestFit="1" customWidth="1"/>
    <col min="4" max="4" width="24.109375" customWidth="1"/>
  </cols>
  <sheetData>
    <row r="1" spans="1:4" ht="30" customHeight="1" x14ac:dyDescent="0.3">
      <c r="A1" s="10" t="s">
        <v>1570</v>
      </c>
      <c r="B1" s="10"/>
      <c r="C1" s="10"/>
      <c r="D1" s="10"/>
    </row>
    <row r="2" spans="1:4" x14ac:dyDescent="0.3">
      <c r="A2" s="2" t="s">
        <v>1566</v>
      </c>
      <c r="B2" t="s">
        <v>1568</v>
      </c>
      <c r="C2" t="s">
        <v>1569</v>
      </c>
    </row>
    <row r="3" spans="1:4" x14ac:dyDescent="0.3">
      <c r="A3" s="3" t="s">
        <v>14</v>
      </c>
      <c r="B3">
        <v>7417.42</v>
      </c>
      <c r="C3">
        <v>6156.46</v>
      </c>
    </row>
    <row r="4" spans="1:4" x14ac:dyDescent="0.3">
      <c r="A4" s="3" t="s">
        <v>23</v>
      </c>
      <c r="B4">
        <v>15249.449999999999</v>
      </c>
      <c r="C4">
        <v>13114.53</v>
      </c>
    </row>
    <row r="5" spans="1:4" x14ac:dyDescent="0.3">
      <c r="A5" s="3" t="s">
        <v>26</v>
      </c>
      <c r="B5">
        <v>7068.92</v>
      </c>
      <c r="C5">
        <v>6786.16</v>
      </c>
    </row>
    <row r="6" spans="1:4" x14ac:dyDescent="0.3">
      <c r="A6" s="3" t="s">
        <v>31</v>
      </c>
      <c r="B6">
        <v>3675.69</v>
      </c>
      <c r="C6">
        <v>3197.85</v>
      </c>
    </row>
    <row r="7" spans="1:4" x14ac:dyDescent="0.3">
      <c r="A7" s="3" t="s">
        <v>35</v>
      </c>
      <c r="B7">
        <v>324.54000000000002</v>
      </c>
      <c r="C7">
        <v>305.07</v>
      </c>
    </row>
    <row r="8" spans="1:4" x14ac:dyDescent="0.3">
      <c r="A8" s="3" t="s">
        <v>38</v>
      </c>
      <c r="B8">
        <v>2691.0299999999997</v>
      </c>
      <c r="C8">
        <v>2448.84</v>
      </c>
    </row>
    <row r="9" spans="1:4" x14ac:dyDescent="0.3">
      <c r="A9" s="3" t="s">
        <v>42</v>
      </c>
      <c r="B9">
        <v>7837.32</v>
      </c>
      <c r="C9">
        <v>5877.99</v>
      </c>
    </row>
    <row r="10" spans="1:4" x14ac:dyDescent="0.3">
      <c r="A10" s="3" t="s">
        <v>45</v>
      </c>
      <c r="B10">
        <v>1272.96</v>
      </c>
      <c r="C10">
        <v>980.18</v>
      </c>
    </row>
    <row r="11" spans="1:4" x14ac:dyDescent="0.3">
      <c r="A11" s="3" t="s">
        <v>47</v>
      </c>
      <c r="B11">
        <v>2616.94</v>
      </c>
      <c r="C11">
        <v>2250.5700000000002</v>
      </c>
    </row>
    <row r="12" spans="1:4" x14ac:dyDescent="0.3">
      <c r="A12" s="3" t="s">
        <v>51</v>
      </c>
      <c r="B12">
        <v>2181.84</v>
      </c>
      <c r="C12">
        <v>2160.02</v>
      </c>
    </row>
    <row r="13" spans="1:4" x14ac:dyDescent="0.3">
      <c r="A13" s="3" t="s">
        <v>55</v>
      </c>
      <c r="B13">
        <v>10770.64</v>
      </c>
      <c r="C13">
        <v>8185.69</v>
      </c>
    </row>
    <row r="14" spans="1:4" x14ac:dyDescent="0.3">
      <c r="A14" s="3" t="s">
        <v>57</v>
      </c>
      <c r="B14">
        <v>3499.88</v>
      </c>
      <c r="C14">
        <v>3499.88</v>
      </c>
    </row>
    <row r="15" spans="1:4" x14ac:dyDescent="0.3">
      <c r="A15" s="3" t="s">
        <v>60</v>
      </c>
      <c r="B15">
        <v>1697.82</v>
      </c>
      <c r="C15">
        <v>1375.23</v>
      </c>
    </row>
    <row r="16" spans="1:4" x14ac:dyDescent="0.3">
      <c r="A16" s="3" t="s">
        <v>63</v>
      </c>
      <c r="B16">
        <v>767.66</v>
      </c>
      <c r="C16">
        <v>598.77</v>
      </c>
    </row>
    <row r="17" spans="1:3" x14ac:dyDescent="0.3">
      <c r="A17" s="3" t="s">
        <v>64</v>
      </c>
      <c r="B17">
        <v>2797.56</v>
      </c>
      <c r="C17">
        <v>2182.1</v>
      </c>
    </row>
    <row r="18" spans="1:3" x14ac:dyDescent="0.3">
      <c r="A18" s="3" t="s">
        <v>65</v>
      </c>
      <c r="B18">
        <v>11561.400000000001</v>
      </c>
      <c r="C18">
        <v>10867.72</v>
      </c>
    </row>
    <row r="19" spans="1:3" x14ac:dyDescent="0.3">
      <c r="A19" s="3" t="s">
        <v>67</v>
      </c>
      <c r="B19">
        <v>3568.42</v>
      </c>
      <c r="C19">
        <v>3532.74</v>
      </c>
    </row>
    <row r="20" spans="1:3" x14ac:dyDescent="0.3">
      <c r="A20" s="3" t="s">
        <v>69</v>
      </c>
      <c r="B20">
        <v>3741.65</v>
      </c>
      <c r="C20">
        <v>2881.07</v>
      </c>
    </row>
    <row r="21" spans="1:3" x14ac:dyDescent="0.3">
      <c r="A21" s="3" t="s">
        <v>70</v>
      </c>
      <c r="B21">
        <v>7344.24</v>
      </c>
      <c r="C21">
        <v>6609.82</v>
      </c>
    </row>
    <row r="22" spans="1:3" x14ac:dyDescent="0.3">
      <c r="A22" s="3" t="s">
        <v>71</v>
      </c>
      <c r="B22">
        <v>2077.58</v>
      </c>
      <c r="C22">
        <v>1807.49</v>
      </c>
    </row>
    <row r="23" spans="1:3" x14ac:dyDescent="0.3">
      <c r="A23" s="3" t="s">
        <v>72</v>
      </c>
      <c r="B23">
        <v>347.88</v>
      </c>
      <c r="C23">
        <v>260.91000000000003</v>
      </c>
    </row>
    <row r="24" spans="1:3" x14ac:dyDescent="0.3">
      <c r="A24" s="3" t="s">
        <v>74</v>
      </c>
      <c r="B24">
        <v>8673.58</v>
      </c>
      <c r="C24">
        <v>6678.66</v>
      </c>
    </row>
    <row r="25" spans="1:3" x14ac:dyDescent="0.3">
      <c r="A25" s="3" t="s">
        <v>76</v>
      </c>
      <c r="B25">
        <v>16715.849999999999</v>
      </c>
      <c r="C25">
        <v>14709.95</v>
      </c>
    </row>
    <row r="26" spans="1:3" x14ac:dyDescent="0.3">
      <c r="A26" s="3" t="s">
        <v>77</v>
      </c>
      <c r="B26">
        <v>12181.300000000001</v>
      </c>
      <c r="C26">
        <v>9379.6</v>
      </c>
    </row>
    <row r="27" spans="1:3" x14ac:dyDescent="0.3">
      <c r="A27" s="3" t="s">
        <v>78</v>
      </c>
      <c r="B27">
        <v>3408.54</v>
      </c>
      <c r="C27">
        <v>3204.03</v>
      </c>
    </row>
    <row r="28" spans="1:3" x14ac:dyDescent="0.3">
      <c r="A28" s="3" t="s">
        <v>80</v>
      </c>
      <c r="B28">
        <v>8251.0499999999993</v>
      </c>
      <c r="C28">
        <v>7673.48</v>
      </c>
    </row>
    <row r="29" spans="1:3" x14ac:dyDescent="0.3">
      <c r="A29" s="3" t="s">
        <v>81</v>
      </c>
      <c r="B29">
        <v>145.65</v>
      </c>
      <c r="C29">
        <v>122.35</v>
      </c>
    </row>
    <row r="30" spans="1:3" x14ac:dyDescent="0.3">
      <c r="A30" s="3" t="s">
        <v>82</v>
      </c>
      <c r="B30">
        <v>3821.36</v>
      </c>
      <c r="C30">
        <v>3668.51</v>
      </c>
    </row>
    <row r="31" spans="1:3" x14ac:dyDescent="0.3">
      <c r="A31" s="3" t="s">
        <v>83</v>
      </c>
      <c r="B31">
        <v>4700.76</v>
      </c>
      <c r="C31">
        <v>4559.74</v>
      </c>
    </row>
    <row r="32" spans="1:3" x14ac:dyDescent="0.3">
      <c r="A32" s="3" t="s">
        <v>84</v>
      </c>
      <c r="B32">
        <v>3292.8900000000003</v>
      </c>
      <c r="C32">
        <v>2766.03</v>
      </c>
    </row>
    <row r="33" spans="1:3" x14ac:dyDescent="0.3">
      <c r="A33" s="3" t="s">
        <v>85</v>
      </c>
      <c r="B33">
        <v>1734.43</v>
      </c>
      <c r="C33">
        <v>1682.4</v>
      </c>
    </row>
    <row r="34" spans="1:3" x14ac:dyDescent="0.3">
      <c r="A34" s="3" t="s">
        <v>86</v>
      </c>
      <c r="B34">
        <v>4730.75</v>
      </c>
      <c r="C34">
        <v>3926.52</v>
      </c>
    </row>
    <row r="35" spans="1:3" x14ac:dyDescent="0.3">
      <c r="A35" s="3" t="s">
        <v>89</v>
      </c>
      <c r="B35">
        <v>5660.37</v>
      </c>
      <c r="C35">
        <v>4358.4799999999996</v>
      </c>
    </row>
    <row r="36" spans="1:3" x14ac:dyDescent="0.3">
      <c r="A36" s="3" t="s">
        <v>90</v>
      </c>
      <c r="B36">
        <v>18862.2</v>
      </c>
      <c r="C36">
        <v>14523.89</v>
      </c>
    </row>
    <row r="37" spans="1:3" x14ac:dyDescent="0.3">
      <c r="A37" s="3" t="s">
        <v>91</v>
      </c>
      <c r="B37">
        <v>11801.07</v>
      </c>
      <c r="C37">
        <v>10620.96</v>
      </c>
    </row>
    <row r="38" spans="1:3" x14ac:dyDescent="0.3">
      <c r="A38" s="3" t="s">
        <v>93</v>
      </c>
      <c r="B38">
        <v>8202.5400000000009</v>
      </c>
      <c r="C38">
        <v>7218.24</v>
      </c>
    </row>
    <row r="39" spans="1:3" x14ac:dyDescent="0.3">
      <c r="A39" s="3" t="s">
        <v>94</v>
      </c>
      <c r="B39">
        <v>5461.86</v>
      </c>
      <c r="C39">
        <v>4751.82</v>
      </c>
    </row>
    <row r="40" spans="1:3" x14ac:dyDescent="0.3">
      <c r="A40" s="3" t="s">
        <v>95</v>
      </c>
      <c r="B40">
        <v>631.16999999999996</v>
      </c>
      <c r="C40">
        <v>561.74</v>
      </c>
    </row>
    <row r="41" spans="1:3" x14ac:dyDescent="0.3">
      <c r="A41" s="3" t="s">
        <v>96</v>
      </c>
      <c r="B41">
        <v>952.47</v>
      </c>
      <c r="C41">
        <v>847.7</v>
      </c>
    </row>
    <row r="42" spans="1:3" x14ac:dyDescent="0.3">
      <c r="A42" s="3" t="s">
        <v>97</v>
      </c>
      <c r="B42">
        <v>3626.8</v>
      </c>
      <c r="C42">
        <v>3336.66</v>
      </c>
    </row>
    <row r="43" spans="1:3" x14ac:dyDescent="0.3">
      <c r="A43" s="3" t="s">
        <v>98</v>
      </c>
      <c r="B43">
        <v>13675.44</v>
      </c>
      <c r="C43">
        <v>10530.09</v>
      </c>
    </row>
    <row r="44" spans="1:3" x14ac:dyDescent="0.3">
      <c r="A44" s="3" t="s">
        <v>101</v>
      </c>
      <c r="B44">
        <v>15363.199999999999</v>
      </c>
      <c r="C44">
        <v>14134.14</v>
      </c>
    </row>
    <row r="45" spans="1:3" x14ac:dyDescent="0.3">
      <c r="A45" s="3" t="s">
        <v>102</v>
      </c>
      <c r="B45">
        <v>16764.400000000001</v>
      </c>
      <c r="C45">
        <v>14249.74</v>
      </c>
    </row>
    <row r="46" spans="1:3" x14ac:dyDescent="0.3">
      <c r="A46" s="3" t="s">
        <v>103</v>
      </c>
      <c r="B46">
        <v>9842.58</v>
      </c>
      <c r="C46">
        <v>8366.19</v>
      </c>
    </row>
    <row r="47" spans="1:3" x14ac:dyDescent="0.3">
      <c r="A47" s="3" t="s">
        <v>104</v>
      </c>
      <c r="B47">
        <v>1646.2</v>
      </c>
      <c r="C47">
        <v>1366.35</v>
      </c>
    </row>
    <row r="48" spans="1:3" x14ac:dyDescent="0.3">
      <c r="A48" s="3" t="s">
        <v>105</v>
      </c>
      <c r="B48">
        <v>2336.66</v>
      </c>
      <c r="C48">
        <v>1869.33</v>
      </c>
    </row>
    <row r="49" spans="1:3" x14ac:dyDescent="0.3">
      <c r="A49" s="3" t="s">
        <v>106</v>
      </c>
      <c r="B49">
        <v>9221.36</v>
      </c>
      <c r="C49">
        <v>7469.3</v>
      </c>
    </row>
    <row r="50" spans="1:3" x14ac:dyDescent="0.3">
      <c r="A50" s="3" t="s">
        <v>107</v>
      </c>
      <c r="B50">
        <v>3596.37</v>
      </c>
      <c r="C50">
        <v>3380.59</v>
      </c>
    </row>
    <row r="51" spans="1:3" x14ac:dyDescent="0.3">
      <c r="A51" s="3" t="s">
        <v>108</v>
      </c>
      <c r="B51">
        <v>7122.9</v>
      </c>
      <c r="C51">
        <v>6980.44</v>
      </c>
    </row>
    <row r="52" spans="1:3" x14ac:dyDescent="0.3">
      <c r="A52" s="3" t="s">
        <v>109</v>
      </c>
      <c r="B52">
        <v>23678.5</v>
      </c>
      <c r="C52">
        <v>23678.5</v>
      </c>
    </row>
    <row r="53" spans="1:3" x14ac:dyDescent="0.3">
      <c r="A53" s="3" t="s">
        <v>110</v>
      </c>
      <c r="B53">
        <v>20096.75</v>
      </c>
      <c r="C53">
        <v>15675.47</v>
      </c>
    </row>
    <row r="54" spans="1:3" x14ac:dyDescent="0.3">
      <c r="A54" s="3" t="s">
        <v>112</v>
      </c>
      <c r="B54">
        <v>14593.96</v>
      </c>
      <c r="C54">
        <v>11529.23</v>
      </c>
    </row>
    <row r="55" spans="1:3" x14ac:dyDescent="0.3">
      <c r="A55" s="3" t="s">
        <v>113</v>
      </c>
      <c r="B55">
        <v>3961.88</v>
      </c>
      <c r="C55">
        <v>3684.55</v>
      </c>
    </row>
    <row r="56" spans="1:3" x14ac:dyDescent="0.3">
      <c r="A56" s="3" t="s">
        <v>114</v>
      </c>
      <c r="B56">
        <v>2404.5</v>
      </c>
      <c r="C56">
        <v>1947.65</v>
      </c>
    </row>
    <row r="57" spans="1:3" x14ac:dyDescent="0.3">
      <c r="A57" s="3" t="s">
        <v>116</v>
      </c>
      <c r="B57">
        <v>3144.54</v>
      </c>
      <c r="C57">
        <v>2955.87</v>
      </c>
    </row>
    <row r="58" spans="1:3" x14ac:dyDescent="0.3">
      <c r="A58" s="3" t="s">
        <v>117</v>
      </c>
      <c r="B58">
        <v>15377.550000000001</v>
      </c>
      <c r="C58">
        <v>12455.82</v>
      </c>
    </row>
    <row r="59" spans="1:3" x14ac:dyDescent="0.3">
      <c r="A59" s="3" t="s">
        <v>118</v>
      </c>
      <c r="B59">
        <v>8174.44</v>
      </c>
      <c r="C59">
        <v>6703.04</v>
      </c>
    </row>
    <row r="60" spans="1:3" x14ac:dyDescent="0.3">
      <c r="A60" s="3" t="s">
        <v>119</v>
      </c>
      <c r="B60">
        <v>10995.25</v>
      </c>
      <c r="C60">
        <v>10005.68</v>
      </c>
    </row>
    <row r="61" spans="1:3" x14ac:dyDescent="0.3">
      <c r="A61" s="3" t="s">
        <v>121</v>
      </c>
      <c r="B61">
        <v>14263.24</v>
      </c>
      <c r="C61">
        <v>12694.28</v>
      </c>
    </row>
    <row r="62" spans="1:3" x14ac:dyDescent="0.3">
      <c r="A62" s="3" t="s">
        <v>122</v>
      </c>
      <c r="B62">
        <v>7075.7000000000007</v>
      </c>
      <c r="C62">
        <v>5589.8</v>
      </c>
    </row>
    <row r="63" spans="1:3" x14ac:dyDescent="0.3">
      <c r="A63" s="3" t="s">
        <v>123</v>
      </c>
      <c r="B63">
        <v>6993.36</v>
      </c>
      <c r="C63">
        <v>6154.16</v>
      </c>
    </row>
    <row r="64" spans="1:3" x14ac:dyDescent="0.3">
      <c r="A64" s="3" t="s">
        <v>124</v>
      </c>
      <c r="B64">
        <v>8470.14</v>
      </c>
      <c r="C64">
        <v>7369.02</v>
      </c>
    </row>
    <row r="65" spans="1:3" x14ac:dyDescent="0.3">
      <c r="A65" s="3" t="s">
        <v>125</v>
      </c>
      <c r="B65">
        <v>13059.68</v>
      </c>
      <c r="C65">
        <v>11492.52</v>
      </c>
    </row>
    <row r="66" spans="1:3" x14ac:dyDescent="0.3">
      <c r="A66" s="3" t="s">
        <v>126</v>
      </c>
      <c r="B66">
        <v>11248.08</v>
      </c>
      <c r="C66">
        <v>10235.75</v>
      </c>
    </row>
    <row r="67" spans="1:3" x14ac:dyDescent="0.3">
      <c r="A67" s="3" t="s">
        <v>127</v>
      </c>
      <c r="B67">
        <v>3634.29</v>
      </c>
      <c r="C67">
        <v>3343.55</v>
      </c>
    </row>
    <row r="68" spans="1:3" x14ac:dyDescent="0.3">
      <c r="A68" s="3" t="s">
        <v>128</v>
      </c>
      <c r="B68">
        <v>14713.5</v>
      </c>
      <c r="C68">
        <v>11623.67</v>
      </c>
    </row>
    <row r="69" spans="1:3" x14ac:dyDescent="0.3">
      <c r="A69" s="3" t="s">
        <v>129</v>
      </c>
      <c r="B69">
        <v>4874.05</v>
      </c>
      <c r="C69">
        <v>4191.68</v>
      </c>
    </row>
    <row r="70" spans="1:3" x14ac:dyDescent="0.3">
      <c r="A70" s="3" t="s">
        <v>130</v>
      </c>
      <c r="B70">
        <v>9782.7999999999993</v>
      </c>
      <c r="C70">
        <v>8902.35</v>
      </c>
    </row>
    <row r="71" spans="1:3" x14ac:dyDescent="0.3">
      <c r="A71" s="3" t="s">
        <v>131</v>
      </c>
      <c r="B71">
        <v>2927.4</v>
      </c>
      <c r="C71">
        <v>2429.7399999999998</v>
      </c>
    </row>
    <row r="72" spans="1:3" x14ac:dyDescent="0.3">
      <c r="A72" s="3" t="s">
        <v>132</v>
      </c>
      <c r="B72">
        <v>12283.84</v>
      </c>
      <c r="C72">
        <v>9827.07</v>
      </c>
    </row>
    <row r="73" spans="1:3" x14ac:dyDescent="0.3">
      <c r="A73" s="3" t="s">
        <v>133</v>
      </c>
      <c r="B73">
        <v>15715.150000000001</v>
      </c>
      <c r="C73">
        <v>13357.88</v>
      </c>
    </row>
    <row r="74" spans="1:3" x14ac:dyDescent="0.3">
      <c r="A74" s="3" t="s">
        <v>134</v>
      </c>
      <c r="B74">
        <v>1903.38</v>
      </c>
      <c r="C74">
        <v>1865.31</v>
      </c>
    </row>
    <row r="75" spans="1:3" x14ac:dyDescent="0.3">
      <c r="A75" s="3" t="s">
        <v>135</v>
      </c>
      <c r="B75">
        <v>10692.24</v>
      </c>
      <c r="C75">
        <v>8767.64</v>
      </c>
    </row>
    <row r="76" spans="1:3" x14ac:dyDescent="0.3">
      <c r="A76" s="3" t="s">
        <v>136</v>
      </c>
      <c r="B76">
        <v>6546.82</v>
      </c>
      <c r="C76">
        <v>5041.05</v>
      </c>
    </row>
    <row r="77" spans="1:3" x14ac:dyDescent="0.3">
      <c r="A77" s="3" t="s">
        <v>137</v>
      </c>
      <c r="B77">
        <v>10586.099999999999</v>
      </c>
      <c r="C77">
        <v>8045.44</v>
      </c>
    </row>
    <row r="78" spans="1:3" x14ac:dyDescent="0.3">
      <c r="A78" s="3" t="s">
        <v>138</v>
      </c>
      <c r="B78">
        <v>680.22</v>
      </c>
      <c r="C78">
        <v>639.41</v>
      </c>
    </row>
    <row r="79" spans="1:3" x14ac:dyDescent="0.3">
      <c r="A79" s="3" t="s">
        <v>139</v>
      </c>
      <c r="B79">
        <v>18355.04</v>
      </c>
      <c r="C79">
        <v>17437.29</v>
      </c>
    </row>
    <row r="80" spans="1:3" x14ac:dyDescent="0.3">
      <c r="A80" s="3" t="s">
        <v>140</v>
      </c>
      <c r="B80">
        <v>5019.57</v>
      </c>
      <c r="C80">
        <v>4868.9799999999996</v>
      </c>
    </row>
    <row r="81" spans="1:3" x14ac:dyDescent="0.3">
      <c r="A81" s="3" t="s">
        <v>141</v>
      </c>
      <c r="B81">
        <v>2125.96</v>
      </c>
      <c r="C81">
        <v>1998.4</v>
      </c>
    </row>
    <row r="82" spans="1:3" x14ac:dyDescent="0.3">
      <c r="A82" s="3" t="s">
        <v>142</v>
      </c>
      <c r="B82">
        <v>9363.6</v>
      </c>
      <c r="C82">
        <v>7584.52</v>
      </c>
    </row>
    <row r="83" spans="1:3" x14ac:dyDescent="0.3">
      <c r="A83" s="3" t="s">
        <v>143</v>
      </c>
      <c r="B83">
        <v>17664.599999999999</v>
      </c>
      <c r="C83">
        <v>15544.85</v>
      </c>
    </row>
    <row r="84" spans="1:3" x14ac:dyDescent="0.3">
      <c r="A84" s="3" t="s">
        <v>144</v>
      </c>
      <c r="B84">
        <v>9924.1200000000008</v>
      </c>
      <c r="C84">
        <v>7641.57</v>
      </c>
    </row>
    <row r="85" spans="1:3" x14ac:dyDescent="0.3">
      <c r="A85" s="3" t="s">
        <v>145</v>
      </c>
      <c r="B85">
        <v>6407.7000000000007</v>
      </c>
      <c r="C85">
        <v>5638.78</v>
      </c>
    </row>
    <row r="86" spans="1:3" x14ac:dyDescent="0.3">
      <c r="A86" s="3" t="s">
        <v>146</v>
      </c>
      <c r="B86">
        <v>8667.4599999999991</v>
      </c>
      <c r="C86">
        <v>8060.74</v>
      </c>
    </row>
    <row r="87" spans="1:3" x14ac:dyDescent="0.3">
      <c r="A87" s="3" t="s">
        <v>147</v>
      </c>
      <c r="B87">
        <v>12610.89</v>
      </c>
      <c r="C87">
        <v>10845.37</v>
      </c>
    </row>
    <row r="88" spans="1:3" x14ac:dyDescent="0.3">
      <c r="A88" s="3" t="s">
        <v>148</v>
      </c>
      <c r="B88">
        <v>9741.65</v>
      </c>
      <c r="C88">
        <v>7501.07</v>
      </c>
    </row>
    <row r="89" spans="1:3" x14ac:dyDescent="0.3">
      <c r="A89" s="3" t="s">
        <v>149</v>
      </c>
      <c r="B89">
        <v>14222.48</v>
      </c>
      <c r="C89">
        <v>11377.98</v>
      </c>
    </row>
    <row r="90" spans="1:3" x14ac:dyDescent="0.3">
      <c r="A90" s="3" t="s">
        <v>150</v>
      </c>
      <c r="B90">
        <v>4383.53</v>
      </c>
      <c r="C90">
        <v>3901.34</v>
      </c>
    </row>
    <row r="91" spans="1:3" x14ac:dyDescent="0.3">
      <c r="A91" s="3" t="s">
        <v>151</v>
      </c>
      <c r="B91">
        <v>5276.85</v>
      </c>
      <c r="C91">
        <v>4379.79</v>
      </c>
    </row>
    <row r="92" spans="1:3" x14ac:dyDescent="0.3">
      <c r="A92" s="3" t="s">
        <v>152</v>
      </c>
      <c r="B92">
        <v>3125.55</v>
      </c>
      <c r="C92">
        <v>2938.02</v>
      </c>
    </row>
    <row r="93" spans="1:3" x14ac:dyDescent="0.3">
      <c r="A93" s="3" t="s">
        <v>153</v>
      </c>
      <c r="B93">
        <v>7001.22</v>
      </c>
      <c r="C93">
        <v>5390.94</v>
      </c>
    </row>
    <row r="94" spans="1:3" x14ac:dyDescent="0.3">
      <c r="A94" s="3" t="s">
        <v>154</v>
      </c>
      <c r="B94">
        <v>5405.42</v>
      </c>
      <c r="C94">
        <v>4648.66</v>
      </c>
    </row>
    <row r="95" spans="1:3" x14ac:dyDescent="0.3">
      <c r="A95" s="3" t="s">
        <v>155</v>
      </c>
      <c r="B95">
        <v>4006.3999999999996</v>
      </c>
      <c r="C95">
        <v>3525.63</v>
      </c>
    </row>
    <row r="96" spans="1:3" x14ac:dyDescent="0.3">
      <c r="A96" s="3" t="s">
        <v>156</v>
      </c>
      <c r="B96">
        <v>2264.48</v>
      </c>
      <c r="C96">
        <v>2060.6799999999998</v>
      </c>
    </row>
    <row r="97" spans="1:3" x14ac:dyDescent="0.3">
      <c r="A97" s="3" t="s">
        <v>157</v>
      </c>
      <c r="B97">
        <v>17125.36</v>
      </c>
      <c r="C97">
        <v>16611.599999999999</v>
      </c>
    </row>
    <row r="98" spans="1:3" x14ac:dyDescent="0.3">
      <c r="A98" s="3" t="s">
        <v>158</v>
      </c>
      <c r="B98">
        <v>21694.15</v>
      </c>
      <c r="C98">
        <v>17572.259999999998</v>
      </c>
    </row>
    <row r="99" spans="1:3" x14ac:dyDescent="0.3">
      <c r="A99" s="3" t="s">
        <v>159</v>
      </c>
      <c r="B99">
        <v>6284.74</v>
      </c>
      <c r="C99">
        <v>5216.33</v>
      </c>
    </row>
    <row r="100" spans="1:3" x14ac:dyDescent="0.3">
      <c r="A100" s="3" t="s">
        <v>160</v>
      </c>
      <c r="B100">
        <v>11065.68</v>
      </c>
      <c r="C100">
        <v>10844.37</v>
      </c>
    </row>
    <row r="101" spans="1:3" x14ac:dyDescent="0.3">
      <c r="A101" s="3" t="s">
        <v>161</v>
      </c>
      <c r="B101">
        <v>12793.95</v>
      </c>
      <c r="C101">
        <v>11898.37</v>
      </c>
    </row>
    <row r="102" spans="1:3" x14ac:dyDescent="0.3">
      <c r="A102" s="3" t="s">
        <v>162</v>
      </c>
      <c r="B102">
        <v>789.71</v>
      </c>
      <c r="C102">
        <v>600.17999999999995</v>
      </c>
    </row>
    <row r="103" spans="1:3" x14ac:dyDescent="0.3">
      <c r="A103" s="3" t="s">
        <v>163</v>
      </c>
      <c r="B103">
        <v>8187.5999999999995</v>
      </c>
      <c r="C103">
        <v>7286.96</v>
      </c>
    </row>
    <row r="104" spans="1:3" x14ac:dyDescent="0.3">
      <c r="A104" s="3" t="s">
        <v>164</v>
      </c>
      <c r="B104">
        <v>22163.75</v>
      </c>
      <c r="C104">
        <v>19060.830000000002</v>
      </c>
    </row>
    <row r="105" spans="1:3" x14ac:dyDescent="0.3">
      <c r="A105" s="3" t="s">
        <v>165</v>
      </c>
      <c r="B105">
        <v>4736.68</v>
      </c>
      <c r="C105">
        <v>4357.75</v>
      </c>
    </row>
    <row r="106" spans="1:3" x14ac:dyDescent="0.3">
      <c r="A106" s="3" t="s">
        <v>166</v>
      </c>
      <c r="B106">
        <v>10768.599999999999</v>
      </c>
      <c r="C106">
        <v>8722.57</v>
      </c>
    </row>
    <row r="107" spans="1:3" x14ac:dyDescent="0.3">
      <c r="A107" s="3" t="s">
        <v>167</v>
      </c>
      <c r="B107">
        <v>3493.8599999999997</v>
      </c>
      <c r="C107">
        <v>3109.54</v>
      </c>
    </row>
    <row r="108" spans="1:3" x14ac:dyDescent="0.3">
      <c r="A108" s="3" t="s">
        <v>168</v>
      </c>
      <c r="B108">
        <v>9688.42</v>
      </c>
      <c r="C108">
        <v>7363.2</v>
      </c>
    </row>
    <row r="109" spans="1:3" x14ac:dyDescent="0.3">
      <c r="A109" s="3" t="s">
        <v>169</v>
      </c>
      <c r="B109">
        <v>7912.38</v>
      </c>
      <c r="C109">
        <v>7516.76</v>
      </c>
    </row>
    <row r="110" spans="1:3" x14ac:dyDescent="0.3">
      <c r="A110" s="3" t="s">
        <v>170</v>
      </c>
      <c r="B110">
        <v>12918.57</v>
      </c>
      <c r="C110">
        <v>12401.83</v>
      </c>
    </row>
    <row r="111" spans="1:3" x14ac:dyDescent="0.3">
      <c r="A111" s="3" t="s">
        <v>171</v>
      </c>
      <c r="B111">
        <v>5970.76</v>
      </c>
      <c r="C111">
        <v>5970.76</v>
      </c>
    </row>
    <row r="112" spans="1:3" x14ac:dyDescent="0.3">
      <c r="A112" s="3" t="s">
        <v>172</v>
      </c>
      <c r="B112">
        <v>7844.61</v>
      </c>
      <c r="C112">
        <v>7609.27</v>
      </c>
    </row>
    <row r="113" spans="1:3" x14ac:dyDescent="0.3">
      <c r="A113" s="3" t="s">
        <v>173</v>
      </c>
      <c r="B113">
        <v>17007.04</v>
      </c>
      <c r="C113">
        <v>15136.27</v>
      </c>
    </row>
    <row r="114" spans="1:3" x14ac:dyDescent="0.3">
      <c r="A114" s="3" t="s">
        <v>174</v>
      </c>
      <c r="B114">
        <v>843.68</v>
      </c>
      <c r="C114">
        <v>784.62</v>
      </c>
    </row>
    <row r="115" spans="1:3" x14ac:dyDescent="0.3">
      <c r="A115" s="3" t="s">
        <v>175</v>
      </c>
      <c r="B115">
        <v>2343.88</v>
      </c>
      <c r="C115">
        <v>1921.98</v>
      </c>
    </row>
    <row r="116" spans="1:3" x14ac:dyDescent="0.3">
      <c r="A116" s="3" t="s">
        <v>176</v>
      </c>
      <c r="B116">
        <v>14700.4</v>
      </c>
      <c r="C116">
        <v>13524.37</v>
      </c>
    </row>
    <row r="117" spans="1:3" x14ac:dyDescent="0.3">
      <c r="A117" s="3" t="s">
        <v>177</v>
      </c>
      <c r="B117">
        <v>2216.19</v>
      </c>
      <c r="C117">
        <v>1795.11</v>
      </c>
    </row>
    <row r="118" spans="1:3" x14ac:dyDescent="0.3">
      <c r="A118" s="3" t="s">
        <v>178</v>
      </c>
      <c r="B118">
        <v>17414.599999999999</v>
      </c>
      <c r="C118">
        <v>14279.97</v>
      </c>
    </row>
    <row r="119" spans="1:3" x14ac:dyDescent="0.3">
      <c r="A119" s="3" t="s">
        <v>179</v>
      </c>
      <c r="B119">
        <v>1815.56</v>
      </c>
      <c r="C119">
        <v>1561.38</v>
      </c>
    </row>
    <row r="120" spans="1:3" x14ac:dyDescent="0.3">
      <c r="A120" s="3" t="s">
        <v>180</v>
      </c>
      <c r="B120">
        <v>2878.04</v>
      </c>
      <c r="C120">
        <v>2331.21</v>
      </c>
    </row>
    <row r="121" spans="1:3" x14ac:dyDescent="0.3">
      <c r="A121" s="3" t="s">
        <v>181</v>
      </c>
      <c r="B121">
        <v>549.61</v>
      </c>
      <c r="C121">
        <v>478.16</v>
      </c>
    </row>
    <row r="122" spans="1:3" x14ac:dyDescent="0.3">
      <c r="A122" s="3" t="s">
        <v>182</v>
      </c>
      <c r="B122">
        <v>2581.4499999999998</v>
      </c>
      <c r="C122">
        <v>2555.64</v>
      </c>
    </row>
    <row r="123" spans="1:3" x14ac:dyDescent="0.3">
      <c r="A123" s="3" t="s">
        <v>183</v>
      </c>
      <c r="B123">
        <v>8518</v>
      </c>
      <c r="C123">
        <v>8092.1</v>
      </c>
    </row>
    <row r="124" spans="1:3" x14ac:dyDescent="0.3">
      <c r="A124" s="3" t="s">
        <v>184</v>
      </c>
      <c r="B124">
        <v>967.65000000000009</v>
      </c>
      <c r="C124">
        <v>870.89</v>
      </c>
    </row>
    <row r="125" spans="1:3" x14ac:dyDescent="0.3">
      <c r="A125" s="3" t="s">
        <v>185</v>
      </c>
      <c r="B125">
        <v>2063.7599999999998</v>
      </c>
      <c r="C125">
        <v>1816.11</v>
      </c>
    </row>
    <row r="126" spans="1:3" x14ac:dyDescent="0.3">
      <c r="A126" s="3" t="s">
        <v>186</v>
      </c>
      <c r="B126">
        <v>1359.51</v>
      </c>
      <c r="C126">
        <v>1060.42</v>
      </c>
    </row>
    <row r="127" spans="1:3" x14ac:dyDescent="0.3">
      <c r="A127" s="3" t="s">
        <v>187</v>
      </c>
      <c r="B127">
        <v>14306.16</v>
      </c>
      <c r="C127">
        <v>12875.54</v>
      </c>
    </row>
    <row r="128" spans="1:3" x14ac:dyDescent="0.3">
      <c r="A128" s="3" t="s">
        <v>188</v>
      </c>
      <c r="B128">
        <v>1595.52</v>
      </c>
      <c r="C128">
        <v>1260.46</v>
      </c>
    </row>
    <row r="129" spans="1:3" x14ac:dyDescent="0.3">
      <c r="A129" s="3" t="s">
        <v>189</v>
      </c>
      <c r="B129">
        <v>3557.1000000000004</v>
      </c>
      <c r="C129">
        <v>2881.25</v>
      </c>
    </row>
    <row r="130" spans="1:3" x14ac:dyDescent="0.3">
      <c r="A130" s="3" t="s">
        <v>190</v>
      </c>
      <c r="B130">
        <v>817.58</v>
      </c>
      <c r="C130">
        <v>776.7</v>
      </c>
    </row>
    <row r="131" spans="1:3" x14ac:dyDescent="0.3">
      <c r="A131" s="3" t="s">
        <v>191</v>
      </c>
      <c r="B131">
        <v>11498.199999999999</v>
      </c>
      <c r="C131">
        <v>8853.61</v>
      </c>
    </row>
    <row r="132" spans="1:3" x14ac:dyDescent="0.3">
      <c r="A132" s="3" t="s">
        <v>192</v>
      </c>
      <c r="B132">
        <v>12775.16</v>
      </c>
      <c r="C132">
        <v>10220.129999999999</v>
      </c>
    </row>
    <row r="133" spans="1:3" x14ac:dyDescent="0.3">
      <c r="A133" s="3" t="s">
        <v>193</v>
      </c>
      <c r="B133">
        <v>1906.81</v>
      </c>
      <c r="C133">
        <v>1773.33</v>
      </c>
    </row>
    <row r="134" spans="1:3" x14ac:dyDescent="0.3">
      <c r="A134" s="3" t="s">
        <v>194</v>
      </c>
      <c r="B134">
        <v>2303.6999999999998</v>
      </c>
      <c r="C134">
        <v>1842.96</v>
      </c>
    </row>
    <row r="135" spans="1:3" x14ac:dyDescent="0.3">
      <c r="A135" s="3" t="s">
        <v>195</v>
      </c>
      <c r="B135">
        <v>14741.07</v>
      </c>
      <c r="C135">
        <v>14446.25</v>
      </c>
    </row>
    <row r="136" spans="1:3" x14ac:dyDescent="0.3">
      <c r="A136" s="3" t="s">
        <v>196</v>
      </c>
      <c r="B136">
        <v>3766.2</v>
      </c>
      <c r="C136">
        <v>2899.97</v>
      </c>
    </row>
    <row r="137" spans="1:3" x14ac:dyDescent="0.3">
      <c r="A137" s="3" t="s">
        <v>197</v>
      </c>
      <c r="B137">
        <v>2834.02</v>
      </c>
      <c r="C137">
        <v>2550.62</v>
      </c>
    </row>
    <row r="138" spans="1:3" x14ac:dyDescent="0.3">
      <c r="A138" s="3" t="s">
        <v>198</v>
      </c>
      <c r="B138">
        <v>2927.44</v>
      </c>
      <c r="C138">
        <v>2400.5</v>
      </c>
    </row>
    <row r="139" spans="1:3" x14ac:dyDescent="0.3">
      <c r="A139" s="3" t="s">
        <v>199</v>
      </c>
      <c r="B139">
        <v>10366.36</v>
      </c>
      <c r="C139">
        <v>10366.36</v>
      </c>
    </row>
    <row r="140" spans="1:3" x14ac:dyDescent="0.3">
      <c r="A140" s="3" t="s">
        <v>200</v>
      </c>
      <c r="B140">
        <v>956.22</v>
      </c>
      <c r="C140">
        <v>755.41</v>
      </c>
    </row>
    <row r="141" spans="1:3" x14ac:dyDescent="0.3">
      <c r="A141" s="3" t="s">
        <v>201</v>
      </c>
      <c r="B141">
        <v>1972.3</v>
      </c>
      <c r="C141">
        <v>1637.01</v>
      </c>
    </row>
    <row r="142" spans="1:3" x14ac:dyDescent="0.3">
      <c r="A142" s="3" t="s">
        <v>202</v>
      </c>
      <c r="B142">
        <v>7480.75</v>
      </c>
      <c r="C142">
        <v>6059.41</v>
      </c>
    </row>
    <row r="143" spans="1:3" x14ac:dyDescent="0.3">
      <c r="A143" s="3" t="s">
        <v>203</v>
      </c>
      <c r="B143">
        <v>24618.75</v>
      </c>
      <c r="C143">
        <v>21664.5</v>
      </c>
    </row>
    <row r="144" spans="1:3" x14ac:dyDescent="0.3">
      <c r="A144" s="3" t="s">
        <v>204</v>
      </c>
      <c r="B144">
        <v>1067.04</v>
      </c>
      <c r="C144">
        <v>939</v>
      </c>
    </row>
    <row r="145" spans="1:3" x14ac:dyDescent="0.3">
      <c r="A145" s="3" t="s">
        <v>205</v>
      </c>
      <c r="B145">
        <v>6904.98</v>
      </c>
      <c r="C145">
        <v>6007.33</v>
      </c>
    </row>
    <row r="146" spans="1:3" x14ac:dyDescent="0.3">
      <c r="A146" s="3" t="s">
        <v>206</v>
      </c>
      <c r="B146">
        <v>2042.62</v>
      </c>
      <c r="C146">
        <v>1858.78</v>
      </c>
    </row>
    <row r="147" spans="1:3" x14ac:dyDescent="0.3">
      <c r="A147" s="3" t="s">
        <v>207</v>
      </c>
      <c r="B147">
        <v>575.38</v>
      </c>
      <c r="C147">
        <v>443.04</v>
      </c>
    </row>
    <row r="148" spans="1:3" x14ac:dyDescent="0.3">
      <c r="A148" s="3" t="s">
        <v>208</v>
      </c>
      <c r="B148">
        <v>1354.03</v>
      </c>
      <c r="C148">
        <v>1069.68</v>
      </c>
    </row>
    <row r="149" spans="1:3" x14ac:dyDescent="0.3">
      <c r="A149" s="3" t="s">
        <v>209</v>
      </c>
      <c r="B149">
        <v>4314.3</v>
      </c>
      <c r="C149">
        <v>3451.44</v>
      </c>
    </row>
    <row r="150" spans="1:3" x14ac:dyDescent="0.3">
      <c r="A150" s="3" t="s">
        <v>210</v>
      </c>
      <c r="B150">
        <v>3054.46</v>
      </c>
      <c r="C150">
        <v>3054.46</v>
      </c>
    </row>
    <row r="151" spans="1:3" x14ac:dyDescent="0.3">
      <c r="A151" s="3" t="s">
        <v>211</v>
      </c>
      <c r="B151">
        <v>13830</v>
      </c>
      <c r="C151">
        <v>11064</v>
      </c>
    </row>
    <row r="152" spans="1:3" x14ac:dyDescent="0.3">
      <c r="A152" s="3" t="s">
        <v>212</v>
      </c>
      <c r="B152">
        <v>1849.76</v>
      </c>
      <c r="C152">
        <v>1812.76</v>
      </c>
    </row>
    <row r="153" spans="1:3" x14ac:dyDescent="0.3">
      <c r="A153" s="3" t="s">
        <v>213</v>
      </c>
      <c r="B153">
        <v>12258.57</v>
      </c>
      <c r="C153">
        <v>11768.23</v>
      </c>
    </row>
    <row r="154" spans="1:3" x14ac:dyDescent="0.3">
      <c r="A154" s="3" t="s">
        <v>214</v>
      </c>
      <c r="B154">
        <v>1124.8800000000001</v>
      </c>
      <c r="C154">
        <v>1068.6400000000001</v>
      </c>
    </row>
    <row r="155" spans="1:3" x14ac:dyDescent="0.3">
      <c r="A155" s="3" t="s">
        <v>215</v>
      </c>
      <c r="B155">
        <v>3791.13</v>
      </c>
      <c r="C155">
        <v>3601.57</v>
      </c>
    </row>
    <row r="156" spans="1:3" x14ac:dyDescent="0.3">
      <c r="A156" s="3" t="s">
        <v>216</v>
      </c>
      <c r="B156">
        <v>14968.84</v>
      </c>
      <c r="C156">
        <v>11675.7</v>
      </c>
    </row>
    <row r="157" spans="1:3" x14ac:dyDescent="0.3">
      <c r="A157" s="3" t="s">
        <v>217</v>
      </c>
      <c r="B157">
        <v>3662.7</v>
      </c>
      <c r="C157">
        <v>3589.45</v>
      </c>
    </row>
    <row r="158" spans="1:3" x14ac:dyDescent="0.3">
      <c r="A158" s="3" t="s">
        <v>218</v>
      </c>
      <c r="B158">
        <v>4805.49</v>
      </c>
      <c r="C158">
        <v>4084.67</v>
      </c>
    </row>
    <row r="159" spans="1:3" x14ac:dyDescent="0.3">
      <c r="A159" s="3" t="s">
        <v>219</v>
      </c>
      <c r="B159">
        <v>5781.28</v>
      </c>
      <c r="C159">
        <v>4335.96</v>
      </c>
    </row>
    <row r="160" spans="1:3" x14ac:dyDescent="0.3">
      <c r="A160" s="3" t="s">
        <v>220</v>
      </c>
      <c r="B160">
        <v>8516.9599999999991</v>
      </c>
      <c r="C160">
        <v>7069.08</v>
      </c>
    </row>
    <row r="161" spans="1:3" x14ac:dyDescent="0.3">
      <c r="A161" s="3" t="s">
        <v>221</v>
      </c>
      <c r="B161">
        <v>3064.96</v>
      </c>
      <c r="C161">
        <v>2543.92</v>
      </c>
    </row>
    <row r="162" spans="1:3" x14ac:dyDescent="0.3">
      <c r="A162" s="3" t="s">
        <v>222</v>
      </c>
      <c r="B162">
        <v>9848.5499999999993</v>
      </c>
      <c r="C162">
        <v>9257.64</v>
      </c>
    </row>
    <row r="163" spans="1:3" x14ac:dyDescent="0.3">
      <c r="A163" s="3" t="s">
        <v>223</v>
      </c>
      <c r="B163">
        <v>10649.369999999999</v>
      </c>
      <c r="C163">
        <v>10116.9</v>
      </c>
    </row>
    <row r="164" spans="1:3" x14ac:dyDescent="0.3">
      <c r="A164" s="3" t="s">
        <v>224</v>
      </c>
      <c r="B164">
        <v>3784.08</v>
      </c>
      <c r="C164">
        <v>3102.95</v>
      </c>
    </row>
    <row r="165" spans="1:3" x14ac:dyDescent="0.3">
      <c r="A165" s="3" t="s">
        <v>225</v>
      </c>
      <c r="B165">
        <v>7978.22</v>
      </c>
      <c r="C165">
        <v>6941.05</v>
      </c>
    </row>
    <row r="166" spans="1:3" x14ac:dyDescent="0.3">
      <c r="A166" s="3" t="s">
        <v>226</v>
      </c>
      <c r="B166">
        <v>9538.3000000000011</v>
      </c>
      <c r="C166">
        <v>7630.64</v>
      </c>
    </row>
    <row r="167" spans="1:3" x14ac:dyDescent="0.3">
      <c r="A167" s="3" t="s">
        <v>227</v>
      </c>
      <c r="B167">
        <v>10703.64</v>
      </c>
      <c r="C167">
        <v>8669.9500000000007</v>
      </c>
    </row>
    <row r="168" spans="1:3" x14ac:dyDescent="0.3">
      <c r="A168" s="3" t="s">
        <v>228</v>
      </c>
      <c r="B168">
        <v>8940.5999999999985</v>
      </c>
      <c r="C168">
        <v>6973.67</v>
      </c>
    </row>
    <row r="169" spans="1:3" x14ac:dyDescent="0.3">
      <c r="A169" s="3" t="s">
        <v>229</v>
      </c>
      <c r="B169">
        <v>4248.8999999999996</v>
      </c>
      <c r="C169">
        <v>4078.94</v>
      </c>
    </row>
    <row r="170" spans="1:3" x14ac:dyDescent="0.3">
      <c r="A170" s="3" t="s">
        <v>230</v>
      </c>
      <c r="B170">
        <v>7224.0499999999993</v>
      </c>
      <c r="C170">
        <v>6068.2</v>
      </c>
    </row>
    <row r="171" spans="1:3" x14ac:dyDescent="0.3">
      <c r="A171" s="3" t="s">
        <v>231</v>
      </c>
      <c r="B171">
        <v>8771.6999999999989</v>
      </c>
      <c r="C171">
        <v>6754.21</v>
      </c>
    </row>
    <row r="172" spans="1:3" x14ac:dyDescent="0.3">
      <c r="A172" s="3" t="s">
        <v>232</v>
      </c>
      <c r="B172">
        <v>16155.3</v>
      </c>
      <c r="C172">
        <v>14216.66</v>
      </c>
    </row>
    <row r="173" spans="1:3" x14ac:dyDescent="0.3">
      <c r="A173" s="3" t="s">
        <v>233</v>
      </c>
      <c r="B173">
        <v>1830.28</v>
      </c>
      <c r="C173">
        <v>1811.98</v>
      </c>
    </row>
    <row r="174" spans="1:3" x14ac:dyDescent="0.3">
      <c r="A174" s="3" t="s">
        <v>234</v>
      </c>
      <c r="B174">
        <v>11092.74</v>
      </c>
      <c r="C174">
        <v>8652.34</v>
      </c>
    </row>
    <row r="175" spans="1:3" x14ac:dyDescent="0.3">
      <c r="A175" s="3" t="s">
        <v>235</v>
      </c>
      <c r="B175">
        <v>1410.61</v>
      </c>
      <c r="C175">
        <v>1325.97</v>
      </c>
    </row>
    <row r="176" spans="1:3" x14ac:dyDescent="0.3">
      <c r="A176" s="3" t="s">
        <v>236</v>
      </c>
      <c r="B176">
        <v>18167.650000000001</v>
      </c>
      <c r="C176">
        <v>17259.27</v>
      </c>
    </row>
    <row r="177" spans="1:3" x14ac:dyDescent="0.3">
      <c r="A177" s="3" t="s">
        <v>237</v>
      </c>
      <c r="B177">
        <v>4731.6400000000003</v>
      </c>
      <c r="C177">
        <v>4116.53</v>
      </c>
    </row>
    <row r="178" spans="1:3" x14ac:dyDescent="0.3">
      <c r="A178" s="3" t="s">
        <v>238</v>
      </c>
      <c r="B178">
        <v>6000.68</v>
      </c>
      <c r="C178">
        <v>6000.68</v>
      </c>
    </row>
    <row r="179" spans="1:3" x14ac:dyDescent="0.3">
      <c r="A179" s="3" t="s">
        <v>239</v>
      </c>
      <c r="B179">
        <v>1402.68</v>
      </c>
      <c r="C179">
        <v>1206.3</v>
      </c>
    </row>
    <row r="180" spans="1:3" x14ac:dyDescent="0.3">
      <c r="A180" s="3" t="s">
        <v>240</v>
      </c>
      <c r="B180">
        <v>3410.85</v>
      </c>
      <c r="C180">
        <v>2592.25</v>
      </c>
    </row>
    <row r="181" spans="1:3" x14ac:dyDescent="0.3">
      <c r="A181" s="3" t="s">
        <v>241</v>
      </c>
      <c r="B181">
        <v>10334</v>
      </c>
      <c r="C181">
        <v>10230.66</v>
      </c>
    </row>
    <row r="182" spans="1:3" x14ac:dyDescent="0.3">
      <c r="A182" s="3" t="s">
        <v>242</v>
      </c>
      <c r="B182">
        <v>3414.06</v>
      </c>
      <c r="C182">
        <v>2901.95</v>
      </c>
    </row>
    <row r="183" spans="1:3" x14ac:dyDescent="0.3">
      <c r="A183" s="3" t="s">
        <v>243</v>
      </c>
      <c r="B183">
        <v>14291.32</v>
      </c>
      <c r="C183">
        <v>13290.93</v>
      </c>
    </row>
    <row r="184" spans="1:3" x14ac:dyDescent="0.3">
      <c r="A184" s="3" t="s">
        <v>244</v>
      </c>
      <c r="B184">
        <v>3024.86</v>
      </c>
      <c r="C184">
        <v>2813.12</v>
      </c>
    </row>
    <row r="185" spans="1:3" x14ac:dyDescent="0.3">
      <c r="A185" s="3" t="s">
        <v>245</v>
      </c>
      <c r="B185">
        <v>19477.850000000002</v>
      </c>
      <c r="C185">
        <v>17530.07</v>
      </c>
    </row>
    <row r="186" spans="1:3" x14ac:dyDescent="0.3">
      <c r="A186" s="3" t="s">
        <v>246</v>
      </c>
      <c r="B186">
        <v>3368.04</v>
      </c>
      <c r="C186">
        <v>2795.47</v>
      </c>
    </row>
    <row r="187" spans="1:3" x14ac:dyDescent="0.3">
      <c r="A187" s="3" t="s">
        <v>247</v>
      </c>
      <c r="B187">
        <v>14972.400000000001</v>
      </c>
      <c r="C187">
        <v>13175.71</v>
      </c>
    </row>
    <row r="188" spans="1:3" x14ac:dyDescent="0.3">
      <c r="A188" s="3" t="s">
        <v>248</v>
      </c>
      <c r="B188">
        <v>9268.14</v>
      </c>
      <c r="C188">
        <v>8804.73</v>
      </c>
    </row>
    <row r="189" spans="1:3" x14ac:dyDescent="0.3">
      <c r="A189" s="3" t="s">
        <v>249</v>
      </c>
      <c r="B189">
        <v>6614</v>
      </c>
      <c r="C189">
        <v>6018.74</v>
      </c>
    </row>
    <row r="190" spans="1:3" x14ac:dyDescent="0.3">
      <c r="A190" s="3" t="s">
        <v>250</v>
      </c>
      <c r="B190">
        <v>918.39</v>
      </c>
      <c r="C190">
        <v>697.98</v>
      </c>
    </row>
    <row r="191" spans="1:3" x14ac:dyDescent="0.3">
      <c r="A191" s="3" t="s">
        <v>251</v>
      </c>
      <c r="B191">
        <v>14015.46</v>
      </c>
      <c r="C191">
        <v>11632.83</v>
      </c>
    </row>
    <row r="192" spans="1:3" x14ac:dyDescent="0.3">
      <c r="A192" s="3" t="s">
        <v>252</v>
      </c>
      <c r="B192">
        <v>6028.95</v>
      </c>
      <c r="C192">
        <v>5667.21</v>
      </c>
    </row>
    <row r="193" spans="1:3" x14ac:dyDescent="0.3">
      <c r="A193" s="3" t="s">
        <v>253</v>
      </c>
      <c r="B193">
        <v>4187.7</v>
      </c>
      <c r="C193">
        <v>3224.53</v>
      </c>
    </row>
    <row r="194" spans="1:3" x14ac:dyDescent="0.3">
      <c r="A194" s="3" t="s">
        <v>254</v>
      </c>
      <c r="B194">
        <v>6189.4000000000005</v>
      </c>
      <c r="C194">
        <v>5075.3100000000004</v>
      </c>
    </row>
    <row r="195" spans="1:3" x14ac:dyDescent="0.3">
      <c r="A195" s="3" t="s">
        <v>255</v>
      </c>
      <c r="B195">
        <v>13188.119999999999</v>
      </c>
      <c r="C195">
        <v>13188.119999999999</v>
      </c>
    </row>
    <row r="196" spans="1:3" x14ac:dyDescent="0.3">
      <c r="A196" s="3" t="s">
        <v>256</v>
      </c>
      <c r="B196">
        <v>17829.48</v>
      </c>
      <c r="C196">
        <v>17294.599999999999</v>
      </c>
    </row>
    <row r="197" spans="1:3" x14ac:dyDescent="0.3">
      <c r="A197" s="3" t="s">
        <v>257</v>
      </c>
      <c r="B197">
        <v>10863.39</v>
      </c>
      <c r="C197">
        <v>10863.39</v>
      </c>
    </row>
    <row r="198" spans="1:3" x14ac:dyDescent="0.3">
      <c r="A198" s="3" t="s">
        <v>258</v>
      </c>
      <c r="B198">
        <v>8534.1999999999989</v>
      </c>
      <c r="C198">
        <v>7680.78</v>
      </c>
    </row>
    <row r="199" spans="1:3" x14ac:dyDescent="0.3">
      <c r="A199" s="3" t="s">
        <v>259</v>
      </c>
      <c r="B199">
        <v>5016.2</v>
      </c>
      <c r="C199">
        <v>4063.12</v>
      </c>
    </row>
    <row r="200" spans="1:3" x14ac:dyDescent="0.3">
      <c r="A200" s="3" t="s">
        <v>260</v>
      </c>
      <c r="B200">
        <v>808.82</v>
      </c>
      <c r="C200">
        <v>784.56</v>
      </c>
    </row>
    <row r="201" spans="1:3" x14ac:dyDescent="0.3">
      <c r="A201" s="3" t="s">
        <v>261</v>
      </c>
      <c r="B201">
        <v>5910.8</v>
      </c>
      <c r="C201">
        <v>4492.21</v>
      </c>
    </row>
    <row r="202" spans="1:3" x14ac:dyDescent="0.3">
      <c r="A202" s="3" t="s">
        <v>262</v>
      </c>
      <c r="B202">
        <v>20148.900000000001</v>
      </c>
      <c r="C202">
        <v>15917.63</v>
      </c>
    </row>
    <row r="203" spans="1:3" x14ac:dyDescent="0.3">
      <c r="A203" s="3" t="s">
        <v>263</v>
      </c>
      <c r="B203">
        <v>4160.99</v>
      </c>
      <c r="C203">
        <v>3203.96</v>
      </c>
    </row>
    <row r="204" spans="1:3" x14ac:dyDescent="0.3">
      <c r="A204" s="3" t="s">
        <v>264</v>
      </c>
      <c r="B204">
        <v>12476.300000000001</v>
      </c>
      <c r="C204">
        <v>9731.51</v>
      </c>
    </row>
    <row r="205" spans="1:3" x14ac:dyDescent="0.3">
      <c r="A205" s="3" t="s">
        <v>265</v>
      </c>
      <c r="B205">
        <v>11828.25</v>
      </c>
      <c r="C205">
        <v>9462.6</v>
      </c>
    </row>
    <row r="206" spans="1:3" x14ac:dyDescent="0.3">
      <c r="A206" s="3" t="s">
        <v>266</v>
      </c>
      <c r="B206">
        <v>7152.76</v>
      </c>
      <c r="C206">
        <v>7009.7</v>
      </c>
    </row>
    <row r="207" spans="1:3" x14ac:dyDescent="0.3">
      <c r="A207" s="3" t="s">
        <v>267</v>
      </c>
      <c r="B207">
        <v>7705.12</v>
      </c>
      <c r="C207">
        <v>5855.89</v>
      </c>
    </row>
    <row r="208" spans="1:3" x14ac:dyDescent="0.3">
      <c r="A208" s="3" t="s">
        <v>268</v>
      </c>
      <c r="B208">
        <v>3758.25</v>
      </c>
      <c r="C208">
        <v>2931.43</v>
      </c>
    </row>
    <row r="209" spans="1:3" x14ac:dyDescent="0.3">
      <c r="A209" s="3" t="s">
        <v>269</v>
      </c>
      <c r="B209">
        <v>7106.16</v>
      </c>
      <c r="C209">
        <v>5827.05</v>
      </c>
    </row>
    <row r="210" spans="1:3" x14ac:dyDescent="0.3">
      <c r="A210" s="3" t="s">
        <v>270</v>
      </c>
      <c r="B210">
        <v>9386.6200000000008</v>
      </c>
      <c r="C210">
        <v>7697.03</v>
      </c>
    </row>
    <row r="211" spans="1:3" x14ac:dyDescent="0.3">
      <c r="A211" s="3" t="s">
        <v>271</v>
      </c>
      <c r="B211">
        <v>3010.33</v>
      </c>
      <c r="C211">
        <v>2679.19</v>
      </c>
    </row>
    <row r="212" spans="1:3" x14ac:dyDescent="0.3">
      <c r="A212" s="3" t="s">
        <v>272</v>
      </c>
      <c r="B212">
        <v>7592.98</v>
      </c>
      <c r="C212">
        <v>6150.31</v>
      </c>
    </row>
    <row r="213" spans="1:3" x14ac:dyDescent="0.3">
      <c r="A213" s="3" t="s">
        <v>273</v>
      </c>
      <c r="B213">
        <v>3782.49</v>
      </c>
      <c r="C213">
        <v>2950.34</v>
      </c>
    </row>
    <row r="214" spans="1:3" x14ac:dyDescent="0.3">
      <c r="A214" s="3" t="s">
        <v>274</v>
      </c>
      <c r="B214">
        <v>6334.74</v>
      </c>
      <c r="C214">
        <v>5637.92</v>
      </c>
    </row>
    <row r="215" spans="1:3" x14ac:dyDescent="0.3">
      <c r="A215" s="3" t="s">
        <v>275</v>
      </c>
      <c r="B215">
        <v>5833.9500000000007</v>
      </c>
      <c r="C215">
        <v>4725.5</v>
      </c>
    </row>
    <row r="216" spans="1:3" x14ac:dyDescent="0.3">
      <c r="A216" s="3" t="s">
        <v>276</v>
      </c>
      <c r="B216">
        <v>19368.599999999999</v>
      </c>
      <c r="C216">
        <v>16657</v>
      </c>
    </row>
    <row r="217" spans="1:3" x14ac:dyDescent="0.3">
      <c r="A217" s="3" t="s">
        <v>277</v>
      </c>
      <c r="B217">
        <v>2724.61</v>
      </c>
      <c r="C217">
        <v>2152.44</v>
      </c>
    </row>
    <row r="218" spans="1:3" x14ac:dyDescent="0.3">
      <c r="A218" s="3" t="s">
        <v>278</v>
      </c>
      <c r="B218">
        <v>5816.9000000000005</v>
      </c>
      <c r="C218">
        <v>5526.06</v>
      </c>
    </row>
    <row r="219" spans="1:3" x14ac:dyDescent="0.3">
      <c r="A219" s="3" t="s">
        <v>279</v>
      </c>
      <c r="B219">
        <v>18323.04</v>
      </c>
      <c r="C219">
        <v>15208.12</v>
      </c>
    </row>
    <row r="220" spans="1:3" x14ac:dyDescent="0.3">
      <c r="A220" s="3" t="s">
        <v>280</v>
      </c>
      <c r="B220">
        <v>16393.650000000001</v>
      </c>
      <c r="C220">
        <v>15082.16</v>
      </c>
    </row>
    <row r="221" spans="1:3" x14ac:dyDescent="0.3">
      <c r="A221" s="3" t="s">
        <v>281</v>
      </c>
      <c r="B221">
        <v>1296.04</v>
      </c>
      <c r="C221">
        <v>1010.91</v>
      </c>
    </row>
    <row r="222" spans="1:3" x14ac:dyDescent="0.3">
      <c r="A222" s="3" t="s">
        <v>282</v>
      </c>
      <c r="B222">
        <v>3681.2699999999995</v>
      </c>
      <c r="C222">
        <v>3165.89</v>
      </c>
    </row>
    <row r="223" spans="1:3" x14ac:dyDescent="0.3">
      <c r="A223" s="3" t="s">
        <v>283</v>
      </c>
      <c r="B223">
        <v>7381.16</v>
      </c>
      <c r="C223">
        <v>6716.86</v>
      </c>
    </row>
    <row r="224" spans="1:3" x14ac:dyDescent="0.3">
      <c r="A224" s="3" t="s">
        <v>284</v>
      </c>
      <c r="B224">
        <v>3845.26</v>
      </c>
      <c r="C224">
        <v>3460.73</v>
      </c>
    </row>
    <row r="225" spans="1:3" x14ac:dyDescent="0.3">
      <c r="A225" s="3" t="s">
        <v>285</v>
      </c>
      <c r="B225">
        <v>1188.6299999999999</v>
      </c>
      <c r="C225">
        <v>998.45</v>
      </c>
    </row>
    <row r="226" spans="1:3" x14ac:dyDescent="0.3">
      <c r="A226" s="3" t="s">
        <v>286</v>
      </c>
      <c r="B226">
        <v>181.96</v>
      </c>
      <c r="C226">
        <v>149.21</v>
      </c>
    </row>
    <row r="227" spans="1:3" x14ac:dyDescent="0.3">
      <c r="A227" s="3" t="s">
        <v>287</v>
      </c>
      <c r="B227">
        <v>2561.5</v>
      </c>
      <c r="C227">
        <v>2177.2800000000002</v>
      </c>
    </row>
    <row r="228" spans="1:3" x14ac:dyDescent="0.3">
      <c r="A228" s="3" t="s">
        <v>288</v>
      </c>
      <c r="B228">
        <v>6458.6</v>
      </c>
      <c r="C228">
        <v>5360.64</v>
      </c>
    </row>
    <row r="229" spans="1:3" x14ac:dyDescent="0.3">
      <c r="A229" s="3" t="s">
        <v>289</v>
      </c>
      <c r="B229">
        <v>12162.1</v>
      </c>
      <c r="C229">
        <v>10216.16</v>
      </c>
    </row>
    <row r="230" spans="1:3" x14ac:dyDescent="0.3">
      <c r="A230" s="3" t="s">
        <v>290</v>
      </c>
      <c r="B230">
        <v>1225.8599999999999</v>
      </c>
      <c r="C230">
        <v>943.91</v>
      </c>
    </row>
    <row r="231" spans="1:3" x14ac:dyDescent="0.3">
      <c r="A231" s="3" t="s">
        <v>291</v>
      </c>
      <c r="B231">
        <v>978.84</v>
      </c>
      <c r="C231">
        <v>773.28</v>
      </c>
    </row>
    <row r="232" spans="1:3" x14ac:dyDescent="0.3">
      <c r="A232" s="3" t="s">
        <v>292</v>
      </c>
      <c r="B232">
        <v>5753.62</v>
      </c>
      <c r="C232">
        <v>4545.3599999999997</v>
      </c>
    </row>
    <row r="233" spans="1:3" x14ac:dyDescent="0.3">
      <c r="A233" s="3" t="s">
        <v>293</v>
      </c>
      <c r="B233">
        <v>2241.73</v>
      </c>
      <c r="C233">
        <v>1770.97</v>
      </c>
    </row>
    <row r="234" spans="1:3" x14ac:dyDescent="0.3">
      <c r="A234" s="3" t="s">
        <v>294</v>
      </c>
      <c r="B234">
        <v>3686.94</v>
      </c>
      <c r="C234">
        <v>2802.07</v>
      </c>
    </row>
    <row r="235" spans="1:3" x14ac:dyDescent="0.3">
      <c r="A235" s="3" t="s">
        <v>295</v>
      </c>
      <c r="B235">
        <v>501.99</v>
      </c>
      <c r="C235">
        <v>481.91</v>
      </c>
    </row>
    <row r="236" spans="1:3" x14ac:dyDescent="0.3">
      <c r="A236" s="3" t="s">
        <v>296</v>
      </c>
      <c r="B236">
        <v>6837.63</v>
      </c>
      <c r="C236">
        <v>5538.48</v>
      </c>
    </row>
    <row r="237" spans="1:3" x14ac:dyDescent="0.3">
      <c r="A237" s="3" t="s">
        <v>297</v>
      </c>
      <c r="B237">
        <v>2424.56</v>
      </c>
      <c r="C237">
        <v>2376.0700000000002</v>
      </c>
    </row>
    <row r="238" spans="1:3" x14ac:dyDescent="0.3">
      <c r="A238" s="3" t="s">
        <v>298</v>
      </c>
      <c r="B238">
        <v>15671.72</v>
      </c>
      <c r="C238">
        <v>12850.81</v>
      </c>
    </row>
    <row r="239" spans="1:3" x14ac:dyDescent="0.3">
      <c r="A239" s="3" t="s">
        <v>299</v>
      </c>
      <c r="B239">
        <v>4245.57</v>
      </c>
      <c r="C239">
        <v>4075.75</v>
      </c>
    </row>
    <row r="240" spans="1:3" x14ac:dyDescent="0.3">
      <c r="A240" s="3" t="s">
        <v>300</v>
      </c>
      <c r="B240">
        <v>7264.82</v>
      </c>
      <c r="C240">
        <v>6393.04</v>
      </c>
    </row>
    <row r="241" spans="1:3" x14ac:dyDescent="0.3">
      <c r="A241" s="3" t="s">
        <v>301</v>
      </c>
      <c r="B241">
        <v>9807.2999999999993</v>
      </c>
      <c r="C241">
        <v>7649.69</v>
      </c>
    </row>
    <row r="242" spans="1:3" x14ac:dyDescent="0.3">
      <c r="A242" s="3" t="s">
        <v>302</v>
      </c>
      <c r="B242">
        <v>4894.3</v>
      </c>
      <c r="C242">
        <v>4698.53</v>
      </c>
    </row>
    <row r="243" spans="1:3" x14ac:dyDescent="0.3">
      <c r="A243" s="3" t="s">
        <v>303</v>
      </c>
      <c r="B243">
        <v>7554.32</v>
      </c>
      <c r="C243">
        <v>5816.83</v>
      </c>
    </row>
    <row r="244" spans="1:3" x14ac:dyDescent="0.3">
      <c r="A244" s="3" t="s">
        <v>304</v>
      </c>
      <c r="B244">
        <v>12519.84</v>
      </c>
      <c r="C244">
        <v>12269.44</v>
      </c>
    </row>
    <row r="245" spans="1:3" x14ac:dyDescent="0.3">
      <c r="A245" s="3" t="s">
        <v>305</v>
      </c>
      <c r="B245">
        <v>15865.92</v>
      </c>
      <c r="C245">
        <v>15548.6</v>
      </c>
    </row>
    <row r="246" spans="1:3" x14ac:dyDescent="0.3">
      <c r="A246" s="3" t="s">
        <v>306</v>
      </c>
      <c r="B246">
        <v>15048.599999999999</v>
      </c>
      <c r="C246">
        <v>11587.42</v>
      </c>
    </row>
    <row r="247" spans="1:3" x14ac:dyDescent="0.3">
      <c r="A247" s="3" t="s">
        <v>307</v>
      </c>
      <c r="B247">
        <v>19349.48</v>
      </c>
      <c r="C247">
        <v>17801.52</v>
      </c>
    </row>
    <row r="248" spans="1:3" x14ac:dyDescent="0.3">
      <c r="A248" s="3" t="s">
        <v>308</v>
      </c>
      <c r="B248">
        <v>17347.8</v>
      </c>
      <c r="C248">
        <v>16306.93</v>
      </c>
    </row>
    <row r="249" spans="1:3" x14ac:dyDescent="0.3">
      <c r="A249" s="3" t="s">
        <v>309</v>
      </c>
      <c r="B249">
        <v>1547.62</v>
      </c>
      <c r="C249">
        <v>1191.67</v>
      </c>
    </row>
    <row r="250" spans="1:3" x14ac:dyDescent="0.3">
      <c r="A250" s="3" t="s">
        <v>310</v>
      </c>
      <c r="B250">
        <v>5306.92</v>
      </c>
      <c r="C250">
        <v>4829.3</v>
      </c>
    </row>
    <row r="251" spans="1:3" x14ac:dyDescent="0.3">
      <c r="A251" s="3" t="s">
        <v>311</v>
      </c>
      <c r="B251">
        <v>210.67</v>
      </c>
      <c r="C251">
        <v>191.71</v>
      </c>
    </row>
    <row r="252" spans="1:3" x14ac:dyDescent="0.3">
      <c r="A252" s="3" t="s">
        <v>312</v>
      </c>
      <c r="B252">
        <v>10946.05</v>
      </c>
      <c r="C252">
        <v>9632.52</v>
      </c>
    </row>
    <row r="253" spans="1:3" x14ac:dyDescent="0.3">
      <c r="A253" s="3" t="s">
        <v>313</v>
      </c>
      <c r="B253">
        <v>12007.2</v>
      </c>
      <c r="C253">
        <v>10806.48</v>
      </c>
    </row>
    <row r="254" spans="1:3" x14ac:dyDescent="0.3">
      <c r="A254" s="3" t="s">
        <v>314</v>
      </c>
      <c r="B254">
        <v>3196.9800000000005</v>
      </c>
      <c r="C254">
        <v>3101.07</v>
      </c>
    </row>
    <row r="255" spans="1:3" x14ac:dyDescent="0.3">
      <c r="A255" s="3" t="s">
        <v>315</v>
      </c>
      <c r="B255">
        <v>1804.83</v>
      </c>
      <c r="C255">
        <v>1425.82</v>
      </c>
    </row>
    <row r="256" spans="1:3" x14ac:dyDescent="0.3">
      <c r="A256" s="3" t="s">
        <v>316</v>
      </c>
      <c r="B256">
        <v>3192.72</v>
      </c>
      <c r="C256">
        <v>3033.08</v>
      </c>
    </row>
    <row r="257" spans="1:3" x14ac:dyDescent="0.3">
      <c r="A257" s="3" t="s">
        <v>317</v>
      </c>
      <c r="B257">
        <v>4969.3599999999997</v>
      </c>
      <c r="C257">
        <v>4323.34</v>
      </c>
    </row>
    <row r="258" spans="1:3" x14ac:dyDescent="0.3">
      <c r="A258" s="3" t="s">
        <v>318</v>
      </c>
      <c r="B258">
        <v>12540.44</v>
      </c>
      <c r="C258">
        <v>9781.5400000000009</v>
      </c>
    </row>
    <row r="259" spans="1:3" x14ac:dyDescent="0.3">
      <c r="A259" s="3" t="s">
        <v>319</v>
      </c>
      <c r="B259">
        <v>9978.52</v>
      </c>
      <c r="C259">
        <v>9778.9500000000007</v>
      </c>
    </row>
    <row r="260" spans="1:3" x14ac:dyDescent="0.3">
      <c r="A260" s="3" t="s">
        <v>320</v>
      </c>
      <c r="B260">
        <v>11486.76</v>
      </c>
      <c r="C260">
        <v>9304.2800000000007</v>
      </c>
    </row>
    <row r="261" spans="1:3" x14ac:dyDescent="0.3">
      <c r="A261" s="3" t="s">
        <v>321</v>
      </c>
      <c r="B261">
        <v>11108.52</v>
      </c>
      <c r="C261">
        <v>8331.39</v>
      </c>
    </row>
    <row r="262" spans="1:3" x14ac:dyDescent="0.3">
      <c r="A262" s="3" t="s">
        <v>322</v>
      </c>
      <c r="B262">
        <v>17359.68</v>
      </c>
      <c r="C262">
        <v>16838.89</v>
      </c>
    </row>
    <row r="263" spans="1:3" x14ac:dyDescent="0.3">
      <c r="A263" s="3" t="s">
        <v>323</v>
      </c>
      <c r="B263">
        <v>3911.25</v>
      </c>
      <c r="C263">
        <v>3715.69</v>
      </c>
    </row>
    <row r="264" spans="1:3" x14ac:dyDescent="0.3">
      <c r="A264" s="3" t="s">
        <v>324</v>
      </c>
      <c r="B264">
        <v>14691.300000000001</v>
      </c>
      <c r="C264">
        <v>13662.91</v>
      </c>
    </row>
    <row r="265" spans="1:3" x14ac:dyDescent="0.3">
      <c r="A265" s="3" t="s">
        <v>325</v>
      </c>
      <c r="B265">
        <v>13045.59</v>
      </c>
      <c r="C265">
        <v>12654.22</v>
      </c>
    </row>
    <row r="266" spans="1:3" x14ac:dyDescent="0.3">
      <c r="A266" s="3" t="s">
        <v>326</v>
      </c>
      <c r="B266">
        <v>15993.85</v>
      </c>
      <c r="C266">
        <v>13434.83</v>
      </c>
    </row>
    <row r="267" spans="1:3" x14ac:dyDescent="0.3">
      <c r="A267" s="3" t="s">
        <v>327</v>
      </c>
      <c r="B267">
        <v>6984.0300000000007</v>
      </c>
      <c r="C267">
        <v>6145.95</v>
      </c>
    </row>
    <row r="268" spans="1:3" x14ac:dyDescent="0.3">
      <c r="A268" s="3" t="s">
        <v>328</v>
      </c>
      <c r="B268">
        <v>4669.4799999999996</v>
      </c>
      <c r="C268">
        <v>4155.84</v>
      </c>
    </row>
    <row r="269" spans="1:3" x14ac:dyDescent="0.3">
      <c r="A269" s="3" t="s">
        <v>329</v>
      </c>
      <c r="B269">
        <v>21384.35</v>
      </c>
      <c r="C269">
        <v>17107.48</v>
      </c>
    </row>
    <row r="270" spans="1:3" x14ac:dyDescent="0.3">
      <c r="A270" s="3" t="s">
        <v>330</v>
      </c>
      <c r="B270">
        <v>413.24</v>
      </c>
      <c r="C270">
        <v>314.06</v>
      </c>
    </row>
    <row r="271" spans="1:3" x14ac:dyDescent="0.3">
      <c r="A271" s="3" t="s">
        <v>331</v>
      </c>
      <c r="B271">
        <v>3980.7300000000005</v>
      </c>
      <c r="C271">
        <v>3622.46</v>
      </c>
    </row>
    <row r="272" spans="1:3" x14ac:dyDescent="0.3">
      <c r="A272" s="3" t="s">
        <v>332</v>
      </c>
      <c r="B272">
        <v>105.32</v>
      </c>
      <c r="C272">
        <v>92.68</v>
      </c>
    </row>
    <row r="273" spans="1:3" x14ac:dyDescent="0.3">
      <c r="A273" s="3" t="s">
        <v>333</v>
      </c>
      <c r="B273">
        <v>14003</v>
      </c>
      <c r="C273">
        <v>12322.64</v>
      </c>
    </row>
    <row r="274" spans="1:3" x14ac:dyDescent="0.3">
      <c r="A274" s="3" t="s">
        <v>334</v>
      </c>
      <c r="B274">
        <v>3950.66</v>
      </c>
      <c r="C274">
        <v>3160.53</v>
      </c>
    </row>
    <row r="275" spans="1:3" x14ac:dyDescent="0.3">
      <c r="A275" s="3" t="s">
        <v>335</v>
      </c>
      <c r="B275">
        <v>10919.76</v>
      </c>
      <c r="C275">
        <v>9172.6</v>
      </c>
    </row>
    <row r="276" spans="1:3" x14ac:dyDescent="0.3">
      <c r="A276" s="3" t="s">
        <v>336</v>
      </c>
      <c r="B276">
        <v>2988.91</v>
      </c>
      <c r="C276">
        <v>2690.02</v>
      </c>
    </row>
    <row r="277" spans="1:3" x14ac:dyDescent="0.3">
      <c r="A277" s="3" t="s">
        <v>337</v>
      </c>
      <c r="B277">
        <v>15200.2</v>
      </c>
      <c r="C277">
        <v>12920.17</v>
      </c>
    </row>
    <row r="278" spans="1:3" x14ac:dyDescent="0.3">
      <c r="A278" s="3" t="s">
        <v>338</v>
      </c>
      <c r="B278">
        <v>7528.86</v>
      </c>
      <c r="C278">
        <v>7001.84</v>
      </c>
    </row>
    <row r="279" spans="1:3" x14ac:dyDescent="0.3">
      <c r="A279" s="3" t="s">
        <v>339</v>
      </c>
      <c r="B279">
        <v>22273.75</v>
      </c>
      <c r="C279">
        <v>22273.75</v>
      </c>
    </row>
    <row r="280" spans="1:3" x14ac:dyDescent="0.3">
      <c r="A280" s="3" t="s">
        <v>340</v>
      </c>
      <c r="B280">
        <v>7674.72</v>
      </c>
      <c r="C280">
        <v>5832.79</v>
      </c>
    </row>
    <row r="281" spans="1:3" x14ac:dyDescent="0.3">
      <c r="A281" s="3" t="s">
        <v>341</v>
      </c>
      <c r="B281">
        <v>10329.56</v>
      </c>
      <c r="C281">
        <v>8676.83</v>
      </c>
    </row>
    <row r="282" spans="1:3" x14ac:dyDescent="0.3">
      <c r="A282" s="3" t="s">
        <v>342</v>
      </c>
      <c r="B282">
        <v>2919.18</v>
      </c>
      <c r="C282">
        <v>2685.65</v>
      </c>
    </row>
    <row r="283" spans="1:3" x14ac:dyDescent="0.3">
      <c r="A283" s="3" t="s">
        <v>343</v>
      </c>
      <c r="B283">
        <v>1619.83</v>
      </c>
      <c r="C283">
        <v>1441.65</v>
      </c>
    </row>
    <row r="284" spans="1:3" x14ac:dyDescent="0.3">
      <c r="A284" s="3" t="s">
        <v>344</v>
      </c>
      <c r="B284">
        <v>1615.52</v>
      </c>
      <c r="C284">
        <v>1308.57</v>
      </c>
    </row>
    <row r="285" spans="1:3" x14ac:dyDescent="0.3">
      <c r="A285" s="3" t="s">
        <v>345</v>
      </c>
      <c r="B285">
        <v>13171.949999999999</v>
      </c>
      <c r="C285">
        <v>10405.84</v>
      </c>
    </row>
    <row r="286" spans="1:3" x14ac:dyDescent="0.3">
      <c r="A286" s="3" t="s">
        <v>346</v>
      </c>
      <c r="B286">
        <v>8000.67</v>
      </c>
      <c r="C286">
        <v>7440.62</v>
      </c>
    </row>
    <row r="287" spans="1:3" x14ac:dyDescent="0.3">
      <c r="A287" s="3" t="s">
        <v>347</v>
      </c>
      <c r="B287">
        <v>3803.34</v>
      </c>
      <c r="C287">
        <v>3575.14</v>
      </c>
    </row>
    <row r="288" spans="1:3" x14ac:dyDescent="0.3">
      <c r="A288" s="3" t="s">
        <v>348</v>
      </c>
      <c r="B288">
        <v>2411.65</v>
      </c>
      <c r="C288">
        <v>2170.4899999999998</v>
      </c>
    </row>
    <row r="289" spans="1:3" x14ac:dyDescent="0.3">
      <c r="A289" s="3" t="s">
        <v>349</v>
      </c>
      <c r="B289">
        <v>18350.759999999998</v>
      </c>
      <c r="C289">
        <v>16882.7</v>
      </c>
    </row>
    <row r="290" spans="1:3" x14ac:dyDescent="0.3">
      <c r="A290" s="3" t="s">
        <v>350</v>
      </c>
      <c r="B290">
        <v>1750.96</v>
      </c>
      <c r="C290">
        <v>1540.84</v>
      </c>
    </row>
    <row r="291" spans="1:3" x14ac:dyDescent="0.3">
      <c r="A291" s="3" t="s">
        <v>351</v>
      </c>
      <c r="B291">
        <v>8587.9500000000007</v>
      </c>
      <c r="C291">
        <v>7900.91</v>
      </c>
    </row>
    <row r="292" spans="1:3" x14ac:dyDescent="0.3">
      <c r="A292" s="3" t="s">
        <v>352</v>
      </c>
      <c r="B292">
        <v>262.5</v>
      </c>
      <c r="C292">
        <v>236.25</v>
      </c>
    </row>
    <row r="293" spans="1:3" x14ac:dyDescent="0.3">
      <c r="A293" s="3" t="s">
        <v>353</v>
      </c>
      <c r="B293">
        <v>1828.0500000000002</v>
      </c>
      <c r="C293">
        <v>1590.4</v>
      </c>
    </row>
    <row r="294" spans="1:3" x14ac:dyDescent="0.3">
      <c r="A294" s="3" t="s">
        <v>354</v>
      </c>
      <c r="B294">
        <v>8993.42</v>
      </c>
      <c r="C294">
        <v>7824.28</v>
      </c>
    </row>
    <row r="295" spans="1:3" x14ac:dyDescent="0.3">
      <c r="A295" s="3" t="s">
        <v>355</v>
      </c>
      <c r="B295">
        <v>1866.68</v>
      </c>
      <c r="C295">
        <v>1605.34</v>
      </c>
    </row>
    <row r="296" spans="1:3" x14ac:dyDescent="0.3">
      <c r="A296" s="3" t="s">
        <v>356</v>
      </c>
      <c r="B296">
        <v>5730.32</v>
      </c>
      <c r="C296">
        <v>5615.71</v>
      </c>
    </row>
    <row r="297" spans="1:3" x14ac:dyDescent="0.3">
      <c r="A297" s="3" t="s">
        <v>357</v>
      </c>
      <c r="B297">
        <v>9534.68</v>
      </c>
      <c r="C297">
        <v>8581.2099999999991</v>
      </c>
    </row>
    <row r="298" spans="1:3" x14ac:dyDescent="0.3">
      <c r="A298" s="3" t="s">
        <v>358</v>
      </c>
      <c r="B298">
        <v>543.05999999999995</v>
      </c>
      <c r="C298">
        <v>434.45</v>
      </c>
    </row>
    <row r="299" spans="1:3" x14ac:dyDescent="0.3">
      <c r="A299" s="3" t="s">
        <v>359</v>
      </c>
      <c r="B299">
        <v>10463.799999999999</v>
      </c>
      <c r="C299">
        <v>8684.9500000000007</v>
      </c>
    </row>
    <row r="300" spans="1:3" x14ac:dyDescent="0.3">
      <c r="A300" s="3" t="s">
        <v>360</v>
      </c>
      <c r="B300">
        <v>2364.0100000000002</v>
      </c>
      <c r="C300">
        <v>1891.21</v>
      </c>
    </row>
    <row r="301" spans="1:3" x14ac:dyDescent="0.3">
      <c r="A301" s="3" t="s">
        <v>361</v>
      </c>
      <c r="B301">
        <v>2953.39</v>
      </c>
      <c r="C301">
        <v>2776.19</v>
      </c>
    </row>
    <row r="302" spans="1:3" x14ac:dyDescent="0.3">
      <c r="A302" s="3" t="s">
        <v>362</v>
      </c>
      <c r="B302">
        <v>309.20999999999998</v>
      </c>
      <c r="C302">
        <v>272.10000000000002</v>
      </c>
    </row>
    <row r="303" spans="1:3" x14ac:dyDescent="0.3">
      <c r="A303" s="3" t="s">
        <v>363</v>
      </c>
      <c r="B303">
        <v>3787.04</v>
      </c>
      <c r="C303">
        <v>3597.69</v>
      </c>
    </row>
    <row r="304" spans="1:3" x14ac:dyDescent="0.3">
      <c r="A304" s="3" t="s">
        <v>364</v>
      </c>
      <c r="B304">
        <v>6543.32</v>
      </c>
      <c r="C304">
        <v>5758.12</v>
      </c>
    </row>
    <row r="305" spans="1:3" x14ac:dyDescent="0.3">
      <c r="A305" s="3" t="s">
        <v>365</v>
      </c>
      <c r="B305">
        <v>6604.0999999999995</v>
      </c>
      <c r="C305">
        <v>4953.07</v>
      </c>
    </row>
    <row r="306" spans="1:3" x14ac:dyDescent="0.3">
      <c r="A306" s="3" t="s">
        <v>366</v>
      </c>
      <c r="B306">
        <v>12808.65</v>
      </c>
      <c r="C306">
        <v>11527.78</v>
      </c>
    </row>
    <row r="307" spans="1:3" x14ac:dyDescent="0.3">
      <c r="A307" s="3" t="s">
        <v>367</v>
      </c>
      <c r="B307">
        <v>9257.1</v>
      </c>
      <c r="C307">
        <v>7868.53</v>
      </c>
    </row>
    <row r="308" spans="1:3" x14ac:dyDescent="0.3">
      <c r="A308" s="3" t="s">
        <v>368</v>
      </c>
      <c r="B308">
        <v>21239.35</v>
      </c>
      <c r="C308">
        <v>16991.48</v>
      </c>
    </row>
    <row r="309" spans="1:3" x14ac:dyDescent="0.3">
      <c r="A309" s="3" t="s">
        <v>369</v>
      </c>
      <c r="B309">
        <v>14229.119999999999</v>
      </c>
      <c r="C309">
        <v>12237.04</v>
      </c>
    </row>
    <row r="310" spans="1:3" x14ac:dyDescent="0.3">
      <c r="A310" s="3" t="s">
        <v>370</v>
      </c>
      <c r="B310">
        <v>375.22</v>
      </c>
      <c r="C310">
        <v>318.94</v>
      </c>
    </row>
    <row r="311" spans="1:3" x14ac:dyDescent="0.3">
      <c r="A311" s="3" t="s">
        <v>371</v>
      </c>
      <c r="B311">
        <v>9204.06</v>
      </c>
      <c r="C311">
        <v>7271.21</v>
      </c>
    </row>
    <row r="312" spans="1:3" x14ac:dyDescent="0.3">
      <c r="A312" s="3" t="s">
        <v>372</v>
      </c>
      <c r="B312">
        <v>1930.59</v>
      </c>
      <c r="C312">
        <v>1467.25</v>
      </c>
    </row>
    <row r="313" spans="1:3" x14ac:dyDescent="0.3">
      <c r="A313" s="3" t="s">
        <v>373</v>
      </c>
      <c r="B313">
        <v>13123.92</v>
      </c>
      <c r="C313">
        <v>12598.96</v>
      </c>
    </row>
    <row r="314" spans="1:3" x14ac:dyDescent="0.3">
      <c r="A314" s="3" t="s">
        <v>374</v>
      </c>
      <c r="B314">
        <v>2172.0299999999997</v>
      </c>
      <c r="C314">
        <v>1781.06</v>
      </c>
    </row>
    <row r="315" spans="1:3" x14ac:dyDescent="0.3">
      <c r="A315" s="3" t="s">
        <v>375</v>
      </c>
      <c r="B315">
        <v>5911.9500000000007</v>
      </c>
      <c r="C315">
        <v>5084.28</v>
      </c>
    </row>
    <row r="316" spans="1:3" x14ac:dyDescent="0.3">
      <c r="A316" s="3" t="s">
        <v>376</v>
      </c>
      <c r="B316">
        <v>4126.1400000000003</v>
      </c>
      <c r="C316">
        <v>3424.7</v>
      </c>
    </row>
    <row r="317" spans="1:3" x14ac:dyDescent="0.3">
      <c r="A317" s="3" t="s">
        <v>377</v>
      </c>
      <c r="B317">
        <v>11869.2</v>
      </c>
      <c r="C317">
        <v>9732.74</v>
      </c>
    </row>
    <row r="318" spans="1:3" x14ac:dyDescent="0.3">
      <c r="A318" s="3" t="s">
        <v>378</v>
      </c>
      <c r="B318">
        <v>8326.56</v>
      </c>
      <c r="C318">
        <v>8076.76</v>
      </c>
    </row>
    <row r="319" spans="1:3" x14ac:dyDescent="0.3">
      <c r="A319" s="3" t="s">
        <v>379</v>
      </c>
      <c r="B319">
        <v>14289.420000000002</v>
      </c>
      <c r="C319">
        <v>14003.63</v>
      </c>
    </row>
    <row r="320" spans="1:3" x14ac:dyDescent="0.3">
      <c r="A320" s="3" t="s">
        <v>380</v>
      </c>
      <c r="B320">
        <v>14208.28</v>
      </c>
      <c r="C320">
        <v>12645.37</v>
      </c>
    </row>
    <row r="321" spans="1:3" x14ac:dyDescent="0.3">
      <c r="A321" s="3" t="s">
        <v>381</v>
      </c>
      <c r="B321">
        <v>9749.1</v>
      </c>
      <c r="C321">
        <v>8774.19</v>
      </c>
    </row>
    <row r="322" spans="1:3" x14ac:dyDescent="0.3">
      <c r="A322" s="3" t="s">
        <v>382</v>
      </c>
      <c r="B322">
        <v>13966.75</v>
      </c>
      <c r="C322">
        <v>12290.74</v>
      </c>
    </row>
    <row r="323" spans="1:3" x14ac:dyDescent="0.3">
      <c r="A323" s="3" t="s">
        <v>383</v>
      </c>
      <c r="B323">
        <v>226.1</v>
      </c>
      <c r="C323">
        <v>217.06</v>
      </c>
    </row>
    <row r="324" spans="1:3" x14ac:dyDescent="0.3">
      <c r="A324" s="3" t="s">
        <v>384</v>
      </c>
      <c r="B324">
        <v>1639.71</v>
      </c>
      <c r="C324">
        <v>1410.15</v>
      </c>
    </row>
    <row r="325" spans="1:3" x14ac:dyDescent="0.3">
      <c r="A325" s="3" t="s">
        <v>385</v>
      </c>
      <c r="B325">
        <v>9515.1200000000008</v>
      </c>
      <c r="C325">
        <v>8944.2099999999991</v>
      </c>
    </row>
    <row r="326" spans="1:3" x14ac:dyDescent="0.3">
      <c r="A326" s="3" t="s">
        <v>386</v>
      </c>
      <c r="B326">
        <v>6074.0499999999993</v>
      </c>
      <c r="C326">
        <v>5952.57</v>
      </c>
    </row>
    <row r="327" spans="1:3" x14ac:dyDescent="0.3">
      <c r="A327" s="3" t="s">
        <v>387</v>
      </c>
      <c r="B327">
        <v>18094.439999999999</v>
      </c>
      <c r="C327">
        <v>14837.44</v>
      </c>
    </row>
    <row r="328" spans="1:3" x14ac:dyDescent="0.3">
      <c r="A328" s="3" t="s">
        <v>388</v>
      </c>
      <c r="B328">
        <v>618.22</v>
      </c>
      <c r="C328">
        <v>605.86</v>
      </c>
    </row>
    <row r="329" spans="1:3" x14ac:dyDescent="0.3">
      <c r="A329" s="3" t="s">
        <v>389</v>
      </c>
      <c r="B329">
        <v>11304.72</v>
      </c>
      <c r="C329">
        <v>9722.06</v>
      </c>
    </row>
    <row r="330" spans="1:3" x14ac:dyDescent="0.3">
      <c r="A330" s="3" t="s">
        <v>390</v>
      </c>
      <c r="B330">
        <v>5752.62</v>
      </c>
      <c r="C330">
        <v>4889.7299999999996</v>
      </c>
    </row>
    <row r="331" spans="1:3" x14ac:dyDescent="0.3">
      <c r="A331" s="3" t="s">
        <v>391</v>
      </c>
      <c r="B331">
        <v>5930.7300000000005</v>
      </c>
      <c r="C331">
        <v>5219.04</v>
      </c>
    </row>
    <row r="332" spans="1:3" x14ac:dyDescent="0.3">
      <c r="A332" s="3" t="s">
        <v>392</v>
      </c>
      <c r="B332">
        <v>1160.1199999999999</v>
      </c>
      <c r="C332">
        <v>904.89</v>
      </c>
    </row>
    <row r="333" spans="1:3" x14ac:dyDescent="0.3">
      <c r="A333" s="3" t="s">
        <v>393</v>
      </c>
      <c r="B333">
        <v>4870.9500000000007</v>
      </c>
      <c r="C333">
        <v>3848.05</v>
      </c>
    </row>
    <row r="334" spans="1:3" x14ac:dyDescent="0.3">
      <c r="A334" s="3" t="s">
        <v>394</v>
      </c>
      <c r="B334">
        <v>11013.36</v>
      </c>
      <c r="C334">
        <v>9361.36</v>
      </c>
    </row>
    <row r="335" spans="1:3" x14ac:dyDescent="0.3">
      <c r="A335" s="3" t="s">
        <v>395</v>
      </c>
      <c r="B335">
        <v>19891.5</v>
      </c>
      <c r="C335">
        <v>19493.669999999998</v>
      </c>
    </row>
    <row r="336" spans="1:3" x14ac:dyDescent="0.3">
      <c r="A336" s="3" t="s">
        <v>396</v>
      </c>
      <c r="B336">
        <v>1322.5</v>
      </c>
      <c r="C336">
        <v>1177.03</v>
      </c>
    </row>
    <row r="337" spans="1:3" x14ac:dyDescent="0.3">
      <c r="A337" s="3" t="s">
        <v>397</v>
      </c>
      <c r="B337">
        <v>7485.18</v>
      </c>
      <c r="C337">
        <v>6661.81</v>
      </c>
    </row>
    <row r="338" spans="1:3" x14ac:dyDescent="0.3">
      <c r="A338" s="3" t="s">
        <v>398</v>
      </c>
      <c r="B338">
        <v>898.25</v>
      </c>
      <c r="C338">
        <v>772.5</v>
      </c>
    </row>
    <row r="339" spans="1:3" x14ac:dyDescent="0.3">
      <c r="A339" s="3" t="s">
        <v>399</v>
      </c>
      <c r="B339">
        <v>2423.08</v>
      </c>
      <c r="C339">
        <v>2350.39</v>
      </c>
    </row>
    <row r="340" spans="1:3" x14ac:dyDescent="0.3">
      <c r="A340" s="3" t="s">
        <v>400</v>
      </c>
      <c r="B340">
        <v>7047.27</v>
      </c>
      <c r="C340">
        <v>6694.91</v>
      </c>
    </row>
    <row r="341" spans="1:3" x14ac:dyDescent="0.3">
      <c r="A341" s="3" t="s">
        <v>401</v>
      </c>
      <c r="B341">
        <v>4687.59</v>
      </c>
      <c r="C341">
        <v>4546.96</v>
      </c>
    </row>
    <row r="342" spans="1:3" x14ac:dyDescent="0.3">
      <c r="A342" s="3" t="s">
        <v>402</v>
      </c>
      <c r="B342">
        <v>5269.48</v>
      </c>
      <c r="C342">
        <v>4953.3100000000004</v>
      </c>
    </row>
    <row r="343" spans="1:3" x14ac:dyDescent="0.3">
      <c r="A343" s="3" t="s">
        <v>403</v>
      </c>
      <c r="B343">
        <v>8330.1200000000008</v>
      </c>
      <c r="C343">
        <v>6830.7</v>
      </c>
    </row>
    <row r="344" spans="1:3" x14ac:dyDescent="0.3">
      <c r="A344" s="3" t="s">
        <v>404</v>
      </c>
      <c r="B344">
        <v>8438.26</v>
      </c>
      <c r="C344">
        <v>6581.84</v>
      </c>
    </row>
    <row r="345" spans="1:3" x14ac:dyDescent="0.3">
      <c r="A345" s="3" t="s">
        <v>405</v>
      </c>
      <c r="B345">
        <v>9920.19</v>
      </c>
      <c r="C345">
        <v>9324.98</v>
      </c>
    </row>
    <row r="346" spans="1:3" x14ac:dyDescent="0.3">
      <c r="A346" s="3" t="s">
        <v>406</v>
      </c>
      <c r="B346">
        <v>17083.8</v>
      </c>
      <c r="C346">
        <v>15033.74</v>
      </c>
    </row>
    <row r="347" spans="1:3" x14ac:dyDescent="0.3">
      <c r="A347" s="3" t="s">
        <v>407</v>
      </c>
      <c r="B347">
        <v>1459.6</v>
      </c>
      <c r="C347">
        <v>1153.08</v>
      </c>
    </row>
    <row r="348" spans="1:3" x14ac:dyDescent="0.3">
      <c r="A348" s="3" t="s">
        <v>408</v>
      </c>
      <c r="B348">
        <v>7833.62</v>
      </c>
      <c r="C348">
        <v>6893.59</v>
      </c>
    </row>
    <row r="349" spans="1:3" x14ac:dyDescent="0.3">
      <c r="A349" s="3" t="s">
        <v>409</v>
      </c>
      <c r="B349">
        <v>5847.54</v>
      </c>
      <c r="C349">
        <v>5613.64</v>
      </c>
    </row>
    <row r="350" spans="1:3" x14ac:dyDescent="0.3">
      <c r="A350" s="3" t="s">
        <v>410</v>
      </c>
      <c r="B350">
        <v>284.85000000000002</v>
      </c>
      <c r="C350">
        <v>270.61</v>
      </c>
    </row>
    <row r="351" spans="1:3" x14ac:dyDescent="0.3">
      <c r="A351" s="3" t="s">
        <v>411</v>
      </c>
      <c r="B351">
        <v>2417.4</v>
      </c>
      <c r="C351">
        <v>1885.57</v>
      </c>
    </row>
    <row r="352" spans="1:3" x14ac:dyDescent="0.3">
      <c r="A352" s="3" t="s">
        <v>412</v>
      </c>
      <c r="B352">
        <v>14242.41</v>
      </c>
      <c r="C352">
        <v>12675.74</v>
      </c>
    </row>
    <row r="353" spans="1:3" x14ac:dyDescent="0.3">
      <c r="A353" s="3" t="s">
        <v>413</v>
      </c>
      <c r="B353">
        <v>9491.2199999999993</v>
      </c>
      <c r="C353">
        <v>7308.24</v>
      </c>
    </row>
    <row r="354" spans="1:3" x14ac:dyDescent="0.3">
      <c r="A354" s="3" t="s">
        <v>414</v>
      </c>
      <c r="B354">
        <v>1406.98</v>
      </c>
      <c r="C354">
        <v>1153.72</v>
      </c>
    </row>
    <row r="355" spans="1:3" x14ac:dyDescent="0.3">
      <c r="A355" s="3" t="s">
        <v>415</v>
      </c>
      <c r="B355">
        <v>3302.48</v>
      </c>
      <c r="C355">
        <v>3302.48</v>
      </c>
    </row>
    <row r="356" spans="1:3" x14ac:dyDescent="0.3">
      <c r="A356" s="3" t="s">
        <v>416</v>
      </c>
      <c r="B356">
        <v>2213.86</v>
      </c>
      <c r="C356">
        <v>1837.5</v>
      </c>
    </row>
    <row r="357" spans="1:3" x14ac:dyDescent="0.3">
      <c r="A357" s="3" t="s">
        <v>417</v>
      </c>
      <c r="B357">
        <v>4304.5</v>
      </c>
      <c r="C357">
        <v>3357.51</v>
      </c>
    </row>
    <row r="358" spans="1:3" x14ac:dyDescent="0.3">
      <c r="A358" s="3" t="s">
        <v>418</v>
      </c>
      <c r="B358">
        <v>12523.02</v>
      </c>
      <c r="C358">
        <v>9517.5</v>
      </c>
    </row>
    <row r="359" spans="1:3" x14ac:dyDescent="0.3">
      <c r="A359" s="3" t="s">
        <v>419</v>
      </c>
      <c r="B359">
        <v>226.84</v>
      </c>
      <c r="C359">
        <v>188.28</v>
      </c>
    </row>
    <row r="360" spans="1:3" x14ac:dyDescent="0.3">
      <c r="A360" s="3" t="s">
        <v>420</v>
      </c>
      <c r="B360">
        <v>4676.16</v>
      </c>
      <c r="C360">
        <v>3553.88</v>
      </c>
    </row>
    <row r="361" spans="1:3" x14ac:dyDescent="0.3">
      <c r="A361" s="3" t="s">
        <v>421</v>
      </c>
      <c r="B361">
        <v>6562.14</v>
      </c>
      <c r="C361">
        <v>6365.28</v>
      </c>
    </row>
    <row r="362" spans="1:3" x14ac:dyDescent="0.3">
      <c r="A362" s="3" t="s">
        <v>422</v>
      </c>
      <c r="B362">
        <v>13213.59</v>
      </c>
      <c r="C362">
        <v>12949.32</v>
      </c>
    </row>
    <row r="363" spans="1:3" x14ac:dyDescent="0.3">
      <c r="A363" s="3" t="s">
        <v>423</v>
      </c>
      <c r="B363">
        <v>16078.04</v>
      </c>
      <c r="C363">
        <v>13505.55</v>
      </c>
    </row>
    <row r="364" spans="1:3" x14ac:dyDescent="0.3">
      <c r="A364" s="3" t="s">
        <v>424</v>
      </c>
      <c r="B364">
        <v>16124.4</v>
      </c>
      <c r="C364">
        <v>13383.25</v>
      </c>
    </row>
    <row r="365" spans="1:3" x14ac:dyDescent="0.3">
      <c r="A365" s="3" t="s">
        <v>425</v>
      </c>
      <c r="B365">
        <v>4449.21</v>
      </c>
      <c r="C365">
        <v>3959.8</v>
      </c>
    </row>
    <row r="366" spans="1:3" x14ac:dyDescent="0.3">
      <c r="A366" s="3" t="s">
        <v>426</v>
      </c>
      <c r="B366">
        <v>2833.4500000000003</v>
      </c>
      <c r="C366">
        <v>2351.7600000000002</v>
      </c>
    </row>
    <row r="367" spans="1:3" x14ac:dyDescent="0.3">
      <c r="A367" s="3" t="s">
        <v>427</v>
      </c>
      <c r="B367">
        <v>3252.65</v>
      </c>
      <c r="C367">
        <v>3122.54</v>
      </c>
    </row>
    <row r="368" spans="1:3" x14ac:dyDescent="0.3">
      <c r="A368" s="3" t="s">
        <v>428</v>
      </c>
      <c r="B368">
        <v>1040.1600000000001</v>
      </c>
      <c r="C368">
        <v>977.75</v>
      </c>
    </row>
    <row r="369" spans="1:3" x14ac:dyDescent="0.3">
      <c r="A369" s="3" t="s">
        <v>429</v>
      </c>
      <c r="B369">
        <v>2125.1999999999998</v>
      </c>
      <c r="C369">
        <v>1870.18</v>
      </c>
    </row>
    <row r="370" spans="1:3" x14ac:dyDescent="0.3">
      <c r="A370" s="3" t="s">
        <v>430</v>
      </c>
      <c r="B370">
        <v>13952.9</v>
      </c>
      <c r="C370">
        <v>11022.79</v>
      </c>
    </row>
    <row r="371" spans="1:3" x14ac:dyDescent="0.3">
      <c r="A371" s="3" t="s">
        <v>431</v>
      </c>
      <c r="B371">
        <v>4101.28</v>
      </c>
      <c r="C371">
        <v>3240.01</v>
      </c>
    </row>
    <row r="372" spans="1:3" x14ac:dyDescent="0.3">
      <c r="A372" s="3" t="s">
        <v>432</v>
      </c>
      <c r="B372">
        <v>221.54</v>
      </c>
      <c r="C372">
        <v>201.6</v>
      </c>
    </row>
    <row r="373" spans="1:3" x14ac:dyDescent="0.3">
      <c r="A373" s="3" t="s">
        <v>433</v>
      </c>
      <c r="B373">
        <v>8254.02</v>
      </c>
      <c r="C373">
        <v>6685.76</v>
      </c>
    </row>
    <row r="374" spans="1:3" x14ac:dyDescent="0.3">
      <c r="A374" s="3" t="s">
        <v>434</v>
      </c>
      <c r="B374">
        <v>16561.28</v>
      </c>
      <c r="C374">
        <v>15733.22</v>
      </c>
    </row>
    <row r="375" spans="1:3" x14ac:dyDescent="0.3">
      <c r="A375" s="3" t="s">
        <v>435</v>
      </c>
      <c r="B375">
        <v>23926.65</v>
      </c>
      <c r="C375">
        <v>23208.85</v>
      </c>
    </row>
    <row r="376" spans="1:3" x14ac:dyDescent="0.3">
      <c r="A376" s="3" t="s">
        <v>436</v>
      </c>
      <c r="B376">
        <v>6979.82</v>
      </c>
      <c r="C376">
        <v>6700.63</v>
      </c>
    </row>
    <row r="377" spans="1:3" x14ac:dyDescent="0.3">
      <c r="A377" s="3" t="s">
        <v>437</v>
      </c>
      <c r="B377">
        <v>22939.8</v>
      </c>
      <c r="C377">
        <v>18581.240000000002</v>
      </c>
    </row>
    <row r="378" spans="1:3" x14ac:dyDescent="0.3">
      <c r="A378" s="3" t="s">
        <v>438</v>
      </c>
      <c r="B378">
        <v>17650.350000000002</v>
      </c>
      <c r="C378">
        <v>14296.78</v>
      </c>
    </row>
    <row r="379" spans="1:3" x14ac:dyDescent="0.3">
      <c r="A379" s="3" t="s">
        <v>439</v>
      </c>
      <c r="B379">
        <v>10393.200000000001</v>
      </c>
      <c r="C379">
        <v>8002.76</v>
      </c>
    </row>
    <row r="380" spans="1:3" x14ac:dyDescent="0.3">
      <c r="A380" s="3" t="s">
        <v>440</v>
      </c>
      <c r="B380">
        <v>14480.650000000001</v>
      </c>
      <c r="C380">
        <v>12018.94</v>
      </c>
    </row>
    <row r="381" spans="1:3" x14ac:dyDescent="0.3">
      <c r="A381" s="3" t="s">
        <v>441</v>
      </c>
      <c r="B381">
        <v>3248.4</v>
      </c>
      <c r="C381">
        <v>2696.17</v>
      </c>
    </row>
    <row r="382" spans="1:3" x14ac:dyDescent="0.3">
      <c r="A382" s="3" t="s">
        <v>442</v>
      </c>
      <c r="B382">
        <v>3298.7999999999997</v>
      </c>
      <c r="C382">
        <v>2836.97</v>
      </c>
    </row>
    <row r="383" spans="1:3" x14ac:dyDescent="0.3">
      <c r="A383" s="3" t="s">
        <v>443</v>
      </c>
      <c r="B383">
        <v>19715.55</v>
      </c>
      <c r="C383">
        <v>15772.44</v>
      </c>
    </row>
    <row r="384" spans="1:3" x14ac:dyDescent="0.3">
      <c r="A384" s="3" t="s">
        <v>444</v>
      </c>
      <c r="B384">
        <v>3743.98</v>
      </c>
      <c r="C384">
        <v>3556.78</v>
      </c>
    </row>
    <row r="385" spans="1:3" x14ac:dyDescent="0.3">
      <c r="A385" s="3" t="s">
        <v>445</v>
      </c>
      <c r="B385">
        <v>9837.84</v>
      </c>
      <c r="C385">
        <v>9641.08</v>
      </c>
    </row>
    <row r="386" spans="1:3" x14ac:dyDescent="0.3">
      <c r="A386" s="3" t="s">
        <v>446</v>
      </c>
      <c r="B386">
        <v>5923.06</v>
      </c>
      <c r="C386">
        <v>5567.68</v>
      </c>
    </row>
    <row r="387" spans="1:3" x14ac:dyDescent="0.3">
      <c r="A387" s="3" t="s">
        <v>447</v>
      </c>
      <c r="B387">
        <v>3890.94</v>
      </c>
      <c r="C387">
        <v>3268.39</v>
      </c>
    </row>
    <row r="388" spans="1:3" x14ac:dyDescent="0.3">
      <c r="A388" s="3" t="s">
        <v>448</v>
      </c>
      <c r="B388">
        <v>9578.48</v>
      </c>
      <c r="C388">
        <v>8333.2800000000007</v>
      </c>
    </row>
    <row r="389" spans="1:3" x14ac:dyDescent="0.3">
      <c r="A389" s="3" t="s">
        <v>449</v>
      </c>
      <c r="B389">
        <v>6700.68</v>
      </c>
      <c r="C389">
        <v>6164.63</v>
      </c>
    </row>
    <row r="390" spans="1:3" x14ac:dyDescent="0.3">
      <c r="A390" s="3" t="s">
        <v>450</v>
      </c>
      <c r="B390">
        <v>6851.3099999999995</v>
      </c>
      <c r="C390">
        <v>5275.51</v>
      </c>
    </row>
    <row r="391" spans="1:3" x14ac:dyDescent="0.3">
      <c r="A391" s="3" t="s">
        <v>451</v>
      </c>
      <c r="B391">
        <v>18237.400000000001</v>
      </c>
      <c r="C391">
        <v>18055.03</v>
      </c>
    </row>
    <row r="392" spans="1:3" x14ac:dyDescent="0.3">
      <c r="A392" s="3" t="s">
        <v>452</v>
      </c>
      <c r="B392">
        <v>3339.06</v>
      </c>
      <c r="C392">
        <v>3272.28</v>
      </c>
    </row>
    <row r="393" spans="1:3" x14ac:dyDescent="0.3">
      <c r="A393" s="3" t="s">
        <v>453</v>
      </c>
      <c r="B393">
        <v>8676.52</v>
      </c>
      <c r="C393">
        <v>7722.1</v>
      </c>
    </row>
    <row r="394" spans="1:3" x14ac:dyDescent="0.3">
      <c r="A394" s="3" t="s">
        <v>454</v>
      </c>
      <c r="B394">
        <v>856.92</v>
      </c>
      <c r="C394">
        <v>839.78</v>
      </c>
    </row>
    <row r="395" spans="1:3" x14ac:dyDescent="0.3">
      <c r="A395" s="3" t="s">
        <v>455</v>
      </c>
      <c r="B395">
        <v>12752.24</v>
      </c>
      <c r="C395">
        <v>11349.49</v>
      </c>
    </row>
    <row r="396" spans="1:3" x14ac:dyDescent="0.3">
      <c r="A396" s="3" t="s">
        <v>456</v>
      </c>
      <c r="B396">
        <v>1615.1499999999999</v>
      </c>
      <c r="C396">
        <v>1275.97</v>
      </c>
    </row>
    <row r="397" spans="1:3" x14ac:dyDescent="0.3">
      <c r="A397" s="3" t="s">
        <v>457</v>
      </c>
      <c r="B397">
        <v>16513.599999999999</v>
      </c>
      <c r="C397">
        <v>16348.46</v>
      </c>
    </row>
    <row r="398" spans="1:3" x14ac:dyDescent="0.3">
      <c r="A398" s="3" t="s">
        <v>458</v>
      </c>
      <c r="B398">
        <v>14373.66</v>
      </c>
      <c r="C398">
        <v>14373.66</v>
      </c>
    </row>
    <row r="399" spans="1:3" x14ac:dyDescent="0.3">
      <c r="A399" s="3" t="s">
        <v>459</v>
      </c>
      <c r="B399">
        <v>3387.7799999999997</v>
      </c>
      <c r="C399">
        <v>2744.1</v>
      </c>
    </row>
    <row r="400" spans="1:3" x14ac:dyDescent="0.3">
      <c r="A400" s="3" t="s">
        <v>460</v>
      </c>
      <c r="B400">
        <v>20951.350000000002</v>
      </c>
      <c r="C400">
        <v>19903.78</v>
      </c>
    </row>
    <row r="401" spans="1:3" x14ac:dyDescent="0.3">
      <c r="A401" s="3" t="s">
        <v>461</v>
      </c>
      <c r="B401">
        <v>1328.37</v>
      </c>
      <c r="C401">
        <v>1261.95</v>
      </c>
    </row>
    <row r="402" spans="1:3" x14ac:dyDescent="0.3">
      <c r="A402" s="3" t="s">
        <v>462</v>
      </c>
      <c r="B402">
        <v>2210.3000000000002</v>
      </c>
      <c r="C402">
        <v>2099.7800000000002</v>
      </c>
    </row>
    <row r="403" spans="1:3" x14ac:dyDescent="0.3">
      <c r="A403" s="3" t="s">
        <v>463</v>
      </c>
      <c r="B403">
        <v>14392.29</v>
      </c>
      <c r="C403">
        <v>13816.6</v>
      </c>
    </row>
    <row r="404" spans="1:3" x14ac:dyDescent="0.3">
      <c r="A404" s="3" t="s">
        <v>464</v>
      </c>
      <c r="B404">
        <v>13204.920000000002</v>
      </c>
      <c r="C404">
        <v>11620.33</v>
      </c>
    </row>
    <row r="405" spans="1:3" x14ac:dyDescent="0.3">
      <c r="A405" s="3" t="s">
        <v>465</v>
      </c>
      <c r="B405">
        <v>8934.7199999999993</v>
      </c>
      <c r="C405">
        <v>8487.98</v>
      </c>
    </row>
    <row r="406" spans="1:3" x14ac:dyDescent="0.3">
      <c r="A406" s="3" t="s">
        <v>466</v>
      </c>
      <c r="B406">
        <v>5712.65</v>
      </c>
      <c r="C406">
        <v>5655.52</v>
      </c>
    </row>
    <row r="407" spans="1:3" x14ac:dyDescent="0.3">
      <c r="A407" s="3" t="s">
        <v>467</v>
      </c>
      <c r="B407">
        <v>2268.06</v>
      </c>
      <c r="C407">
        <v>1973.21</v>
      </c>
    </row>
    <row r="408" spans="1:3" x14ac:dyDescent="0.3">
      <c r="A408" s="3" t="s">
        <v>468</v>
      </c>
      <c r="B408">
        <v>4572.96</v>
      </c>
      <c r="C408">
        <v>4390.04</v>
      </c>
    </row>
    <row r="409" spans="1:3" x14ac:dyDescent="0.3">
      <c r="A409" s="3" t="s">
        <v>469</v>
      </c>
      <c r="B409">
        <v>816.04</v>
      </c>
      <c r="C409">
        <v>742.6</v>
      </c>
    </row>
    <row r="410" spans="1:3" x14ac:dyDescent="0.3">
      <c r="A410" s="3" t="s">
        <v>470</v>
      </c>
      <c r="B410">
        <v>4904.8900000000003</v>
      </c>
      <c r="C410">
        <v>4512.5</v>
      </c>
    </row>
    <row r="411" spans="1:3" x14ac:dyDescent="0.3">
      <c r="A411" s="3" t="s">
        <v>471</v>
      </c>
      <c r="B411">
        <v>16506.75</v>
      </c>
      <c r="C411">
        <v>13040.33</v>
      </c>
    </row>
    <row r="412" spans="1:3" x14ac:dyDescent="0.3">
      <c r="A412" s="3" t="s">
        <v>472</v>
      </c>
      <c r="B412">
        <v>17788.560000000001</v>
      </c>
      <c r="C412">
        <v>17788.560000000001</v>
      </c>
    </row>
    <row r="413" spans="1:3" x14ac:dyDescent="0.3">
      <c r="A413" s="3" t="s">
        <v>473</v>
      </c>
      <c r="B413">
        <v>3749.78</v>
      </c>
      <c r="C413">
        <v>3074.82</v>
      </c>
    </row>
    <row r="414" spans="1:3" x14ac:dyDescent="0.3">
      <c r="A414" s="3" t="s">
        <v>474</v>
      </c>
      <c r="B414">
        <v>5989.76</v>
      </c>
      <c r="C414">
        <v>5031.3999999999996</v>
      </c>
    </row>
    <row r="415" spans="1:3" x14ac:dyDescent="0.3">
      <c r="A415" s="3" t="s">
        <v>475</v>
      </c>
      <c r="B415">
        <v>4098.2</v>
      </c>
      <c r="C415">
        <v>3934.27</v>
      </c>
    </row>
    <row r="416" spans="1:3" x14ac:dyDescent="0.3">
      <c r="A416" s="3" t="s">
        <v>476</v>
      </c>
      <c r="B416">
        <v>12287.92</v>
      </c>
      <c r="C416">
        <v>10813.37</v>
      </c>
    </row>
    <row r="417" spans="1:3" x14ac:dyDescent="0.3">
      <c r="A417" s="3" t="s">
        <v>477</v>
      </c>
      <c r="B417">
        <v>6980.75</v>
      </c>
      <c r="C417">
        <v>5724.22</v>
      </c>
    </row>
    <row r="418" spans="1:3" x14ac:dyDescent="0.3">
      <c r="A418" s="3" t="s">
        <v>478</v>
      </c>
      <c r="B418">
        <v>181.16</v>
      </c>
      <c r="C418">
        <v>157.61000000000001</v>
      </c>
    </row>
    <row r="419" spans="1:3" x14ac:dyDescent="0.3">
      <c r="A419" s="3" t="s">
        <v>479</v>
      </c>
      <c r="B419">
        <v>1456.3999999999999</v>
      </c>
      <c r="C419">
        <v>1165.1199999999999</v>
      </c>
    </row>
    <row r="420" spans="1:3" x14ac:dyDescent="0.3">
      <c r="A420" s="3" t="s">
        <v>480</v>
      </c>
      <c r="B420">
        <v>13159.920000000002</v>
      </c>
      <c r="C420">
        <v>10922.73</v>
      </c>
    </row>
    <row r="421" spans="1:3" x14ac:dyDescent="0.3">
      <c r="A421" s="3" t="s">
        <v>481</v>
      </c>
      <c r="B421">
        <v>2894.0499999999997</v>
      </c>
      <c r="C421">
        <v>2807.23</v>
      </c>
    </row>
    <row r="422" spans="1:3" x14ac:dyDescent="0.3">
      <c r="A422" s="3" t="s">
        <v>482</v>
      </c>
      <c r="B422">
        <v>3078.6000000000004</v>
      </c>
      <c r="C422">
        <v>2524.4499999999998</v>
      </c>
    </row>
    <row r="423" spans="1:3" x14ac:dyDescent="0.3">
      <c r="A423" s="3" t="s">
        <v>483</v>
      </c>
      <c r="B423">
        <v>858.42</v>
      </c>
      <c r="C423">
        <v>721.07</v>
      </c>
    </row>
    <row r="424" spans="1:3" x14ac:dyDescent="0.3">
      <c r="A424" s="3" t="s">
        <v>484</v>
      </c>
      <c r="B424">
        <v>15197.44</v>
      </c>
      <c r="C424">
        <v>13677.7</v>
      </c>
    </row>
    <row r="425" spans="1:3" x14ac:dyDescent="0.3">
      <c r="A425" s="3" t="s">
        <v>485</v>
      </c>
      <c r="B425">
        <v>11680.650000000001</v>
      </c>
      <c r="C425">
        <v>10512.59</v>
      </c>
    </row>
    <row r="426" spans="1:3" x14ac:dyDescent="0.3">
      <c r="A426" s="3" t="s">
        <v>486</v>
      </c>
      <c r="B426">
        <v>15807.2</v>
      </c>
      <c r="C426">
        <v>12645.76</v>
      </c>
    </row>
    <row r="427" spans="1:3" x14ac:dyDescent="0.3">
      <c r="A427" s="3" t="s">
        <v>487</v>
      </c>
      <c r="B427">
        <v>2127.56</v>
      </c>
      <c r="C427">
        <v>1978.63</v>
      </c>
    </row>
    <row r="428" spans="1:3" x14ac:dyDescent="0.3">
      <c r="A428" s="3" t="s">
        <v>488</v>
      </c>
      <c r="B428">
        <v>1907.85</v>
      </c>
      <c r="C428">
        <v>1545.36</v>
      </c>
    </row>
    <row r="429" spans="1:3" x14ac:dyDescent="0.3">
      <c r="A429" s="3" t="s">
        <v>489</v>
      </c>
      <c r="B429">
        <v>13137.449999999999</v>
      </c>
      <c r="C429">
        <v>12349.2</v>
      </c>
    </row>
    <row r="430" spans="1:3" x14ac:dyDescent="0.3">
      <c r="A430" s="3" t="s">
        <v>490</v>
      </c>
      <c r="B430">
        <v>10144.02</v>
      </c>
      <c r="C430">
        <v>9129.6200000000008</v>
      </c>
    </row>
    <row r="431" spans="1:3" x14ac:dyDescent="0.3">
      <c r="A431" s="3" t="s">
        <v>491</v>
      </c>
      <c r="B431">
        <v>22917.7</v>
      </c>
      <c r="C431">
        <v>20855.11</v>
      </c>
    </row>
    <row r="432" spans="1:3" x14ac:dyDescent="0.3">
      <c r="A432" s="3" t="s">
        <v>492</v>
      </c>
      <c r="B432">
        <v>2873.0099999999998</v>
      </c>
      <c r="C432">
        <v>2499.52</v>
      </c>
    </row>
    <row r="433" spans="1:3" x14ac:dyDescent="0.3">
      <c r="A433" s="3" t="s">
        <v>493</v>
      </c>
      <c r="B433">
        <v>6628.4500000000007</v>
      </c>
      <c r="C433">
        <v>5899.32</v>
      </c>
    </row>
    <row r="434" spans="1:3" x14ac:dyDescent="0.3">
      <c r="A434" s="3" t="s">
        <v>494</v>
      </c>
      <c r="B434">
        <v>2678.84</v>
      </c>
      <c r="C434">
        <v>2625.26</v>
      </c>
    </row>
    <row r="435" spans="1:3" x14ac:dyDescent="0.3">
      <c r="A435" s="3" t="s">
        <v>495</v>
      </c>
      <c r="B435">
        <v>738.19999999999993</v>
      </c>
      <c r="C435">
        <v>583.17999999999995</v>
      </c>
    </row>
    <row r="436" spans="1:3" x14ac:dyDescent="0.3">
      <c r="A436" s="3" t="s">
        <v>496</v>
      </c>
      <c r="B436">
        <v>5497.0199999999995</v>
      </c>
      <c r="C436">
        <v>4287.68</v>
      </c>
    </row>
    <row r="437" spans="1:3" x14ac:dyDescent="0.3">
      <c r="A437" s="3" t="s">
        <v>497</v>
      </c>
      <c r="B437">
        <v>8752.8799999999992</v>
      </c>
      <c r="C437">
        <v>8315.24</v>
      </c>
    </row>
    <row r="438" spans="1:3" x14ac:dyDescent="0.3">
      <c r="A438" s="3" t="s">
        <v>498</v>
      </c>
      <c r="B438">
        <v>12431</v>
      </c>
      <c r="C438">
        <v>10069.11</v>
      </c>
    </row>
    <row r="439" spans="1:3" x14ac:dyDescent="0.3">
      <c r="A439" s="3" t="s">
        <v>499</v>
      </c>
      <c r="B439">
        <v>3984.28</v>
      </c>
      <c r="C439">
        <v>3227.27</v>
      </c>
    </row>
    <row r="440" spans="1:3" x14ac:dyDescent="0.3">
      <c r="A440" s="3" t="s">
        <v>500</v>
      </c>
      <c r="B440">
        <v>18817.240000000002</v>
      </c>
      <c r="C440">
        <v>18629.07</v>
      </c>
    </row>
    <row r="441" spans="1:3" x14ac:dyDescent="0.3">
      <c r="A441" s="3" t="s">
        <v>501</v>
      </c>
      <c r="B441">
        <v>10431.39</v>
      </c>
      <c r="C441">
        <v>10431.39</v>
      </c>
    </row>
    <row r="442" spans="1:3" x14ac:dyDescent="0.3">
      <c r="A442" s="3" t="s">
        <v>502</v>
      </c>
      <c r="B442">
        <v>6939.8</v>
      </c>
      <c r="C442">
        <v>6454.01</v>
      </c>
    </row>
    <row r="443" spans="1:3" x14ac:dyDescent="0.3">
      <c r="A443" s="3" t="s">
        <v>503</v>
      </c>
      <c r="B443">
        <v>5666.64</v>
      </c>
      <c r="C443">
        <v>5099.9799999999996</v>
      </c>
    </row>
    <row r="444" spans="1:3" x14ac:dyDescent="0.3">
      <c r="A444" s="3" t="s">
        <v>504</v>
      </c>
      <c r="B444">
        <v>11089.349999999999</v>
      </c>
      <c r="C444">
        <v>9980.41</v>
      </c>
    </row>
    <row r="445" spans="1:3" x14ac:dyDescent="0.3">
      <c r="A445" s="3" t="s">
        <v>505</v>
      </c>
      <c r="B445">
        <v>13582.550000000001</v>
      </c>
      <c r="C445">
        <v>12495.95</v>
      </c>
    </row>
    <row r="446" spans="1:3" x14ac:dyDescent="0.3">
      <c r="A446" s="3" t="s">
        <v>506</v>
      </c>
      <c r="B446">
        <v>788.36</v>
      </c>
      <c r="C446">
        <v>630.69000000000005</v>
      </c>
    </row>
    <row r="447" spans="1:3" x14ac:dyDescent="0.3">
      <c r="A447" s="3" t="s">
        <v>507</v>
      </c>
      <c r="B447">
        <v>23330.2</v>
      </c>
      <c r="C447">
        <v>21930.39</v>
      </c>
    </row>
    <row r="448" spans="1:3" x14ac:dyDescent="0.3">
      <c r="A448" s="3" t="s">
        <v>508</v>
      </c>
      <c r="B448">
        <v>4776.2</v>
      </c>
      <c r="C448">
        <v>3820.96</v>
      </c>
    </row>
    <row r="449" spans="1:3" x14ac:dyDescent="0.3">
      <c r="A449" s="3" t="s">
        <v>509</v>
      </c>
      <c r="B449">
        <v>7117.17</v>
      </c>
      <c r="C449">
        <v>5409.05</v>
      </c>
    </row>
    <row r="450" spans="1:3" x14ac:dyDescent="0.3">
      <c r="A450" s="3" t="s">
        <v>510</v>
      </c>
      <c r="B450">
        <v>3654.81</v>
      </c>
      <c r="C450">
        <v>3362.43</v>
      </c>
    </row>
    <row r="451" spans="1:3" x14ac:dyDescent="0.3">
      <c r="A451" s="3" t="s">
        <v>511</v>
      </c>
      <c r="B451">
        <v>13262.9</v>
      </c>
      <c r="C451">
        <v>11803.98</v>
      </c>
    </row>
    <row r="452" spans="1:3" x14ac:dyDescent="0.3">
      <c r="A452" s="3" t="s">
        <v>512</v>
      </c>
      <c r="B452">
        <v>4091.04</v>
      </c>
      <c r="C452">
        <v>4009.22</v>
      </c>
    </row>
    <row r="453" spans="1:3" x14ac:dyDescent="0.3">
      <c r="A453" s="3" t="s">
        <v>513</v>
      </c>
      <c r="B453">
        <v>1026.26</v>
      </c>
      <c r="C453">
        <v>790.22</v>
      </c>
    </row>
    <row r="454" spans="1:3" x14ac:dyDescent="0.3">
      <c r="A454" s="3" t="s">
        <v>514</v>
      </c>
      <c r="B454">
        <v>480</v>
      </c>
      <c r="C454">
        <v>398.4</v>
      </c>
    </row>
    <row r="455" spans="1:3" x14ac:dyDescent="0.3">
      <c r="A455" s="3" t="s">
        <v>515</v>
      </c>
      <c r="B455">
        <v>4837.3999999999996</v>
      </c>
      <c r="C455">
        <v>4111.79</v>
      </c>
    </row>
    <row r="456" spans="1:3" x14ac:dyDescent="0.3">
      <c r="A456" s="3" t="s">
        <v>516</v>
      </c>
      <c r="B456">
        <v>8086.14</v>
      </c>
      <c r="C456">
        <v>7196.66</v>
      </c>
    </row>
    <row r="457" spans="1:3" x14ac:dyDescent="0.3">
      <c r="A457" s="3" t="s">
        <v>517</v>
      </c>
      <c r="B457">
        <v>4515.42</v>
      </c>
      <c r="C457">
        <v>3928.42</v>
      </c>
    </row>
    <row r="458" spans="1:3" x14ac:dyDescent="0.3">
      <c r="A458" s="3" t="s">
        <v>518</v>
      </c>
      <c r="B458">
        <v>6164.8</v>
      </c>
      <c r="C458">
        <v>6164.8</v>
      </c>
    </row>
    <row r="459" spans="1:3" x14ac:dyDescent="0.3">
      <c r="A459" s="3" t="s">
        <v>519</v>
      </c>
      <c r="B459">
        <v>16637.16</v>
      </c>
      <c r="C459">
        <v>15638.93</v>
      </c>
    </row>
    <row r="460" spans="1:3" x14ac:dyDescent="0.3">
      <c r="A460" s="3" t="s">
        <v>520</v>
      </c>
      <c r="B460">
        <v>4084.8</v>
      </c>
      <c r="C460">
        <v>4003.1</v>
      </c>
    </row>
    <row r="461" spans="1:3" x14ac:dyDescent="0.3">
      <c r="A461" s="3" t="s">
        <v>521</v>
      </c>
      <c r="B461">
        <v>3342.3</v>
      </c>
      <c r="C461">
        <v>3208.61</v>
      </c>
    </row>
    <row r="462" spans="1:3" x14ac:dyDescent="0.3">
      <c r="A462" s="3" t="s">
        <v>522</v>
      </c>
      <c r="B462">
        <v>14651.28</v>
      </c>
      <c r="C462">
        <v>13772.2</v>
      </c>
    </row>
    <row r="463" spans="1:3" x14ac:dyDescent="0.3">
      <c r="A463" s="3" t="s">
        <v>523</v>
      </c>
      <c r="B463">
        <v>14059.92</v>
      </c>
      <c r="C463">
        <v>13919.32</v>
      </c>
    </row>
    <row r="464" spans="1:3" x14ac:dyDescent="0.3">
      <c r="A464" s="3" t="s">
        <v>524</v>
      </c>
      <c r="B464">
        <v>8977.84</v>
      </c>
      <c r="C464">
        <v>8439.17</v>
      </c>
    </row>
    <row r="465" spans="1:3" x14ac:dyDescent="0.3">
      <c r="A465" s="3" t="s">
        <v>525</v>
      </c>
      <c r="B465">
        <v>1075.98</v>
      </c>
      <c r="C465">
        <v>882.3</v>
      </c>
    </row>
    <row r="466" spans="1:3" x14ac:dyDescent="0.3">
      <c r="A466" s="3" t="s">
        <v>526</v>
      </c>
      <c r="B466">
        <v>13262.7</v>
      </c>
      <c r="C466">
        <v>12466.94</v>
      </c>
    </row>
    <row r="467" spans="1:3" x14ac:dyDescent="0.3">
      <c r="A467" s="3" t="s">
        <v>527</v>
      </c>
      <c r="B467">
        <v>6760.48</v>
      </c>
      <c r="C467">
        <v>6490.06</v>
      </c>
    </row>
    <row r="468" spans="1:3" x14ac:dyDescent="0.3">
      <c r="A468" s="3" t="s">
        <v>528</v>
      </c>
      <c r="B468">
        <v>13892.76</v>
      </c>
      <c r="C468">
        <v>13337.05</v>
      </c>
    </row>
    <row r="469" spans="1:3" x14ac:dyDescent="0.3">
      <c r="A469" s="3" t="s">
        <v>529</v>
      </c>
      <c r="B469">
        <v>7073.02</v>
      </c>
      <c r="C469">
        <v>5658.42</v>
      </c>
    </row>
    <row r="470" spans="1:3" x14ac:dyDescent="0.3">
      <c r="A470" s="3" t="s">
        <v>530</v>
      </c>
      <c r="B470">
        <v>7420.08</v>
      </c>
      <c r="C470">
        <v>7197.48</v>
      </c>
    </row>
    <row r="471" spans="1:3" x14ac:dyDescent="0.3">
      <c r="A471" s="3" t="s">
        <v>531</v>
      </c>
      <c r="B471">
        <v>5072.3500000000004</v>
      </c>
      <c r="C471">
        <v>4615.84</v>
      </c>
    </row>
    <row r="472" spans="1:3" x14ac:dyDescent="0.3">
      <c r="A472" s="3" t="s">
        <v>532</v>
      </c>
      <c r="B472">
        <v>6195.2</v>
      </c>
      <c r="C472">
        <v>5761.54</v>
      </c>
    </row>
    <row r="473" spans="1:3" x14ac:dyDescent="0.3">
      <c r="A473" s="3" t="s">
        <v>533</v>
      </c>
      <c r="B473">
        <v>11707.44</v>
      </c>
      <c r="C473">
        <v>11004.99</v>
      </c>
    </row>
    <row r="474" spans="1:3" x14ac:dyDescent="0.3">
      <c r="A474" s="3" t="s">
        <v>534</v>
      </c>
      <c r="B474">
        <v>15408.4</v>
      </c>
      <c r="C474">
        <v>14792.06</v>
      </c>
    </row>
    <row r="475" spans="1:3" x14ac:dyDescent="0.3">
      <c r="A475" s="3" t="s">
        <v>535</v>
      </c>
      <c r="B475">
        <v>314.51</v>
      </c>
      <c r="C475">
        <v>242.17</v>
      </c>
    </row>
    <row r="476" spans="1:3" x14ac:dyDescent="0.3">
      <c r="A476" s="3" t="s">
        <v>536</v>
      </c>
      <c r="B476">
        <v>13295.24</v>
      </c>
      <c r="C476">
        <v>11566.86</v>
      </c>
    </row>
    <row r="477" spans="1:3" x14ac:dyDescent="0.3">
      <c r="A477" s="3" t="s">
        <v>537</v>
      </c>
      <c r="B477">
        <v>18596.72</v>
      </c>
      <c r="C477">
        <v>14691.41</v>
      </c>
    </row>
    <row r="478" spans="1:3" x14ac:dyDescent="0.3">
      <c r="A478" s="3" t="s">
        <v>538</v>
      </c>
      <c r="B478">
        <v>1496</v>
      </c>
      <c r="C478">
        <v>1466.08</v>
      </c>
    </row>
    <row r="479" spans="1:3" x14ac:dyDescent="0.3">
      <c r="A479" s="3" t="s">
        <v>539</v>
      </c>
      <c r="B479">
        <v>4113.4399999999996</v>
      </c>
      <c r="C479">
        <v>3578.69</v>
      </c>
    </row>
    <row r="480" spans="1:3" x14ac:dyDescent="0.3">
      <c r="A480" s="3" t="s">
        <v>540</v>
      </c>
      <c r="B480">
        <v>14170</v>
      </c>
      <c r="C480">
        <v>12611.3</v>
      </c>
    </row>
    <row r="481" spans="1:3" x14ac:dyDescent="0.3">
      <c r="A481" s="3" t="s">
        <v>541</v>
      </c>
      <c r="B481">
        <v>5432.22</v>
      </c>
      <c r="C481">
        <v>4617.3900000000003</v>
      </c>
    </row>
    <row r="482" spans="1:3" x14ac:dyDescent="0.3">
      <c r="A482" s="3" t="s">
        <v>542</v>
      </c>
      <c r="B482">
        <v>9243.69</v>
      </c>
      <c r="C482">
        <v>7949.57</v>
      </c>
    </row>
    <row r="483" spans="1:3" x14ac:dyDescent="0.3">
      <c r="A483" s="3" t="s">
        <v>543</v>
      </c>
      <c r="B483">
        <v>3658.94</v>
      </c>
      <c r="C483">
        <v>2744.2</v>
      </c>
    </row>
    <row r="484" spans="1:3" x14ac:dyDescent="0.3">
      <c r="A484" s="3" t="s">
        <v>544</v>
      </c>
      <c r="B484">
        <v>619.02</v>
      </c>
      <c r="C484">
        <v>489.03</v>
      </c>
    </row>
    <row r="485" spans="1:3" x14ac:dyDescent="0.3">
      <c r="A485" s="3" t="s">
        <v>545</v>
      </c>
      <c r="B485">
        <v>2594.7599999999998</v>
      </c>
      <c r="C485">
        <v>2413.13</v>
      </c>
    </row>
    <row r="486" spans="1:3" x14ac:dyDescent="0.3">
      <c r="A486" s="3" t="s">
        <v>546</v>
      </c>
      <c r="B486">
        <v>7395.8</v>
      </c>
      <c r="C486">
        <v>6064.56</v>
      </c>
    </row>
    <row r="487" spans="1:3" x14ac:dyDescent="0.3">
      <c r="A487" s="3" t="s">
        <v>547</v>
      </c>
      <c r="B487">
        <v>9847.9</v>
      </c>
      <c r="C487">
        <v>7878.32</v>
      </c>
    </row>
    <row r="488" spans="1:3" x14ac:dyDescent="0.3">
      <c r="A488" s="3" t="s">
        <v>548</v>
      </c>
      <c r="B488">
        <v>23252</v>
      </c>
      <c r="C488">
        <v>19531.68</v>
      </c>
    </row>
    <row r="489" spans="1:3" x14ac:dyDescent="0.3">
      <c r="A489" s="3" t="s">
        <v>549</v>
      </c>
      <c r="B489">
        <v>3402.94</v>
      </c>
      <c r="C489">
        <v>2824.44</v>
      </c>
    </row>
    <row r="490" spans="1:3" x14ac:dyDescent="0.3">
      <c r="A490" s="3" t="s">
        <v>550</v>
      </c>
      <c r="B490">
        <v>1188.22</v>
      </c>
      <c r="C490">
        <v>1105.04</v>
      </c>
    </row>
    <row r="491" spans="1:3" x14ac:dyDescent="0.3">
      <c r="A491" s="3" t="s">
        <v>551</v>
      </c>
      <c r="B491">
        <v>5546.12</v>
      </c>
      <c r="C491">
        <v>4991.51</v>
      </c>
    </row>
    <row r="492" spans="1:3" x14ac:dyDescent="0.3">
      <c r="A492" s="3" t="s">
        <v>552</v>
      </c>
      <c r="B492">
        <v>5304.4500000000007</v>
      </c>
      <c r="C492">
        <v>4508.78</v>
      </c>
    </row>
    <row r="493" spans="1:3" x14ac:dyDescent="0.3">
      <c r="A493" s="3" t="s">
        <v>553</v>
      </c>
      <c r="B493">
        <v>3391.56</v>
      </c>
      <c r="C493">
        <v>3018.49</v>
      </c>
    </row>
    <row r="494" spans="1:3" x14ac:dyDescent="0.3">
      <c r="A494" s="3" t="s">
        <v>554</v>
      </c>
      <c r="B494">
        <v>20628.800000000003</v>
      </c>
      <c r="C494">
        <v>16503.04</v>
      </c>
    </row>
    <row r="495" spans="1:3" x14ac:dyDescent="0.3">
      <c r="A495" s="3" t="s">
        <v>555</v>
      </c>
      <c r="B495">
        <v>650.62</v>
      </c>
      <c r="C495">
        <v>644.11</v>
      </c>
    </row>
    <row r="496" spans="1:3" x14ac:dyDescent="0.3">
      <c r="A496" s="3" t="s">
        <v>556</v>
      </c>
      <c r="B496">
        <v>9635.32</v>
      </c>
      <c r="C496">
        <v>8864.49</v>
      </c>
    </row>
    <row r="497" spans="1:3" x14ac:dyDescent="0.3">
      <c r="A497" s="3" t="s">
        <v>557</v>
      </c>
      <c r="B497">
        <v>7011.7</v>
      </c>
      <c r="C497">
        <v>5819.71</v>
      </c>
    </row>
    <row r="498" spans="1:3" x14ac:dyDescent="0.3">
      <c r="A498" s="3" t="s">
        <v>558</v>
      </c>
      <c r="B498">
        <v>2378.31</v>
      </c>
      <c r="C498">
        <v>1807.52</v>
      </c>
    </row>
    <row r="499" spans="1:3" x14ac:dyDescent="0.3">
      <c r="A499" s="3" t="s">
        <v>559</v>
      </c>
      <c r="B499">
        <v>4930.92</v>
      </c>
      <c r="C499">
        <v>4437.83</v>
      </c>
    </row>
    <row r="500" spans="1:3" x14ac:dyDescent="0.3">
      <c r="A500" s="3" t="s">
        <v>560</v>
      </c>
      <c r="B500">
        <v>11389.48</v>
      </c>
      <c r="C500">
        <v>9339.3700000000008</v>
      </c>
    </row>
    <row r="501" spans="1:3" x14ac:dyDescent="0.3">
      <c r="A501" s="3" t="s">
        <v>561</v>
      </c>
      <c r="B501">
        <v>380.04</v>
      </c>
      <c r="C501">
        <v>315.43</v>
      </c>
    </row>
    <row r="502" spans="1:3" x14ac:dyDescent="0.3">
      <c r="A502" s="3" t="s">
        <v>562</v>
      </c>
      <c r="B502">
        <v>4726.2700000000004</v>
      </c>
      <c r="C502">
        <v>3591.97</v>
      </c>
    </row>
    <row r="503" spans="1:3" x14ac:dyDescent="0.3">
      <c r="A503" s="3" t="s">
        <v>563</v>
      </c>
      <c r="B503">
        <v>21881.199999999997</v>
      </c>
      <c r="C503">
        <v>18161.400000000001</v>
      </c>
    </row>
    <row r="504" spans="1:3" x14ac:dyDescent="0.3">
      <c r="A504" s="3" t="s">
        <v>564</v>
      </c>
      <c r="B504">
        <v>3728.3999999999996</v>
      </c>
      <c r="C504">
        <v>3131.86</v>
      </c>
    </row>
    <row r="505" spans="1:3" x14ac:dyDescent="0.3">
      <c r="A505" s="3" t="s">
        <v>565</v>
      </c>
      <c r="B505">
        <v>22969.25</v>
      </c>
      <c r="C505">
        <v>21131.71</v>
      </c>
    </row>
    <row r="506" spans="1:3" x14ac:dyDescent="0.3">
      <c r="A506" s="3" t="s">
        <v>566</v>
      </c>
      <c r="B506">
        <v>6812.16</v>
      </c>
      <c r="C506">
        <v>5245.36</v>
      </c>
    </row>
    <row r="507" spans="1:3" x14ac:dyDescent="0.3">
      <c r="A507" s="3" t="s">
        <v>567</v>
      </c>
      <c r="B507">
        <v>15615.2</v>
      </c>
      <c r="C507">
        <v>13272.92</v>
      </c>
    </row>
    <row r="508" spans="1:3" x14ac:dyDescent="0.3">
      <c r="A508" s="3" t="s">
        <v>568</v>
      </c>
      <c r="B508">
        <v>3028.08</v>
      </c>
      <c r="C508">
        <v>2392.1799999999998</v>
      </c>
    </row>
    <row r="509" spans="1:3" x14ac:dyDescent="0.3">
      <c r="A509" s="3" t="s">
        <v>569</v>
      </c>
      <c r="B509">
        <v>2417.48</v>
      </c>
      <c r="C509">
        <v>2175.73</v>
      </c>
    </row>
    <row r="510" spans="1:3" x14ac:dyDescent="0.3">
      <c r="A510" s="3" t="s">
        <v>570</v>
      </c>
      <c r="B510">
        <v>17395.72</v>
      </c>
      <c r="C510">
        <v>15308.23</v>
      </c>
    </row>
    <row r="511" spans="1:3" x14ac:dyDescent="0.3">
      <c r="A511" s="3" t="s">
        <v>571</v>
      </c>
      <c r="B511">
        <v>14515.92</v>
      </c>
      <c r="C511">
        <v>13064.33</v>
      </c>
    </row>
    <row r="512" spans="1:3" x14ac:dyDescent="0.3">
      <c r="A512" s="3" t="s">
        <v>572</v>
      </c>
      <c r="B512">
        <v>10192.450000000001</v>
      </c>
      <c r="C512">
        <v>8357.81</v>
      </c>
    </row>
    <row r="513" spans="1:3" x14ac:dyDescent="0.3">
      <c r="A513" s="3" t="s">
        <v>573</v>
      </c>
      <c r="B513">
        <v>11673.06</v>
      </c>
      <c r="C513">
        <v>10855.95</v>
      </c>
    </row>
    <row r="514" spans="1:3" x14ac:dyDescent="0.3">
      <c r="A514" s="3" t="s">
        <v>574</v>
      </c>
      <c r="B514">
        <v>3272.7</v>
      </c>
      <c r="C514">
        <v>2650.89</v>
      </c>
    </row>
    <row r="515" spans="1:3" x14ac:dyDescent="0.3">
      <c r="A515" s="3" t="s">
        <v>575</v>
      </c>
      <c r="B515">
        <v>22467.15</v>
      </c>
      <c r="C515">
        <v>17524.38</v>
      </c>
    </row>
    <row r="516" spans="1:3" x14ac:dyDescent="0.3">
      <c r="A516" s="3" t="s">
        <v>576</v>
      </c>
      <c r="B516">
        <v>12827.8</v>
      </c>
      <c r="C516">
        <v>12571.24</v>
      </c>
    </row>
    <row r="517" spans="1:3" x14ac:dyDescent="0.3">
      <c r="A517" s="3" t="s">
        <v>577</v>
      </c>
      <c r="B517">
        <v>3864.48</v>
      </c>
      <c r="C517">
        <v>2975.65</v>
      </c>
    </row>
    <row r="518" spans="1:3" x14ac:dyDescent="0.3">
      <c r="A518" s="3" t="s">
        <v>578</v>
      </c>
      <c r="B518">
        <v>11033.369999999999</v>
      </c>
      <c r="C518">
        <v>8385.36</v>
      </c>
    </row>
    <row r="519" spans="1:3" x14ac:dyDescent="0.3">
      <c r="A519" s="3" t="s">
        <v>579</v>
      </c>
      <c r="B519">
        <v>2347.35</v>
      </c>
      <c r="C519">
        <v>1854.41</v>
      </c>
    </row>
    <row r="520" spans="1:3" x14ac:dyDescent="0.3">
      <c r="A520" s="3" t="s">
        <v>580</v>
      </c>
      <c r="B520">
        <v>9293.2800000000007</v>
      </c>
      <c r="C520">
        <v>8271.02</v>
      </c>
    </row>
    <row r="521" spans="1:3" x14ac:dyDescent="0.3">
      <c r="A521" s="3" t="s">
        <v>581</v>
      </c>
      <c r="B521">
        <v>1005.72</v>
      </c>
      <c r="C521">
        <v>995.66</v>
      </c>
    </row>
    <row r="522" spans="1:3" x14ac:dyDescent="0.3">
      <c r="A522" s="3" t="s">
        <v>582</v>
      </c>
      <c r="B522">
        <v>2143.09</v>
      </c>
      <c r="C522">
        <v>2057.37</v>
      </c>
    </row>
    <row r="523" spans="1:3" x14ac:dyDescent="0.3">
      <c r="A523" s="3" t="s">
        <v>583</v>
      </c>
      <c r="B523">
        <v>556.32000000000005</v>
      </c>
      <c r="C523">
        <v>517.38</v>
      </c>
    </row>
    <row r="524" spans="1:3" x14ac:dyDescent="0.3">
      <c r="A524" s="3" t="s">
        <v>584</v>
      </c>
      <c r="B524">
        <v>3503.64</v>
      </c>
      <c r="C524">
        <v>3258.39</v>
      </c>
    </row>
    <row r="525" spans="1:3" x14ac:dyDescent="0.3">
      <c r="A525" s="3" t="s">
        <v>585</v>
      </c>
      <c r="B525">
        <v>24686.149999999998</v>
      </c>
      <c r="C525">
        <v>21723.81</v>
      </c>
    </row>
    <row r="526" spans="1:3" x14ac:dyDescent="0.3">
      <c r="A526" s="3" t="s">
        <v>586</v>
      </c>
      <c r="B526">
        <v>13928.46</v>
      </c>
      <c r="C526">
        <v>11839.19</v>
      </c>
    </row>
    <row r="527" spans="1:3" x14ac:dyDescent="0.3">
      <c r="A527" s="3" t="s">
        <v>587</v>
      </c>
      <c r="B527">
        <v>217.54</v>
      </c>
      <c r="C527">
        <v>182.73</v>
      </c>
    </row>
    <row r="528" spans="1:3" x14ac:dyDescent="0.3">
      <c r="A528" s="3" t="s">
        <v>588</v>
      </c>
      <c r="B528">
        <v>20248.05</v>
      </c>
      <c r="C528">
        <v>19235.650000000001</v>
      </c>
    </row>
    <row r="529" spans="1:3" x14ac:dyDescent="0.3">
      <c r="A529" s="3" t="s">
        <v>589</v>
      </c>
      <c r="B529">
        <v>8436.15</v>
      </c>
      <c r="C529">
        <v>8436.15</v>
      </c>
    </row>
    <row r="530" spans="1:3" x14ac:dyDescent="0.3">
      <c r="A530" s="3" t="s">
        <v>590</v>
      </c>
      <c r="B530">
        <v>13857.51</v>
      </c>
      <c r="C530">
        <v>12194.61</v>
      </c>
    </row>
    <row r="531" spans="1:3" x14ac:dyDescent="0.3">
      <c r="A531" s="3" t="s">
        <v>591</v>
      </c>
      <c r="B531">
        <v>15766.2</v>
      </c>
      <c r="C531">
        <v>14189.58</v>
      </c>
    </row>
    <row r="532" spans="1:3" x14ac:dyDescent="0.3">
      <c r="A532" s="3" t="s">
        <v>592</v>
      </c>
      <c r="B532">
        <v>5858.5</v>
      </c>
      <c r="C532">
        <v>5389.82</v>
      </c>
    </row>
    <row r="533" spans="1:3" x14ac:dyDescent="0.3">
      <c r="A533" s="3" t="s">
        <v>593</v>
      </c>
      <c r="B533">
        <v>21138.95</v>
      </c>
      <c r="C533">
        <v>18179.5</v>
      </c>
    </row>
    <row r="534" spans="1:3" x14ac:dyDescent="0.3">
      <c r="A534" s="3" t="s">
        <v>594</v>
      </c>
      <c r="B534">
        <v>2535.5700000000002</v>
      </c>
      <c r="C534">
        <v>2383.44</v>
      </c>
    </row>
    <row r="535" spans="1:3" x14ac:dyDescent="0.3">
      <c r="A535" s="3" t="s">
        <v>595</v>
      </c>
      <c r="B535">
        <v>9150.86</v>
      </c>
      <c r="C535">
        <v>8144.27</v>
      </c>
    </row>
    <row r="536" spans="1:3" x14ac:dyDescent="0.3">
      <c r="A536" s="3" t="s">
        <v>596</v>
      </c>
      <c r="B536">
        <v>8103.8</v>
      </c>
      <c r="C536">
        <v>7455.5</v>
      </c>
    </row>
    <row r="537" spans="1:3" x14ac:dyDescent="0.3">
      <c r="A537" s="3" t="s">
        <v>597</v>
      </c>
      <c r="B537">
        <v>1623.81</v>
      </c>
      <c r="C537">
        <v>1607.57</v>
      </c>
    </row>
    <row r="538" spans="1:3" x14ac:dyDescent="0.3">
      <c r="A538" s="3" t="s">
        <v>598</v>
      </c>
      <c r="B538">
        <v>19083.099999999999</v>
      </c>
      <c r="C538">
        <v>16029.8</v>
      </c>
    </row>
    <row r="539" spans="1:3" x14ac:dyDescent="0.3">
      <c r="A539" s="3" t="s">
        <v>599</v>
      </c>
      <c r="B539">
        <v>1436.01</v>
      </c>
      <c r="C539">
        <v>1378.57</v>
      </c>
    </row>
    <row r="540" spans="1:3" x14ac:dyDescent="0.3">
      <c r="A540" s="3" t="s">
        <v>600</v>
      </c>
      <c r="B540">
        <v>8302.9</v>
      </c>
      <c r="C540">
        <v>7970.78</v>
      </c>
    </row>
    <row r="541" spans="1:3" x14ac:dyDescent="0.3">
      <c r="A541" s="3" t="s">
        <v>601</v>
      </c>
      <c r="B541">
        <v>11369.349999999999</v>
      </c>
      <c r="C541">
        <v>11028.27</v>
      </c>
    </row>
    <row r="542" spans="1:3" x14ac:dyDescent="0.3">
      <c r="A542" s="3" t="s">
        <v>602</v>
      </c>
      <c r="B542">
        <v>22336.25</v>
      </c>
      <c r="C542">
        <v>18762.45</v>
      </c>
    </row>
    <row r="543" spans="1:3" x14ac:dyDescent="0.3">
      <c r="A543" s="3" t="s">
        <v>603</v>
      </c>
      <c r="B543">
        <v>11528.68</v>
      </c>
      <c r="C543">
        <v>11298.11</v>
      </c>
    </row>
    <row r="544" spans="1:3" x14ac:dyDescent="0.3">
      <c r="A544" s="3" t="s">
        <v>604</v>
      </c>
      <c r="B544">
        <v>8638.74</v>
      </c>
      <c r="C544">
        <v>7342.93</v>
      </c>
    </row>
    <row r="545" spans="1:3" x14ac:dyDescent="0.3">
      <c r="A545" s="3" t="s">
        <v>605</v>
      </c>
      <c r="B545">
        <v>2429.14</v>
      </c>
      <c r="C545">
        <v>2210.52</v>
      </c>
    </row>
    <row r="546" spans="1:3" x14ac:dyDescent="0.3">
      <c r="A546" s="3" t="s">
        <v>606</v>
      </c>
      <c r="B546">
        <v>1696.76</v>
      </c>
      <c r="C546">
        <v>1425.28</v>
      </c>
    </row>
    <row r="547" spans="1:3" x14ac:dyDescent="0.3">
      <c r="A547" s="3" t="s">
        <v>607</v>
      </c>
      <c r="B547">
        <v>9744.14</v>
      </c>
      <c r="C547">
        <v>8769.73</v>
      </c>
    </row>
    <row r="548" spans="1:3" x14ac:dyDescent="0.3">
      <c r="A548" s="3" t="s">
        <v>608</v>
      </c>
      <c r="B548">
        <v>17506.25</v>
      </c>
      <c r="C548">
        <v>16806</v>
      </c>
    </row>
    <row r="549" spans="1:3" x14ac:dyDescent="0.3">
      <c r="A549" s="3" t="s">
        <v>609</v>
      </c>
      <c r="B549">
        <v>6777.4</v>
      </c>
      <c r="C549">
        <v>6641.85</v>
      </c>
    </row>
    <row r="550" spans="1:3" x14ac:dyDescent="0.3">
      <c r="A550" s="3" t="s">
        <v>610</v>
      </c>
      <c r="B550">
        <v>19397.900000000001</v>
      </c>
      <c r="C550">
        <v>17652.09</v>
      </c>
    </row>
    <row r="551" spans="1:3" x14ac:dyDescent="0.3">
      <c r="A551" s="3" t="s">
        <v>611</v>
      </c>
      <c r="B551">
        <v>7641.8499999999995</v>
      </c>
      <c r="C551">
        <v>6495.57</v>
      </c>
    </row>
    <row r="552" spans="1:3" x14ac:dyDescent="0.3">
      <c r="A552" s="3" t="s">
        <v>612</v>
      </c>
      <c r="B552">
        <v>14857.26</v>
      </c>
      <c r="C552">
        <v>12628.67</v>
      </c>
    </row>
    <row r="553" spans="1:3" x14ac:dyDescent="0.3">
      <c r="A553" s="3" t="s">
        <v>613</v>
      </c>
      <c r="B553">
        <v>3546.44</v>
      </c>
      <c r="C553">
        <v>2801.69</v>
      </c>
    </row>
    <row r="554" spans="1:3" x14ac:dyDescent="0.3">
      <c r="A554" s="3" t="s">
        <v>614</v>
      </c>
      <c r="B554">
        <v>10763.07</v>
      </c>
      <c r="C554">
        <v>9686.76</v>
      </c>
    </row>
    <row r="555" spans="1:3" x14ac:dyDescent="0.3">
      <c r="A555" s="3" t="s">
        <v>615</v>
      </c>
      <c r="B555">
        <v>12647.46</v>
      </c>
      <c r="C555">
        <v>12141.56</v>
      </c>
    </row>
    <row r="556" spans="1:3" x14ac:dyDescent="0.3">
      <c r="A556" s="3" t="s">
        <v>616</v>
      </c>
      <c r="B556">
        <v>19509.52</v>
      </c>
      <c r="C556">
        <v>18924.23</v>
      </c>
    </row>
    <row r="557" spans="1:3" x14ac:dyDescent="0.3">
      <c r="A557" s="3" t="s">
        <v>617</v>
      </c>
      <c r="B557">
        <v>10891.05</v>
      </c>
      <c r="C557">
        <v>8603.93</v>
      </c>
    </row>
    <row r="558" spans="1:3" x14ac:dyDescent="0.3">
      <c r="A558" s="3" t="s">
        <v>618</v>
      </c>
      <c r="B558">
        <v>7178.88</v>
      </c>
      <c r="C558">
        <v>6676.36</v>
      </c>
    </row>
    <row r="559" spans="1:3" x14ac:dyDescent="0.3">
      <c r="A559" s="3" t="s">
        <v>619</v>
      </c>
      <c r="B559">
        <v>19250.04</v>
      </c>
      <c r="C559">
        <v>18865.04</v>
      </c>
    </row>
    <row r="560" spans="1:3" x14ac:dyDescent="0.3">
      <c r="A560" s="3" t="s">
        <v>620</v>
      </c>
      <c r="B560">
        <v>3451.96</v>
      </c>
      <c r="C560">
        <v>3003.21</v>
      </c>
    </row>
    <row r="561" spans="1:3" x14ac:dyDescent="0.3">
      <c r="A561" s="3" t="s">
        <v>621</v>
      </c>
      <c r="B561">
        <v>11649.72</v>
      </c>
      <c r="C561">
        <v>10717.74</v>
      </c>
    </row>
    <row r="562" spans="1:3" x14ac:dyDescent="0.3">
      <c r="A562" s="3" t="s">
        <v>622</v>
      </c>
      <c r="B562">
        <v>11731.56</v>
      </c>
      <c r="C562">
        <v>10089.14</v>
      </c>
    </row>
    <row r="563" spans="1:3" x14ac:dyDescent="0.3">
      <c r="A563" s="3" t="s">
        <v>623</v>
      </c>
      <c r="B563">
        <v>5154.84</v>
      </c>
      <c r="C563">
        <v>4072.32</v>
      </c>
    </row>
    <row r="564" spans="1:3" x14ac:dyDescent="0.3">
      <c r="A564" s="3" t="s">
        <v>624</v>
      </c>
      <c r="B564">
        <v>3058.73</v>
      </c>
      <c r="C564">
        <v>2355.2199999999998</v>
      </c>
    </row>
    <row r="565" spans="1:3" x14ac:dyDescent="0.3">
      <c r="A565" s="3" t="s">
        <v>625</v>
      </c>
      <c r="B565">
        <v>8033.84</v>
      </c>
      <c r="C565">
        <v>6266.4</v>
      </c>
    </row>
    <row r="566" spans="1:3" x14ac:dyDescent="0.3">
      <c r="A566" s="3" t="s">
        <v>626</v>
      </c>
      <c r="B566">
        <v>6674.54</v>
      </c>
      <c r="C566">
        <v>5473.12</v>
      </c>
    </row>
    <row r="567" spans="1:3" x14ac:dyDescent="0.3">
      <c r="A567" s="3" t="s">
        <v>627</v>
      </c>
      <c r="B567">
        <v>4747.34</v>
      </c>
      <c r="C567">
        <v>4177.66</v>
      </c>
    </row>
    <row r="568" spans="1:3" x14ac:dyDescent="0.3">
      <c r="A568" s="3" t="s">
        <v>628</v>
      </c>
      <c r="B568">
        <v>632.52</v>
      </c>
      <c r="C568">
        <v>487.04</v>
      </c>
    </row>
    <row r="569" spans="1:3" x14ac:dyDescent="0.3">
      <c r="A569" s="3" t="s">
        <v>629</v>
      </c>
      <c r="B569">
        <v>14355.900000000001</v>
      </c>
      <c r="C569">
        <v>12776.75</v>
      </c>
    </row>
    <row r="570" spans="1:3" x14ac:dyDescent="0.3">
      <c r="A570" s="3" t="s">
        <v>630</v>
      </c>
      <c r="B570">
        <v>15553.76</v>
      </c>
      <c r="C570">
        <v>12598.55</v>
      </c>
    </row>
    <row r="571" spans="1:3" x14ac:dyDescent="0.3">
      <c r="A571" s="3" t="s">
        <v>631</v>
      </c>
      <c r="B571">
        <v>4175.28</v>
      </c>
      <c r="C571">
        <v>4175.28</v>
      </c>
    </row>
    <row r="572" spans="1:3" x14ac:dyDescent="0.3">
      <c r="A572" s="3" t="s">
        <v>632</v>
      </c>
      <c r="B572">
        <v>216.13</v>
      </c>
      <c r="C572">
        <v>211.81</v>
      </c>
    </row>
    <row r="573" spans="1:3" x14ac:dyDescent="0.3">
      <c r="A573" s="3" t="s">
        <v>633</v>
      </c>
      <c r="B573">
        <v>13265.32</v>
      </c>
      <c r="C573">
        <v>10346.950000000001</v>
      </c>
    </row>
    <row r="574" spans="1:3" x14ac:dyDescent="0.3">
      <c r="A574" s="3" t="s">
        <v>634</v>
      </c>
      <c r="B574">
        <v>3230.02</v>
      </c>
      <c r="C574">
        <v>2487.12</v>
      </c>
    </row>
    <row r="575" spans="1:3" x14ac:dyDescent="0.3">
      <c r="A575" s="3" t="s">
        <v>635</v>
      </c>
      <c r="B575">
        <v>1975.72</v>
      </c>
      <c r="C575">
        <v>1817.66</v>
      </c>
    </row>
    <row r="576" spans="1:3" x14ac:dyDescent="0.3">
      <c r="A576" s="3" t="s">
        <v>636</v>
      </c>
      <c r="B576">
        <v>6180.96</v>
      </c>
      <c r="C576">
        <v>5933.72</v>
      </c>
    </row>
    <row r="577" spans="1:3" x14ac:dyDescent="0.3">
      <c r="A577" s="3" t="s">
        <v>637</v>
      </c>
      <c r="B577">
        <v>1818.33</v>
      </c>
      <c r="C577">
        <v>1781.96</v>
      </c>
    </row>
    <row r="578" spans="1:3" x14ac:dyDescent="0.3">
      <c r="A578" s="3" t="s">
        <v>638</v>
      </c>
      <c r="B578">
        <v>5622.16</v>
      </c>
      <c r="C578">
        <v>4610.17</v>
      </c>
    </row>
    <row r="579" spans="1:3" x14ac:dyDescent="0.3">
      <c r="A579" s="3" t="s">
        <v>639</v>
      </c>
      <c r="B579">
        <v>2746.63</v>
      </c>
      <c r="C579">
        <v>2746.63</v>
      </c>
    </row>
    <row r="580" spans="1:3" x14ac:dyDescent="0.3">
      <c r="A580" s="3" t="s">
        <v>640</v>
      </c>
      <c r="B580">
        <v>3198.14</v>
      </c>
      <c r="C580">
        <v>2430.59</v>
      </c>
    </row>
    <row r="581" spans="1:3" x14ac:dyDescent="0.3">
      <c r="A581" s="3" t="s">
        <v>641</v>
      </c>
      <c r="B581">
        <v>1930.86</v>
      </c>
      <c r="C581">
        <v>1911.55</v>
      </c>
    </row>
    <row r="582" spans="1:3" x14ac:dyDescent="0.3">
      <c r="A582" s="3" t="s">
        <v>642</v>
      </c>
      <c r="B582">
        <v>14812.36</v>
      </c>
      <c r="C582">
        <v>14367.99</v>
      </c>
    </row>
    <row r="583" spans="1:3" x14ac:dyDescent="0.3">
      <c r="A583" s="3" t="s">
        <v>643</v>
      </c>
      <c r="B583">
        <v>16263.5</v>
      </c>
      <c r="C583">
        <v>14311.88</v>
      </c>
    </row>
    <row r="584" spans="1:3" x14ac:dyDescent="0.3">
      <c r="A584" s="3" t="s">
        <v>644</v>
      </c>
      <c r="B584">
        <v>8109.62</v>
      </c>
      <c r="C584">
        <v>6730.98</v>
      </c>
    </row>
    <row r="585" spans="1:3" x14ac:dyDescent="0.3">
      <c r="A585" s="3" t="s">
        <v>645</v>
      </c>
      <c r="B585">
        <v>2408.98</v>
      </c>
      <c r="C585">
        <v>1854.91</v>
      </c>
    </row>
    <row r="586" spans="1:3" x14ac:dyDescent="0.3">
      <c r="A586" s="3" t="s">
        <v>646</v>
      </c>
      <c r="B586">
        <v>2335.3000000000002</v>
      </c>
      <c r="C586">
        <v>2241.89</v>
      </c>
    </row>
    <row r="587" spans="1:3" x14ac:dyDescent="0.3">
      <c r="A587" s="3" t="s">
        <v>647</v>
      </c>
      <c r="B587">
        <v>818.48</v>
      </c>
      <c r="C587">
        <v>777.56</v>
      </c>
    </row>
    <row r="588" spans="1:3" x14ac:dyDescent="0.3">
      <c r="A588" s="3" t="s">
        <v>648</v>
      </c>
      <c r="B588">
        <v>4749.45</v>
      </c>
      <c r="C588">
        <v>4654.46</v>
      </c>
    </row>
    <row r="589" spans="1:3" x14ac:dyDescent="0.3">
      <c r="A589" s="3" t="s">
        <v>649</v>
      </c>
      <c r="B589">
        <v>9271.6200000000008</v>
      </c>
      <c r="C589">
        <v>9178.9</v>
      </c>
    </row>
    <row r="590" spans="1:3" x14ac:dyDescent="0.3">
      <c r="A590" s="3" t="s">
        <v>650</v>
      </c>
      <c r="B590">
        <v>9276.14</v>
      </c>
      <c r="C590">
        <v>7606.43</v>
      </c>
    </row>
    <row r="591" spans="1:3" x14ac:dyDescent="0.3">
      <c r="A591" s="3" t="s">
        <v>651</v>
      </c>
      <c r="B591">
        <v>7989.39</v>
      </c>
      <c r="C591">
        <v>7190.45</v>
      </c>
    </row>
    <row r="592" spans="1:3" x14ac:dyDescent="0.3">
      <c r="A592" s="3" t="s">
        <v>652</v>
      </c>
      <c r="B592">
        <v>2832.78</v>
      </c>
      <c r="C592">
        <v>2691.14</v>
      </c>
    </row>
    <row r="593" spans="1:3" x14ac:dyDescent="0.3">
      <c r="A593" s="3" t="s">
        <v>653</v>
      </c>
      <c r="B593">
        <v>1049.22</v>
      </c>
      <c r="C593">
        <v>839.38</v>
      </c>
    </row>
    <row r="594" spans="1:3" x14ac:dyDescent="0.3">
      <c r="A594" s="3" t="s">
        <v>654</v>
      </c>
      <c r="B594">
        <v>4459.78</v>
      </c>
      <c r="C594">
        <v>4103</v>
      </c>
    </row>
    <row r="595" spans="1:3" x14ac:dyDescent="0.3">
      <c r="A595" s="3" t="s">
        <v>655</v>
      </c>
      <c r="B595">
        <v>3343.6000000000004</v>
      </c>
      <c r="C595">
        <v>2608.0100000000002</v>
      </c>
    </row>
    <row r="596" spans="1:3" x14ac:dyDescent="0.3">
      <c r="A596" s="3" t="s">
        <v>656</v>
      </c>
      <c r="B596">
        <v>1698.05</v>
      </c>
      <c r="C596">
        <v>1664.09</v>
      </c>
    </row>
    <row r="597" spans="1:3" x14ac:dyDescent="0.3">
      <c r="A597" s="3" t="s">
        <v>657</v>
      </c>
      <c r="B597">
        <v>1465.04</v>
      </c>
      <c r="C597">
        <v>1303.8900000000001</v>
      </c>
    </row>
    <row r="598" spans="1:3" x14ac:dyDescent="0.3">
      <c r="A598" s="3" t="s">
        <v>658</v>
      </c>
      <c r="B598">
        <v>14640.66</v>
      </c>
      <c r="C598">
        <v>13908.63</v>
      </c>
    </row>
    <row r="599" spans="1:3" x14ac:dyDescent="0.3">
      <c r="A599" s="3" t="s">
        <v>659</v>
      </c>
      <c r="B599">
        <v>8597.2000000000007</v>
      </c>
      <c r="C599">
        <v>6963.73</v>
      </c>
    </row>
    <row r="600" spans="1:3" x14ac:dyDescent="0.3">
      <c r="A600" s="3" t="s">
        <v>660</v>
      </c>
      <c r="B600">
        <v>2117.31</v>
      </c>
      <c r="C600">
        <v>1842.06</v>
      </c>
    </row>
    <row r="601" spans="1:3" x14ac:dyDescent="0.3">
      <c r="A601" s="3" t="s">
        <v>661</v>
      </c>
      <c r="B601">
        <v>6683.4600000000009</v>
      </c>
      <c r="C601">
        <v>6282.45</v>
      </c>
    </row>
    <row r="602" spans="1:3" x14ac:dyDescent="0.3">
      <c r="A602" s="3" t="s">
        <v>662</v>
      </c>
      <c r="B602">
        <v>1323.7</v>
      </c>
      <c r="C602">
        <v>1151.6199999999999</v>
      </c>
    </row>
    <row r="603" spans="1:3" x14ac:dyDescent="0.3">
      <c r="A603" s="3" t="s">
        <v>663</v>
      </c>
      <c r="B603">
        <v>19018.72</v>
      </c>
      <c r="C603">
        <v>18448.16</v>
      </c>
    </row>
    <row r="604" spans="1:3" x14ac:dyDescent="0.3">
      <c r="A604" s="3" t="s">
        <v>664</v>
      </c>
      <c r="B604">
        <v>17215.28</v>
      </c>
      <c r="C604">
        <v>13944.38</v>
      </c>
    </row>
    <row r="605" spans="1:3" x14ac:dyDescent="0.3">
      <c r="A605" s="3" t="s">
        <v>665</v>
      </c>
      <c r="B605">
        <v>14196.48</v>
      </c>
      <c r="C605">
        <v>14196.48</v>
      </c>
    </row>
    <row r="606" spans="1:3" x14ac:dyDescent="0.3">
      <c r="A606" s="3" t="s">
        <v>666</v>
      </c>
      <c r="B606">
        <v>13789.65</v>
      </c>
      <c r="C606">
        <v>11031.72</v>
      </c>
    </row>
    <row r="607" spans="1:3" x14ac:dyDescent="0.3">
      <c r="A607" s="3" t="s">
        <v>667</v>
      </c>
      <c r="B607">
        <v>1976.48</v>
      </c>
      <c r="C607">
        <v>1739.3</v>
      </c>
    </row>
    <row r="608" spans="1:3" x14ac:dyDescent="0.3">
      <c r="A608" s="3" t="s">
        <v>668</v>
      </c>
      <c r="B608">
        <v>3807.8999999999996</v>
      </c>
      <c r="C608">
        <v>3693.66</v>
      </c>
    </row>
    <row r="609" spans="1:3" x14ac:dyDescent="0.3">
      <c r="A609" s="3" t="s">
        <v>669</v>
      </c>
      <c r="B609">
        <v>5832.04</v>
      </c>
      <c r="C609">
        <v>5715.4</v>
      </c>
    </row>
    <row r="610" spans="1:3" x14ac:dyDescent="0.3">
      <c r="A610" s="3" t="s">
        <v>670</v>
      </c>
      <c r="B610">
        <v>22536.550000000003</v>
      </c>
      <c r="C610">
        <v>20057.53</v>
      </c>
    </row>
    <row r="611" spans="1:3" x14ac:dyDescent="0.3">
      <c r="A611" s="3" t="s">
        <v>671</v>
      </c>
      <c r="B611">
        <v>14386.380000000001</v>
      </c>
      <c r="C611">
        <v>14098.65</v>
      </c>
    </row>
    <row r="612" spans="1:3" x14ac:dyDescent="0.3">
      <c r="A612" s="3" t="s">
        <v>672</v>
      </c>
      <c r="B612">
        <v>1536.53</v>
      </c>
      <c r="C612">
        <v>1167.76</v>
      </c>
    </row>
    <row r="613" spans="1:3" x14ac:dyDescent="0.3">
      <c r="A613" s="3" t="s">
        <v>673</v>
      </c>
      <c r="B613">
        <v>207.98</v>
      </c>
      <c r="C613">
        <v>166.38</v>
      </c>
    </row>
    <row r="614" spans="1:3" x14ac:dyDescent="0.3">
      <c r="A614" s="3" t="s">
        <v>674</v>
      </c>
      <c r="B614">
        <v>21126.75</v>
      </c>
      <c r="C614">
        <v>18802.810000000001</v>
      </c>
    </row>
    <row r="615" spans="1:3" x14ac:dyDescent="0.3">
      <c r="A615" s="3" t="s">
        <v>675</v>
      </c>
      <c r="B615">
        <v>14569.650000000001</v>
      </c>
      <c r="C615">
        <v>11801.42</v>
      </c>
    </row>
    <row r="616" spans="1:3" x14ac:dyDescent="0.3">
      <c r="A616" s="3" t="s">
        <v>676</v>
      </c>
      <c r="B616">
        <v>7488.55</v>
      </c>
      <c r="C616">
        <v>5691.3</v>
      </c>
    </row>
    <row r="617" spans="1:3" x14ac:dyDescent="0.3">
      <c r="A617" s="3" t="s">
        <v>677</v>
      </c>
      <c r="B617">
        <v>5504</v>
      </c>
      <c r="C617">
        <v>5228.8</v>
      </c>
    </row>
    <row r="618" spans="1:3" x14ac:dyDescent="0.3">
      <c r="A618" s="3" t="s">
        <v>678</v>
      </c>
      <c r="B618">
        <v>5429.7</v>
      </c>
      <c r="C618">
        <v>5266.81</v>
      </c>
    </row>
    <row r="619" spans="1:3" x14ac:dyDescent="0.3">
      <c r="A619" s="3" t="s">
        <v>679</v>
      </c>
      <c r="B619">
        <v>24402.25</v>
      </c>
      <c r="C619">
        <v>22450.07</v>
      </c>
    </row>
    <row r="620" spans="1:3" x14ac:dyDescent="0.3">
      <c r="A620" s="3" t="s">
        <v>680</v>
      </c>
      <c r="B620">
        <v>3685.04</v>
      </c>
      <c r="C620">
        <v>2837.48</v>
      </c>
    </row>
    <row r="621" spans="1:3" x14ac:dyDescent="0.3">
      <c r="A621" s="3" t="s">
        <v>681</v>
      </c>
      <c r="B621">
        <v>1108.98</v>
      </c>
      <c r="C621">
        <v>931.54</v>
      </c>
    </row>
    <row r="622" spans="1:3" x14ac:dyDescent="0.3">
      <c r="A622" s="3" t="s">
        <v>682</v>
      </c>
      <c r="B622">
        <v>13670.44</v>
      </c>
      <c r="C622">
        <v>10389.530000000001</v>
      </c>
    </row>
    <row r="623" spans="1:3" x14ac:dyDescent="0.3">
      <c r="A623" s="3" t="s">
        <v>683</v>
      </c>
      <c r="B623">
        <v>7644.76</v>
      </c>
      <c r="C623">
        <v>6956.73</v>
      </c>
    </row>
    <row r="624" spans="1:3" x14ac:dyDescent="0.3">
      <c r="A624" s="3" t="s">
        <v>684</v>
      </c>
      <c r="B624">
        <v>16152.24</v>
      </c>
      <c r="C624">
        <v>15021.58</v>
      </c>
    </row>
    <row r="625" spans="1:3" x14ac:dyDescent="0.3">
      <c r="A625" s="3" t="s">
        <v>685</v>
      </c>
      <c r="B625">
        <v>2236.2800000000002</v>
      </c>
      <c r="C625">
        <v>1967.93</v>
      </c>
    </row>
    <row r="626" spans="1:3" x14ac:dyDescent="0.3">
      <c r="A626" s="3" t="s">
        <v>686</v>
      </c>
      <c r="B626">
        <v>6393.36</v>
      </c>
      <c r="C626">
        <v>5498.29</v>
      </c>
    </row>
    <row r="627" spans="1:3" x14ac:dyDescent="0.3">
      <c r="A627" s="3" t="s">
        <v>687</v>
      </c>
      <c r="B627">
        <v>12568.41</v>
      </c>
      <c r="C627">
        <v>11562.94</v>
      </c>
    </row>
    <row r="628" spans="1:3" x14ac:dyDescent="0.3">
      <c r="A628" s="3" t="s">
        <v>688</v>
      </c>
      <c r="B628">
        <v>2833.88</v>
      </c>
      <c r="C628">
        <v>2352.12</v>
      </c>
    </row>
    <row r="629" spans="1:3" x14ac:dyDescent="0.3">
      <c r="A629" s="3" t="s">
        <v>689</v>
      </c>
      <c r="B629">
        <v>3034.57</v>
      </c>
      <c r="C629">
        <v>2761.46</v>
      </c>
    </row>
    <row r="630" spans="1:3" x14ac:dyDescent="0.3">
      <c r="A630" s="3" t="s">
        <v>690</v>
      </c>
      <c r="B630">
        <v>929.85</v>
      </c>
      <c r="C630">
        <v>874.06</v>
      </c>
    </row>
    <row r="631" spans="1:3" x14ac:dyDescent="0.3">
      <c r="A631" s="3" t="s">
        <v>691</v>
      </c>
      <c r="B631">
        <v>5609.1</v>
      </c>
      <c r="C631">
        <v>4711.6400000000003</v>
      </c>
    </row>
    <row r="632" spans="1:3" x14ac:dyDescent="0.3">
      <c r="A632" s="3" t="s">
        <v>692</v>
      </c>
      <c r="B632">
        <v>7693.96</v>
      </c>
      <c r="C632">
        <v>6539.87</v>
      </c>
    </row>
    <row r="633" spans="1:3" x14ac:dyDescent="0.3">
      <c r="A633" s="3" t="s">
        <v>693</v>
      </c>
      <c r="B633">
        <v>9114.9</v>
      </c>
      <c r="C633">
        <v>8750.2999999999993</v>
      </c>
    </row>
    <row r="634" spans="1:3" x14ac:dyDescent="0.3">
      <c r="A634" s="3" t="s">
        <v>694</v>
      </c>
      <c r="B634">
        <v>1714.64</v>
      </c>
      <c r="C634">
        <v>1611.76</v>
      </c>
    </row>
    <row r="635" spans="1:3" x14ac:dyDescent="0.3">
      <c r="A635" s="3" t="s">
        <v>695</v>
      </c>
      <c r="B635">
        <v>4880.13</v>
      </c>
      <c r="C635">
        <v>4440.92</v>
      </c>
    </row>
    <row r="636" spans="1:3" x14ac:dyDescent="0.3">
      <c r="A636" s="3" t="s">
        <v>696</v>
      </c>
      <c r="B636">
        <v>6942.86</v>
      </c>
      <c r="C636">
        <v>6387.43</v>
      </c>
    </row>
    <row r="637" spans="1:3" x14ac:dyDescent="0.3">
      <c r="A637" s="3" t="s">
        <v>697</v>
      </c>
      <c r="B637">
        <v>1233.32</v>
      </c>
      <c r="C637">
        <v>1196.32</v>
      </c>
    </row>
    <row r="638" spans="1:3" x14ac:dyDescent="0.3">
      <c r="A638" s="3" t="s">
        <v>698</v>
      </c>
      <c r="B638">
        <v>3797.3</v>
      </c>
      <c r="C638">
        <v>3037.84</v>
      </c>
    </row>
    <row r="639" spans="1:3" x14ac:dyDescent="0.3">
      <c r="A639" s="3" t="s">
        <v>699</v>
      </c>
      <c r="B639">
        <v>8489.44</v>
      </c>
      <c r="C639">
        <v>6451.97</v>
      </c>
    </row>
    <row r="640" spans="1:3" x14ac:dyDescent="0.3">
      <c r="A640" s="3" t="s">
        <v>700</v>
      </c>
      <c r="B640">
        <v>4115.97</v>
      </c>
      <c r="C640">
        <v>3333.94</v>
      </c>
    </row>
    <row r="641" spans="1:3" x14ac:dyDescent="0.3">
      <c r="A641" s="3" t="s">
        <v>701</v>
      </c>
      <c r="B641">
        <v>4628.74</v>
      </c>
      <c r="C641">
        <v>3564.13</v>
      </c>
    </row>
    <row r="642" spans="1:3" x14ac:dyDescent="0.3">
      <c r="A642" s="3" t="s">
        <v>702</v>
      </c>
      <c r="B642">
        <v>14725.14</v>
      </c>
      <c r="C642">
        <v>13105.37</v>
      </c>
    </row>
    <row r="643" spans="1:3" x14ac:dyDescent="0.3">
      <c r="A643" s="3" t="s">
        <v>703</v>
      </c>
      <c r="B643">
        <v>5059</v>
      </c>
      <c r="C643">
        <v>4603.6899999999996</v>
      </c>
    </row>
    <row r="644" spans="1:3" x14ac:dyDescent="0.3">
      <c r="A644" s="3" t="s">
        <v>704</v>
      </c>
      <c r="B644">
        <v>18536.25</v>
      </c>
      <c r="C644">
        <v>15385.09</v>
      </c>
    </row>
    <row r="645" spans="1:3" x14ac:dyDescent="0.3">
      <c r="A645" s="3" t="s">
        <v>705</v>
      </c>
      <c r="B645">
        <v>2935.68</v>
      </c>
      <c r="C645">
        <v>2201.7600000000002</v>
      </c>
    </row>
    <row r="646" spans="1:3" x14ac:dyDescent="0.3">
      <c r="A646" s="3" t="s">
        <v>706</v>
      </c>
      <c r="B646">
        <v>14022.72</v>
      </c>
      <c r="C646">
        <v>10657.27</v>
      </c>
    </row>
    <row r="647" spans="1:3" x14ac:dyDescent="0.3">
      <c r="A647" s="3" t="s">
        <v>707</v>
      </c>
      <c r="B647">
        <v>1241.06</v>
      </c>
      <c r="C647">
        <v>1104.54</v>
      </c>
    </row>
    <row r="648" spans="1:3" x14ac:dyDescent="0.3">
      <c r="A648" s="3" t="s">
        <v>708</v>
      </c>
      <c r="B648">
        <v>23778.400000000001</v>
      </c>
      <c r="C648">
        <v>17833.8</v>
      </c>
    </row>
    <row r="649" spans="1:3" x14ac:dyDescent="0.3">
      <c r="A649" s="3" t="s">
        <v>709</v>
      </c>
      <c r="B649">
        <v>4924.12</v>
      </c>
      <c r="C649">
        <v>3742.33</v>
      </c>
    </row>
    <row r="650" spans="1:3" x14ac:dyDescent="0.3">
      <c r="A650" s="3" t="s">
        <v>710</v>
      </c>
      <c r="B650">
        <v>17140.5</v>
      </c>
      <c r="C650">
        <v>16454.88</v>
      </c>
    </row>
    <row r="651" spans="1:3" x14ac:dyDescent="0.3">
      <c r="A651" s="3" t="s">
        <v>711</v>
      </c>
      <c r="B651">
        <v>10008.92</v>
      </c>
      <c r="C651">
        <v>9308.2999999999993</v>
      </c>
    </row>
    <row r="652" spans="1:3" x14ac:dyDescent="0.3">
      <c r="A652" s="3" t="s">
        <v>712</v>
      </c>
      <c r="B652">
        <v>12837.24</v>
      </c>
      <c r="C652">
        <v>11425.14</v>
      </c>
    </row>
    <row r="653" spans="1:3" x14ac:dyDescent="0.3">
      <c r="A653" s="3" t="s">
        <v>713</v>
      </c>
      <c r="B653">
        <v>10821.119999999999</v>
      </c>
      <c r="C653">
        <v>9522.59</v>
      </c>
    </row>
    <row r="654" spans="1:3" x14ac:dyDescent="0.3">
      <c r="A654" s="3" t="s">
        <v>714</v>
      </c>
      <c r="B654">
        <v>1865.5500000000002</v>
      </c>
      <c r="C654">
        <v>1734.96</v>
      </c>
    </row>
    <row r="655" spans="1:3" x14ac:dyDescent="0.3">
      <c r="A655" s="3" t="s">
        <v>715</v>
      </c>
      <c r="B655">
        <v>1605.3999999999999</v>
      </c>
      <c r="C655">
        <v>1268.27</v>
      </c>
    </row>
    <row r="656" spans="1:3" x14ac:dyDescent="0.3">
      <c r="A656" s="3" t="s">
        <v>716</v>
      </c>
      <c r="B656">
        <v>6355.38</v>
      </c>
      <c r="C656">
        <v>6291.83</v>
      </c>
    </row>
    <row r="657" spans="1:3" x14ac:dyDescent="0.3">
      <c r="A657" s="3" t="s">
        <v>717</v>
      </c>
      <c r="B657">
        <v>2795.7599999999998</v>
      </c>
      <c r="C657">
        <v>2432.31</v>
      </c>
    </row>
    <row r="658" spans="1:3" x14ac:dyDescent="0.3">
      <c r="A658" s="3" t="s">
        <v>718</v>
      </c>
      <c r="B658">
        <v>11924.6</v>
      </c>
      <c r="C658">
        <v>8943.4500000000007</v>
      </c>
    </row>
    <row r="659" spans="1:3" x14ac:dyDescent="0.3">
      <c r="A659" s="3" t="s">
        <v>719</v>
      </c>
      <c r="B659">
        <v>10254.280000000001</v>
      </c>
      <c r="C659">
        <v>8305.9699999999993</v>
      </c>
    </row>
    <row r="660" spans="1:3" x14ac:dyDescent="0.3">
      <c r="A660" s="3" t="s">
        <v>720</v>
      </c>
      <c r="B660">
        <v>4217.8599999999997</v>
      </c>
      <c r="C660">
        <v>3669.54</v>
      </c>
    </row>
    <row r="661" spans="1:3" x14ac:dyDescent="0.3">
      <c r="A661" s="3" t="s">
        <v>721</v>
      </c>
      <c r="B661">
        <v>3616.76</v>
      </c>
      <c r="C661">
        <v>3110.41</v>
      </c>
    </row>
    <row r="662" spans="1:3" x14ac:dyDescent="0.3">
      <c r="A662" s="3" t="s">
        <v>722</v>
      </c>
      <c r="B662">
        <v>3292.53</v>
      </c>
      <c r="C662">
        <v>3029.13</v>
      </c>
    </row>
    <row r="663" spans="1:3" x14ac:dyDescent="0.3">
      <c r="A663" s="3" t="s">
        <v>723</v>
      </c>
      <c r="B663">
        <v>13126.55</v>
      </c>
      <c r="C663">
        <v>10895.04</v>
      </c>
    </row>
    <row r="664" spans="1:3" x14ac:dyDescent="0.3">
      <c r="A664" s="3" t="s">
        <v>724</v>
      </c>
      <c r="B664">
        <v>5651.56</v>
      </c>
      <c r="C664">
        <v>4747.3100000000004</v>
      </c>
    </row>
    <row r="665" spans="1:3" x14ac:dyDescent="0.3">
      <c r="A665" s="3" t="s">
        <v>725</v>
      </c>
      <c r="B665">
        <v>1674.64</v>
      </c>
      <c r="C665">
        <v>1389.95</v>
      </c>
    </row>
    <row r="666" spans="1:3" x14ac:dyDescent="0.3">
      <c r="A666" s="3" t="s">
        <v>726</v>
      </c>
      <c r="B666">
        <v>2713.18</v>
      </c>
      <c r="C666">
        <v>2306.1999999999998</v>
      </c>
    </row>
    <row r="667" spans="1:3" x14ac:dyDescent="0.3">
      <c r="A667" s="3" t="s">
        <v>727</v>
      </c>
      <c r="B667">
        <v>11372.56</v>
      </c>
      <c r="C667">
        <v>10121.58</v>
      </c>
    </row>
    <row r="668" spans="1:3" x14ac:dyDescent="0.3">
      <c r="A668" s="3" t="s">
        <v>728</v>
      </c>
      <c r="B668">
        <v>4811.6500000000005</v>
      </c>
      <c r="C668">
        <v>3801.2</v>
      </c>
    </row>
    <row r="669" spans="1:3" x14ac:dyDescent="0.3">
      <c r="A669" s="3" t="s">
        <v>729</v>
      </c>
      <c r="B669">
        <v>4512.82</v>
      </c>
      <c r="C669">
        <v>4061.54</v>
      </c>
    </row>
    <row r="670" spans="1:3" x14ac:dyDescent="0.3">
      <c r="A670" s="3" t="s">
        <v>730</v>
      </c>
      <c r="B670">
        <v>23356.9</v>
      </c>
      <c r="C670">
        <v>20320.5</v>
      </c>
    </row>
    <row r="671" spans="1:3" x14ac:dyDescent="0.3">
      <c r="A671" s="3" t="s">
        <v>731</v>
      </c>
      <c r="B671">
        <v>12535.32</v>
      </c>
      <c r="C671">
        <v>10278.959999999999</v>
      </c>
    </row>
    <row r="672" spans="1:3" x14ac:dyDescent="0.3">
      <c r="A672" s="3" t="s">
        <v>732</v>
      </c>
      <c r="B672">
        <v>6760.2899999999991</v>
      </c>
      <c r="C672">
        <v>6354.67</v>
      </c>
    </row>
    <row r="673" spans="1:3" x14ac:dyDescent="0.3">
      <c r="A673" s="3" t="s">
        <v>733</v>
      </c>
      <c r="B673">
        <v>13781.68</v>
      </c>
      <c r="C673">
        <v>10474.08</v>
      </c>
    </row>
    <row r="674" spans="1:3" x14ac:dyDescent="0.3">
      <c r="A674" s="3" t="s">
        <v>734</v>
      </c>
      <c r="B674">
        <v>3484.34</v>
      </c>
      <c r="C674">
        <v>2787.47</v>
      </c>
    </row>
    <row r="675" spans="1:3" x14ac:dyDescent="0.3">
      <c r="A675" s="3" t="s">
        <v>735</v>
      </c>
      <c r="B675">
        <v>8014.04</v>
      </c>
      <c r="C675">
        <v>6170.81</v>
      </c>
    </row>
    <row r="676" spans="1:3" x14ac:dyDescent="0.3">
      <c r="A676" s="3" t="s">
        <v>736</v>
      </c>
      <c r="B676">
        <v>13228.170000000002</v>
      </c>
      <c r="C676">
        <v>10714.82</v>
      </c>
    </row>
    <row r="677" spans="1:3" x14ac:dyDescent="0.3">
      <c r="A677" s="3" t="s">
        <v>737</v>
      </c>
      <c r="B677">
        <v>17584.52</v>
      </c>
      <c r="C677">
        <v>13891.77</v>
      </c>
    </row>
    <row r="678" spans="1:3" x14ac:dyDescent="0.3">
      <c r="A678" s="3" t="s">
        <v>738</v>
      </c>
      <c r="B678">
        <v>6962.9400000000005</v>
      </c>
      <c r="C678">
        <v>6893.31</v>
      </c>
    </row>
    <row r="679" spans="1:3" x14ac:dyDescent="0.3">
      <c r="A679" s="3" t="s">
        <v>739</v>
      </c>
      <c r="B679">
        <v>4911.72</v>
      </c>
      <c r="C679">
        <v>4813.49</v>
      </c>
    </row>
    <row r="680" spans="1:3" x14ac:dyDescent="0.3">
      <c r="A680" s="3" t="s">
        <v>740</v>
      </c>
      <c r="B680">
        <v>2754.66</v>
      </c>
      <c r="C680">
        <v>2286.37</v>
      </c>
    </row>
    <row r="681" spans="1:3" x14ac:dyDescent="0.3">
      <c r="A681" s="3" t="s">
        <v>741</v>
      </c>
      <c r="B681">
        <v>5999.95</v>
      </c>
      <c r="C681">
        <v>4559.96</v>
      </c>
    </row>
    <row r="682" spans="1:3" x14ac:dyDescent="0.3">
      <c r="A682" s="3" t="s">
        <v>742</v>
      </c>
      <c r="B682">
        <v>12512.88</v>
      </c>
      <c r="C682">
        <v>10635.95</v>
      </c>
    </row>
    <row r="683" spans="1:3" x14ac:dyDescent="0.3">
      <c r="A683" s="3" t="s">
        <v>743</v>
      </c>
      <c r="B683">
        <v>16614.240000000002</v>
      </c>
      <c r="C683">
        <v>14620.53</v>
      </c>
    </row>
    <row r="684" spans="1:3" x14ac:dyDescent="0.3">
      <c r="A684" s="3" t="s">
        <v>744</v>
      </c>
      <c r="B684">
        <v>17184.2</v>
      </c>
      <c r="C684">
        <v>14606.57</v>
      </c>
    </row>
    <row r="685" spans="1:3" x14ac:dyDescent="0.3">
      <c r="A685" s="3" t="s">
        <v>745</v>
      </c>
      <c r="B685">
        <v>6253.26</v>
      </c>
      <c r="C685">
        <v>4815.01</v>
      </c>
    </row>
    <row r="686" spans="1:3" x14ac:dyDescent="0.3">
      <c r="A686" s="3" t="s">
        <v>746</v>
      </c>
      <c r="B686">
        <v>7190.7</v>
      </c>
      <c r="C686">
        <v>5896.37</v>
      </c>
    </row>
    <row r="687" spans="1:3" x14ac:dyDescent="0.3">
      <c r="A687" s="3" t="s">
        <v>747</v>
      </c>
      <c r="B687">
        <v>18201.240000000002</v>
      </c>
      <c r="C687">
        <v>13650.93</v>
      </c>
    </row>
    <row r="688" spans="1:3" x14ac:dyDescent="0.3">
      <c r="A688" s="3" t="s">
        <v>748</v>
      </c>
      <c r="B688">
        <v>2243.91</v>
      </c>
      <c r="C688">
        <v>1750.25</v>
      </c>
    </row>
    <row r="689" spans="1:3" x14ac:dyDescent="0.3">
      <c r="A689" s="3" t="s">
        <v>749</v>
      </c>
      <c r="B689">
        <v>1654.86</v>
      </c>
      <c r="C689">
        <v>1439.73</v>
      </c>
    </row>
    <row r="690" spans="1:3" x14ac:dyDescent="0.3">
      <c r="A690" s="3" t="s">
        <v>750</v>
      </c>
      <c r="B690">
        <v>13915.68</v>
      </c>
      <c r="C690">
        <v>12941.58</v>
      </c>
    </row>
    <row r="691" spans="1:3" x14ac:dyDescent="0.3">
      <c r="A691" s="3" t="s">
        <v>751</v>
      </c>
      <c r="B691">
        <v>21399.3</v>
      </c>
      <c r="C691">
        <v>17975.41</v>
      </c>
    </row>
    <row r="692" spans="1:3" x14ac:dyDescent="0.3">
      <c r="A692" s="3" t="s">
        <v>752</v>
      </c>
      <c r="B692">
        <v>2704.2599999999998</v>
      </c>
      <c r="C692">
        <v>2379.75</v>
      </c>
    </row>
    <row r="693" spans="1:3" x14ac:dyDescent="0.3">
      <c r="A693" s="3" t="s">
        <v>753</v>
      </c>
      <c r="B693">
        <v>1411.82</v>
      </c>
      <c r="C693">
        <v>1383.58</v>
      </c>
    </row>
    <row r="694" spans="1:3" x14ac:dyDescent="0.3">
      <c r="A694" s="3" t="s">
        <v>754</v>
      </c>
      <c r="B694">
        <v>24951.100000000002</v>
      </c>
      <c r="C694">
        <v>24951.100000000002</v>
      </c>
    </row>
    <row r="695" spans="1:3" x14ac:dyDescent="0.3">
      <c r="A695" s="3" t="s">
        <v>755</v>
      </c>
      <c r="B695">
        <v>1492.98</v>
      </c>
      <c r="C695">
        <v>1119.74</v>
      </c>
    </row>
    <row r="696" spans="1:3" x14ac:dyDescent="0.3">
      <c r="A696" s="3" t="s">
        <v>756</v>
      </c>
      <c r="B696">
        <v>16681.72</v>
      </c>
      <c r="C696">
        <v>14012.64</v>
      </c>
    </row>
    <row r="697" spans="1:3" x14ac:dyDescent="0.3">
      <c r="A697" s="3" t="s">
        <v>757</v>
      </c>
      <c r="B697">
        <v>14227.050000000001</v>
      </c>
      <c r="C697">
        <v>10670.29</v>
      </c>
    </row>
    <row r="698" spans="1:3" x14ac:dyDescent="0.3">
      <c r="A698" s="3" t="s">
        <v>758</v>
      </c>
      <c r="B698">
        <v>2781.07</v>
      </c>
      <c r="C698">
        <v>2363.91</v>
      </c>
    </row>
    <row r="699" spans="1:3" x14ac:dyDescent="0.3">
      <c r="A699" s="3" t="s">
        <v>759</v>
      </c>
      <c r="B699">
        <v>4007.32</v>
      </c>
      <c r="C699">
        <v>3606.59</v>
      </c>
    </row>
    <row r="700" spans="1:3" x14ac:dyDescent="0.3">
      <c r="A700" s="3" t="s">
        <v>760</v>
      </c>
      <c r="B700">
        <v>10083.150000000001</v>
      </c>
      <c r="C700">
        <v>7965.69</v>
      </c>
    </row>
    <row r="701" spans="1:3" x14ac:dyDescent="0.3">
      <c r="A701" s="3" t="s">
        <v>761</v>
      </c>
      <c r="B701">
        <v>2168.36</v>
      </c>
      <c r="C701">
        <v>1929.84</v>
      </c>
    </row>
    <row r="702" spans="1:3" x14ac:dyDescent="0.3">
      <c r="A702" s="3" t="s">
        <v>762</v>
      </c>
      <c r="B702">
        <v>13658.24</v>
      </c>
      <c r="C702">
        <v>11472.92</v>
      </c>
    </row>
    <row r="703" spans="1:3" x14ac:dyDescent="0.3">
      <c r="A703" s="3" t="s">
        <v>763</v>
      </c>
      <c r="B703">
        <v>4545.32</v>
      </c>
      <c r="C703">
        <v>3999.88</v>
      </c>
    </row>
    <row r="704" spans="1:3" x14ac:dyDescent="0.3">
      <c r="A704" s="3" t="s">
        <v>764</v>
      </c>
      <c r="B704">
        <v>1669.35</v>
      </c>
      <c r="C704">
        <v>1635.96</v>
      </c>
    </row>
    <row r="705" spans="1:3" x14ac:dyDescent="0.3">
      <c r="A705" s="3" t="s">
        <v>765</v>
      </c>
      <c r="B705">
        <v>4046.46</v>
      </c>
      <c r="C705">
        <v>3965.53</v>
      </c>
    </row>
    <row r="706" spans="1:3" x14ac:dyDescent="0.3">
      <c r="A706" s="3" t="s">
        <v>766</v>
      </c>
      <c r="B706">
        <v>2139.63</v>
      </c>
      <c r="C706">
        <v>1754.5</v>
      </c>
    </row>
    <row r="707" spans="1:3" x14ac:dyDescent="0.3">
      <c r="A707" s="3" t="s">
        <v>767</v>
      </c>
      <c r="B707">
        <v>966.56</v>
      </c>
      <c r="C707">
        <v>724.92</v>
      </c>
    </row>
    <row r="708" spans="1:3" x14ac:dyDescent="0.3">
      <c r="A708" s="3" t="s">
        <v>768</v>
      </c>
      <c r="B708">
        <v>6626.84</v>
      </c>
      <c r="C708">
        <v>5831.62</v>
      </c>
    </row>
    <row r="709" spans="1:3" x14ac:dyDescent="0.3">
      <c r="A709" s="3" t="s">
        <v>769</v>
      </c>
      <c r="B709">
        <v>1524.12</v>
      </c>
      <c r="C709">
        <v>1447.91</v>
      </c>
    </row>
    <row r="710" spans="1:3" x14ac:dyDescent="0.3">
      <c r="A710" s="3" t="s">
        <v>770</v>
      </c>
      <c r="B710">
        <v>5177.3999999999996</v>
      </c>
      <c r="C710">
        <v>4763.21</v>
      </c>
    </row>
    <row r="711" spans="1:3" x14ac:dyDescent="0.3">
      <c r="A711" s="3" t="s">
        <v>771</v>
      </c>
      <c r="B711">
        <v>19291.8</v>
      </c>
      <c r="C711">
        <v>16976.78</v>
      </c>
    </row>
    <row r="712" spans="1:3" x14ac:dyDescent="0.3">
      <c r="A712" s="3" t="s">
        <v>772</v>
      </c>
      <c r="B712">
        <v>3189.01</v>
      </c>
      <c r="C712">
        <v>2614.9899999999998</v>
      </c>
    </row>
    <row r="713" spans="1:3" x14ac:dyDescent="0.3">
      <c r="A713" s="3" t="s">
        <v>773</v>
      </c>
      <c r="B713">
        <v>10461.76</v>
      </c>
      <c r="C713">
        <v>8578.64</v>
      </c>
    </row>
    <row r="714" spans="1:3" x14ac:dyDescent="0.3">
      <c r="A714" s="3" t="s">
        <v>774</v>
      </c>
      <c r="B714">
        <v>2056</v>
      </c>
      <c r="C714">
        <v>1603.68</v>
      </c>
    </row>
    <row r="715" spans="1:3" x14ac:dyDescent="0.3">
      <c r="A715" s="3" t="s">
        <v>775</v>
      </c>
      <c r="B715">
        <v>3022.5</v>
      </c>
      <c r="C715">
        <v>2871.38</v>
      </c>
    </row>
    <row r="716" spans="1:3" x14ac:dyDescent="0.3">
      <c r="A716" s="3" t="s">
        <v>776</v>
      </c>
      <c r="B716">
        <v>10928.039999999999</v>
      </c>
      <c r="C716">
        <v>9835.24</v>
      </c>
    </row>
    <row r="717" spans="1:3" x14ac:dyDescent="0.3">
      <c r="A717" s="3" t="s">
        <v>777</v>
      </c>
      <c r="B717">
        <v>2930.28</v>
      </c>
      <c r="C717">
        <v>2783.77</v>
      </c>
    </row>
    <row r="718" spans="1:3" x14ac:dyDescent="0.3">
      <c r="A718" s="3" t="s">
        <v>778</v>
      </c>
      <c r="B718">
        <v>1652.7</v>
      </c>
      <c r="C718">
        <v>1652.7</v>
      </c>
    </row>
    <row r="719" spans="1:3" x14ac:dyDescent="0.3">
      <c r="A719" s="3" t="s">
        <v>779</v>
      </c>
      <c r="B719">
        <v>3126.06</v>
      </c>
      <c r="C719">
        <v>3032.28</v>
      </c>
    </row>
    <row r="720" spans="1:3" x14ac:dyDescent="0.3">
      <c r="A720" s="3" t="s">
        <v>780</v>
      </c>
      <c r="B720">
        <v>8563.4</v>
      </c>
      <c r="C720">
        <v>6679.45</v>
      </c>
    </row>
    <row r="721" spans="1:3" x14ac:dyDescent="0.3">
      <c r="A721" s="3" t="s">
        <v>781</v>
      </c>
      <c r="B721">
        <v>19662.850000000002</v>
      </c>
      <c r="C721">
        <v>14943.77</v>
      </c>
    </row>
    <row r="722" spans="1:3" x14ac:dyDescent="0.3">
      <c r="A722" s="3" t="s">
        <v>782</v>
      </c>
      <c r="B722">
        <v>10710</v>
      </c>
      <c r="C722">
        <v>8675.1</v>
      </c>
    </row>
    <row r="723" spans="1:3" x14ac:dyDescent="0.3">
      <c r="A723" s="3" t="s">
        <v>783</v>
      </c>
      <c r="B723">
        <v>19404.88</v>
      </c>
      <c r="C723">
        <v>15717.95</v>
      </c>
    </row>
    <row r="724" spans="1:3" x14ac:dyDescent="0.3">
      <c r="A724" s="3" t="s">
        <v>784</v>
      </c>
      <c r="B724">
        <v>1403.48</v>
      </c>
      <c r="C724">
        <v>1150.8499999999999</v>
      </c>
    </row>
    <row r="725" spans="1:3" x14ac:dyDescent="0.3">
      <c r="A725" s="3" t="s">
        <v>785</v>
      </c>
      <c r="B725">
        <v>8057.34</v>
      </c>
      <c r="C725">
        <v>7251.61</v>
      </c>
    </row>
    <row r="726" spans="1:3" x14ac:dyDescent="0.3">
      <c r="A726" s="3" t="s">
        <v>786</v>
      </c>
      <c r="B726">
        <v>3616.37</v>
      </c>
      <c r="C726">
        <v>3146.24</v>
      </c>
    </row>
    <row r="727" spans="1:3" x14ac:dyDescent="0.3">
      <c r="A727" s="3" t="s">
        <v>787</v>
      </c>
      <c r="B727">
        <v>3334.86</v>
      </c>
      <c r="C727">
        <v>2801.28</v>
      </c>
    </row>
    <row r="728" spans="1:3" x14ac:dyDescent="0.3">
      <c r="A728" s="3" t="s">
        <v>788</v>
      </c>
      <c r="B728">
        <v>21901.9</v>
      </c>
      <c r="C728">
        <v>17959.560000000001</v>
      </c>
    </row>
    <row r="729" spans="1:3" x14ac:dyDescent="0.3">
      <c r="A729" s="3" t="s">
        <v>789</v>
      </c>
      <c r="B729">
        <v>8898.2800000000007</v>
      </c>
      <c r="C729">
        <v>7474.56</v>
      </c>
    </row>
    <row r="730" spans="1:3" x14ac:dyDescent="0.3">
      <c r="A730" s="3" t="s">
        <v>790</v>
      </c>
      <c r="B730">
        <v>8695.1</v>
      </c>
      <c r="C730">
        <v>7129.98</v>
      </c>
    </row>
    <row r="731" spans="1:3" x14ac:dyDescent="0.3">
      <c r="A731" s="3" t="s">
        <v>791</v>
      </c>
      <c r="B731">
        <v>8150.2</v>
      </c>
      <c r="C731">
        <v>7416.68</v>
      </c>
    </row>
    <row r="732" spans="1:3" x14ac:dyDescent="0.3">
      <c r="A732" s="3" t="s">
        <v>792</v>
      </c>
      <c r="B732">
        <v>19744.32</v>
      </c>
      <c r="C732">
        <v>19151.990000000002</v>
      </c>
    </row>
    <row r="733" spans="1:3" x14ac:dyDescent="0.3">
      <c r="A733" s="3" t="s">
        <v>793</v>
      </c>
      <c r="B733">
        <v>2298.81</v>
      </c>
      <c r="C733">
        <v>1976.98</v>
      </c>
    </row>
    <row r="734" spans="1:3" x14ac:dyDescent="0.3">
      <c r="A734" s="3" t="s">
        <v>794</v>
      </c>
      <c r="B734">
        <v>16974.649999999998</v>
      </c>
      <c r="C734">
        <v>13919.21</v>
      </c>
    </row>
    <row r="735" spans="1:3" x14ac:dyDescent="0.3">
      <c r="A735" s="3" t="s">
        <v>795</v>
      </c>
      <c r="B735">
        <v>7174.08</v>
      </c>
      <c r="C735">
        <v>5667.52</v>
      </c>
    </row>
    <row r="736" spans="1:3" x14ac:dyDescent="0.3">
      <c r="A736" s="3" t="s">
        <v>796</v>
      </c>
      <c r="B736">
        <v>10249.289999999999</v>
      </c>
      <c r="C736">
        <v>9224.36</v>
      </c>
    </row>
    <row r="737" spans="1:3" x14ac:dyDescent="0.3">
      <c r="A737" s="3" t="s">
        <v>797</v>
      </c>
      <c r="B737">
        <v>14741.64</v>
      </c>
      <c r="C737">
        <v>13267.48</v>
      </c>
    </row>
    <row r="738" spans="1:3" x14ac:dyDescent="0.3">
      <c r="A738" s="3" t="s">
        <v>798</v>
      </c>
      <c r="B738">
        <v>3502.91</v>
      </c>
      <c r="C738">
        <v>3117.59</v>
      </c>
    </row>
    <row r="739" spans="1:3" x14ac:dyDescent="0.3">
      <c r="A739" s="3" t="s">
        <v>799</v>
      </c>
      <c r="B739">
        <v>1910.97</v>
      </c>
      <c r="C739">
        <v>1777.2</v>
      </c>
    </row>
    <row r="740" spans="1:3" x14ac:dyDescent="0.3">
      <c r="A740" s="3" t="s">
        <v>800</v>
      </c>
      <c r="B740">
        <v>3976.9</v>
      </c>
      <c r="C740">
        <v>3817.82</v>
      </c>
    </row>
    <row r="741" spans="1:3" x14ac:dyDescent="0.3">
      <c r="A741" s="3" t="s">
        <v>801</v>
      </c>
      <c r="B741">
        <v>440.88</v>
      </c>
      <c r="C741">
        <v>379.16</v>
      </c>
    </row>
    <row r="742" spans="1:3" x14ac:dyDescent="0.3">
      <c r="A742" s="3" t="s">
        <v>802</v>
      </c>
      <c r="B742">
        <v>9714.44</v>
      </c>
      <c r="C742">
        <v>7965.84</v>
      </c>
    </row>
    <row r="743" spans="1:3" x14ac:dyDescent="0.3">
      <c r="A743" s="3" t="s">
        <v>803</v>
      </c>
      <c r="B743">
        <v>1612.92</v>
      </c>
      <c r="C743">
        <v>1354.85</v>
      </c>
    </row>
    <row r="744" spans="1:3" x14ac:dyDescent="0.3">
      <c r="A744" s="3" t="s">
        <v>804</v>
      </c>
      <c r="B744">
        <v>14823.88</v>
      </c>
      <c r="C744">
        <v>12452.06</v>
      </c>
    </row>
    <row r="745" spans="1:3" x14ac:dyDescent="0.3">
      <c r="A745" s="3" t="s">
        <v>805</v>
      </c>
      <c r="B745">
        <v>13774.949999999999</v>
      </c>
      <c r="C745">
        <v>11157.71</v>
      </c>
    </row>
    <row r="746" spans="1:3" x14ac:dyDescent="0.3">
      <c r="A746" s="3" t="s">
        <v>806</v>
      </c>
      <c r="B746">
        <v>1447.32</v>
      </c>
      <c r="C746">
        <v>1374.95</v>
      </c>
    </row>
    <row r="747" spans="1:3" x14ac:dyDescent="0.3">
      <c r="A747" s="3" t="s">
        <v>807</v>
      </c>
      <c r="B747">
        <v>17294.68</v>
      </c>
      <c r="C747">
        <v>17121.73</v>
      </c>
    </row>
    <row r="748" spans="1:3" x14ac:dyDescent="0.3">
      <c r="A748" s="3" t="s">
        <v>808</v>
      </c>
      <c r="B748">
        <v>4900.95</v>
      </c>
      <c r="C748">
        <v>4214.82</v>
      </c>
    </row>
    <row r="749" spans="1:3" x14ac:dyDescent="0.3">
      <c r="A749" s="3" t="s">
        <v>809</v>
      </c>
      <c r="B749">
        <v>777.36</v>
      </c>
      <c r="C749">
        <v>590.79</v>
      </c>
    </row>
    <row r="750" spans="1:3" x14ac:dyDescent="0.3">
      <c r="A750" s="3" t="s">
        <v>810</v>
      </c>
      <c r="B750">
        <v>17903</v>
      </c>
      <c r="C750">
        <v>16828.82</v>
      </c>
    </row>
    <row r="751" spans="1:3" x14ac:dyDescent="0.3">
      <c r="A751" s="3" t="s">
        <v>811</v>
      </c>
      <c r="B751">
        <v>19007.400000000001</v>
      </c>
      <c r="C751">
        <v>17676.88</v>
      </c>
    </row>
    <row r="752" spans="1:3" x14ac:dyDescent="0.3">
      <c r="A752" s="3" t="s">
        <v>812</v>
      </c>
      <c r="B752">
        <v>9154.6</v>
      </c>
      <c r="C752">
        <v>9154.6</v>
      </c>
    </row>
    <row r="753" spans="1:3" x14ac:dyDescent="0.3">
      <c r="A753" s="3" t="s">
        <v>813</v>
      </c>
      <c r="B753">
        <v>2044.6</v>
      </c>
      <c r="C753">
        <v>1717.46</v>
      </c>
    </row>
    <row r="754" spans="1:3" x14ac:dyDescent="0.3">
      <c r="A754" s="3" t="s">
        <v>814</v>
      </c>
      <c r="B754">
        <v>1219.1199999999999</v>
      </c>
      <c r="C754">
        <v>975.3</v>
      </c>
    </row>
    <row r="755" spans="1:3" x14ac:dyDescent="0.3">
      <c r="A755" s="3" t="s">
        <v>815</v>
      </c>
      <c r="B755">
        <v>6646.7999999999993</v>
      </c>
      <c r="C755">
        <v>5516.84</v>
      </c>
    </row>
    <row r="756" spans="1:3" x14ac:dyDescent="0.3">
      <c r="A756" s="3" t="s">
        <v>816</v>
      </c>
      <c r="B756">
        <v>14295.5</v>
      </c>
      <c r="C756">
        <v>13151.86</v>
      </c>
    </row>
    <row r="757" spans="1:3" x14ac:dyDescent="0.3">
      <c r="A757" s="3" t="s">
        <v>817</v>
      </c>
      <c r="B757">
        <v>23956.7</v>
      </c>
      <c r="C757">
        <v>22040.16</v>
      </c>
    </row>
    <row r="758" spans="1:3" x14ac:dyDescent="0.3">
      <c r="A758" s="3" t="s">
        <v>818</v>
      </c>
      <c r="B758">
        <v>4706.04</v>
      </c>
      <c r="C758">
        <v>4000.13</v>
      </c>
    </row>
    <row r="759" spans="1:3" x14ac:dyDescent="0.3">
      <c r="A759" s="3" t="s">
        <v>819</v>
      </c>
      <c r="B759">
        <v>4249</v>
      </c>
      <c r="C759">
        <v>3314.22</v>
      </c>
    </row>
    <row r="760" spans="1:3" x14ac:dyDescent="0.3">
      <c r="A760" s="3" t="s">
        <v>820</v>
      </c>
      <c r="B760">
        <v>13576</v>
      </c>
      <c r="C760">
        <v>12354.16</v>
      </c>
    </row>
    <row r="761" spans="1:3" x14ac:dyDescent="0.3">
      <c r="A761" s="3" t="s">
        <v>821</v>
      </c>
      <c r="B761">
        <v>583.52</v>
      </c>
      <c r="C761">
        <v>472.65</v>
      </c>
    </row>
    <row r="762" spans="1:3" x14ac:dyDescent="0.3">
      <c r="A762" s="3" t="s">
        <v>822</v>
      </c>
      <c r="B762">
        <v>840.90000000000009</v>
      </c>
      <c r="C762">
        <v>739.99</v>
      </c>
    </row>
    <row r="763" spans="1:3" x14ac:dyDescent="0.3">
      <c r="A763" s="3" t="s">
        <v>823</v>
      </c>
      <c r="B763">
        <v>3741.36</v>
      </c>
      <c r="C763">
        <v>3554.29</v>
      </c>
    </row>
    <row r="764" spans="1:3" x14ac:dyDescent="0.3">
      <c r="A764" s="3" t="s">
        <v>824</v>
      </c>
      <c r="B764">
        <v>8833.84</v>
      </c>
      <c r="C764">
        <v>7243.75</v>
      </c>
    </row>
    <row r="765" spans="1:3" x14ac:dyDescent="0.3">
      <c r="A765" s="3" t="s">
        <v>825</v>
      </c>
      <c r="B765">
        <v>12962.92</v>
      </c>
      <c r="C765">
        <v>9851.82</v>
      </c>
    </row>
    <row r="766" spans="1:3" x14ac:dyDescent="0.3">
      <c r="A766" s="3" t="s">
        <v>826</v>
      </c>
      <c r="B766">
        <v>7484.84</v>
      </c>
      <c r="C766">
        <v>6062.72</v>
      </c>
    </row>
    <row r="767" spans="1:3" x14ac:dyDescent="0.3">
      <c r="A767" s="3" t="s">
        <v>827</v>
      </c>
      <c r="B767">
        <v>3480.12</v>
      </c>
      <c r="C767">
        <v>2714.49</v>
      </c>
    </row>
    <row r="768" spans="1:3" x14ac:dyDescent="0.3">
      <c r="A768" s="3" t="s">
        <v>828</v>
      </c>
      <c r="B768">
        <v>4868.8500000000004</v>
      </c>
      <c r="C768">
        <v>4089.83</v>
      </c>
    </row>
    <row r="769" spans="1:3" x14ac:dyDescent="0.3">
      <c r="A769" s="3" t="s">
        <v>829</v>
      </c>
      <c r="B769">
        <v>5071.84</v>
      </c>
      <c r="C769">
        <v>4615.37</v>
      </c>
    </row>
    <row r="770" spans="1:3" x14ac:dyDescent="0.3">
      <c r="A770" s="3" t="s">
        <v>830</v>
      </c>
      <c r="B770">
        <v>3164.21</v>
      </c>
      <c r="C770">
        <v>2721.22</v>
      </c>
    </row>
    <row r="771" spans="1:3" x14ac:dyDescent="0.3">
      <c r="A771" s="3" t="s">
        <v>831</v>
      </c>
      <c r="B771">
        <v>1473.88</v>
      </c>
      <c r="C771">
        <v>1252.8</v>
      </c>
    </row>
    <row r="772" spans="1:3" x14ac:dyDescent="0.3">
      <c r="A772" s="3" t="s">
        <v>832</v>
      </c>
      <c r="B772">
        <v>3124.78</v>
      </c>
      <c r="C772">
        <v>2812.3</v>
      </c>
    </row>
    <row r="773" spans="1:3" x14ac:dyDescent="0.3">
      <c r="A773" s="3" t="s">
        <v>833</v>
      </c>
      <c r="B773">
        <v>9868.5300000000007</v>
      </c>
      <c r="C773">
        <v>8190.88</v>
      </c>
    </row>
    <row r="774" spans="1:3" x14ac:dyDescent="0.3">
      <c r="A774" s="3" t="s">
        <v>834</v>
      </c>
      <c r="B774">
        <v>17975.849999999999</v>
      </c>
      <c r="C774">
        <v>15279.47</v>
      </c>
    </row>
    <row r="775" spans="1:3" x14ac:dyDescent="0.3">
      <c r="A775" s="3" t="s">
        <v>835</v>
      </c>
      <c r="B775">
        <v>11393.3</v>
      </c>
      <c r="C775">
        <v>10709.7</v>
      </c>
    </row>
    <row r="776" spans="1:3" x14ac:dyDescent="0.3">
      <c r="A776" s="3" t="s">
        <v>836</v>
      </c>
      <c r="B776">
        <v>22187.95</v>
      </c>
      <c r="C776">
        <v>17972.240000000002</v>
      </c>
    </row>
    <row r="777" spans="1:3" x14ac:dyDescent="0.3">
      <c r="A777" s="3" t="s">
        <v>837</v>
      </c>
      <c r="B777">
        <v>16613.099999999999</v>
      </c>
      <c r="C777">
        <v>15948.58</v>
      </c>
    </row>
    <row r="778" spans="1:3" x14ac:dyDescent="0.3">
      <c r="A778" s="3" t="s">
        <v>838</v>
      </c>
      <c r="B778">
        <v>6745.02</v>
      </c>
      <c r="C778">
        <v>5598.37</v>
      </c>
    </row>
    <row r="779" spans="1:3" x14ac:dyDescent="0.3">
      <c r="A779" s="3" t="s">
        <v>839</v>
      </c>
      <c r="B779">
        <v>2685.5099999999998</v>
      </c>
      <c r="C779">
        <v>2390.1</v>
      </c>
    </row>
    <row r="780" spans="1:3" x14ac:dyDescent="0.3">
      <c r="A780" s="3" t="s">
        <v>840</v>
      </c>
      <c r="B780">
        <v>2542.38</v>
      </c>
      <c r="C780">
        <v>2084.75</v>
      </c>
    </row>
    <row r="781" spans="1:3" x14ac:dyDescent="0.3">
      <c r="A781" s="3" t="s">
        <v>841</v>
      </c>
      <c r="B781">
        <v>741.27</v>
      </c>
      <c r="C781">
        <v>719.03</v>
      </c>
    </row>
    <row r="782" spans="1:3" x14ac:dyDescent="0.3">
      <c r="A782" s="3" t="s">
        <v>842</v>
      </c>
      <c r="B782">
        <v>2984.18</v>
      </c>
      <c r="C782">
        <v>2834.97</v>
      </c>
    </row>
    <row r="783" spans="1:3" x14ac:dyDescent="0.3">
      <c r="A783" s="3" t="s">
        <v>843</v>
      </c>
      <c r="B783">
        <v>8460.24</v>
      </c>
      <c r="C783">
        <v>6514.38</v>
      </c>
    </row>
    <row r="784" spans="1:3" x14ac:dyDescent="0.3">
      <c r="A784" s="3" t="s">
        <v>844</v>
      </c>
      <c r="B784">
        <v>3822.48</v>
      </c>
      <c r="C784">
        <v>3478.46</v>
      </c>
    </row>
    <row r="785" spans="1:3" x14ac:dyDescent="0.3">
      <c r="A785" s="3" t="s">
        <v>845</v>
      </c>
      <c r="B785">
        <v>5419.04</v>
      </c>
      <c r="C785">
        <v>4497.8</v>
      </c>
    </row>
    <row r="786" spans="1:3" x14ac:dyDescent="0.3">
      <c r="A786" s="3" t="s">
        <v>846</v>
      </c>
      <c r="B786">
        <v>7707.5</v>
      </c>
      <c r="C786">
        <v>7399.2</v>
      </c>
    </row>
    <row r="787" spans="1:3" x14ac:dyDescent="0.3">
      <c r="A787" s="3" t="s">
        <v>847</v>
      </c>
      <c r="B787">
        <v>7327.52</v>
      </c>
      <c r="C787">
        <v>5862.02</v>
      </c>
    </row>
    <row r="788" spans="1:3" x14ac:dyDescent="0.3">
      <c r="A788" s="3" t="s">
        <v>848</v>
      </c>
      <c r="B788">
        <v>3353.86</v>
      </c>
      <c r="C788">
        <v>3052.01</v>
      </c>
    </row>
    <row r="789" spans="1:3" x14ac:dyDescent="0.3">
      <c r="A789" s="3" t="s">
        <v>849</v>
      </c>
      <c r="B789">
        <v>16418.55</v>
      </c>
      <c r="C789">
        <v>15597.62</v>
      </c>
    </row>
    <row r="790" spans="1:3" x14ac:dyDescent="0.3">
      <c r="A790" s="3" t="s">
        <v>850</v>
      </c>
      <c r="B790">
        <v>4351.6500000000005</v>
      </c>
      <c r="C790">
        <v>3437.8</v>
      </c>
    </row>
    <row r="791" spans="1:3" x14ac:dyDescent="0.3">
      <c r="A791" s="3" t="s">
        <v>851</v>
      </c>
      <c r="B791">
        <v>5922.82</v>
      </c>
      <c r="C791">
        <v>5212.08</v>
      </c>
    </row>
    <row r="792" spans="1:3" x14ac:dyDescent="0.3">
      <c r="A792" s="3" t="s">
        <v>852</v>
      </c>
      <c r="B792">
        <v>4313.3999999999996</v>
      </c>
      <c r="C792">
        <v>4270.2700000000004</v>
      </c>
    </row>
    <row r="793" spans="1:3" x14ac:dyDescent="0.3">
      <c r="A793" s="3" t="s">
        <v>853</v>
      </c>
      <c r="B793">
        <v>13892.95</v>
      </c>
      <c r="C793">
        <v>13615.09</v>
      </c>
    </row>
    <row r="794" spans="1:3" x14ac:dyDescent="0.3">
      <c r="A794" s="3" t="s">
        <v>854</v>
      </c>
      <c r="B794">
        <v>3190.71</v>
      </c>
      <c r="C794">
        <v>2935.45</v>
      </c>
    </row>
    <row r="795" spans="1:3" x14ac:dyDescent="0.3">
      <c r="A795" s="3" t="s">
        <v>855</v>
      </c>
      <c r="B795">
        <v>4443.12</v>
      </c>
      <c r="C795">
        <v>4043.24</v>
      </c>
    </row>
    <row r="796" spans="1:3" x14ac:dyDescent="0.3">
      <c r="A796" s="3" t="s">
        <v>856</v>
      </c>
      <c r="B796">
        <v>2423.88</v>
      </c>
      <c r="C796">
        <v>1963.34</v>
      </c>
    </row>
    <row r="797" spans="1:3" x14ac:dyDescent="0.3">
      <c r="A797" s="3" t="s">
        <v>857</v>
      </c>
      <c r="B797">
        <v>12733.29</v>
      </c>
      <c r="C797">
        <v>11332.63</v>
      </c>
    </row>
    <row r="798" spans="1:3" x14ac:dyDescent="0.3">
      <c r="A798" s="3" t="s">
        <v>858</v>
      </c>
      <c r="B798">
        <v>3194.6</v>
      </c>
      <c r="C798">
        <v>2619.5700000000002</v>
      </c>
    </row>
    <row r="799" spans="1:3" x14ac:dyDescent="0.3">
      <c r="A799" s="3" t="s">
        <v>859</v>
      </c>
      <c r="B799">
        <v>8928.24</v>
      </c>
      <c r="C799">
        <v>7678.29</v>
      </c>
    </row>
    <row r="800" spans="1:3" x14ac:dyDescent="0.3">
      <c r="A800" s="3" t="s">
        <v>860</v>
      </c>
      <c r="B800">
        <v>2719</v>
      </c>
      <c r="C800">
        <v>2583.0500000000002</v>
      </c>
    </row>
    <row r="801" spans="1:3" x14ac:dyDescent="0.3">
      <c r="A801" s="3" t="s">
        <v>861</v>
      </c>
      <c r="B801">
        <v>4852.0999999999995</v>
      </c>
      <c r="C801">
        <v>3833.16</v>
      </c>
    </row>
    <row r="802" spans="1:3" x14ac:dyDescent="0.3">
      <c r="A802" s="3" t="s">
        <v>862</v>
      </c>
      <c r="B802">
        <v>3052.84</v>
      </c>
      <c r="C802">
        <v>2655.97</v>
      </c>
    </row>
    <row r="803" spans="1:3" x14ac:dyDescent="0.3">
      <c r="A803" s="3" t="s">
        <v>863</v>
      </c>
      <c r="B803">
        <v>9898.0400000000009</v>
      </c>
      <c r="C803">
        <v>9601.1</v>
      </c>
    </row>
    <row r="804" spans="1:3" x14ac:dyDescent="0.3">
      <c r="A804" s="3" t="s">
        <v>864</v>
      </c>
      <c r="B804">
        <v>16430.759999999998</v>
      </c>
      <c r="C804">
        <v>13637.53</v>
      </c>
    </row>
    <row r="805" spans="1:3" x14ac:dyDescent="0.3">
      <c r="A805" s="3" t="s">
        <v>865</v>
      </c>
      <c r="B805">
        <v>4568.16</v>
      </c>
      <c r="C805">
        <v>3608.85</v>
      </c>
    </row>
    <row r="806" spans="1:3" x14ac:dyDescent="0.3">
      <c r="A806" s="3" t="s">
        <v>866</v>
      </c>
      <c r="B806">
        <v>3712.72</v>
      </c>
      <c r="C806">
        <v>3452.83</v>
      </c>
    </row>
    <row r="807" spans="1:3" x14ac:dyDescent="0.3">
      <c r="A807" s="3" t="s">
        <v>867</v>
      </c>
      <c r="B807">
        <v>1959.86</v>
      </c>
      <c r="C807">
        <v>1665.88</v>
      </c>
    </row>
    <row r="808" spans="1:3" x14ac:dyDescent="0.3">
      <c r="A808" s="3" t="s">
        <v>868</v>
      </c>
      <c r="B808">
        <v>2883</v>
      </c>
      <c r="C808">
        <v>2421.7199999999998</v>
      </c>
    </row>
    <row r="809" spans="1:3" x14ac:dyDescent="0.3">
      <c r="A809" s="3" t="s">
        <v>869</v>
      </c>
      <c r="B809">
        <v>1425.03</v>
      </c>
      <c r="C809">
        <v>1382.28</v>
      </c>
    </row>
    <row r="810" spans="1:3" x14ac:dyDescent="0.3">
      <c r="A810" s="3" t="s">
        <v>870</v>
      </c>
      <c r="B810">
        <v>458.66</v>
      </c>
      <c r="C810">
        <v>380.69</v>
      </c>
    </row>
    <row r="811" spans="1:3" x14ac:dyDescent="0.3">
      <c r="A811" s="3" t="s">
        <v>871</v>
      </c>
      <c r="B811">
        <v>1985.8500000000001</v>
      </c>
      <c r="C811">
        <v>1529.1</v>
      </c>
    </row>
    <row r="812" spans="1:3" x14ac:dyDescent="0.3">
      <c r="A812" s="3" t="s">
        <v>872</v>
      </c>
      <c r="B812">
        <v>3149</v>
      </c>
      <c r="C812">
        <v>2487.71</v>
      </c>
    </row>
    <row r="813" spans="1:3" x14ac:dyDescent="0.3">
      <c r="A813" s="3" t="s">
        <v>873</v>
      </c>
      <c r="B813">
        <v>18665.45</v>
      </c>
      <c r="C813">
        <v>17918.830000000002</v>
      </c>
    </row>
    <row r="814" spans="1:3" x14ac:dyDescent="0.3">
      <c r="A814" s="3" t="s">
        <v>874</v>
      </c>
      <c r="B814">
        <v>4474.17</v>
      </c>
      <c r="C814">
        <v>3892.53</v>
      </c>
    </row>
    <row r="815" spans="1:3" x14ac:dyDescent="0.3">
      <c r="A815" s="3" t="s">
        <v>875</v>
      </c>
      <c r="B815">
        <v>3031.21</v>
      </c>
      <c r="C815">
        <v>3000.9</v>
      </c>
    </row>
    <row r="816" spans="1:3" x14ac:dyDescent="0.3">
      <c r="A816" s="3" t="s">
        <v>876</v>
      </c>
      <c r="B816">
        <v>947.72</v>
      </c>
      <c r="C816">
        <v>947.72</v>
      </c>
    </row>
    <row r="817" spans="1:3" x14ac:dyDescent="0.3">
      <c r="A817" s="3" t="s">
        <v>877</v>
      </c>
      <c r="B817">
        <v>3138.25</v>
      </c>
      <c r="C817">
        <v>2887.19</v>
      </c>
    </row>
    <row r="818" spans="1:3" x14ac:dyDescent="0.3">
      <c r="A818" s="3" t="s">
        <v>878</v>
      </c>
      <c r="B818">
        <v>1237.68</v>
      </c>
      <c r="C818">
        <v>1138.67</v>
      </c>
    </row>
    <row r="819" spans="1:3" x14ac:dyDescent="0.3">
      <c r="A819" s="3" t="s">
        <v>879</v>
      </c>
      <c r="B819">
        <v>3324.01</v>
      </c>
      <c r="C819">
        <v>3091.33</v>
      </c>
    </row>
    <row r="820" spans="1:3" x14ac:dyDescent="0.3">
      <c r="A820" s="3" t="s">
        <v>880</v>
      </c>
      <c r="B820">
        <v>3591.4</v>
      </c>
      <c r="C820">
        <v>2873.12</v>
      </c>
    </row>
    <row r="821" spans="1:3" x14ac:dyDescent="0.3">
      <c r="A821" s="3" t="s">
        <v>881</v>
      </c>
      <c r="B821">
        <v>6426.46</v>
      </c>
      <c r="C821">
        <v>5012.6400000000003</v>
      </c>
    </row>
    <row r="822" spans="1:3" x14ac:dyDescent="0.3">
      <c r="A822" s="3" t="s">
        <v>882</v>
      </c>
      <c r="B822">
        <v>5133.5200000000004</v>
      </c>
      <c r="C822">
        <v>4209.49</v>
      </c>
    </row>
    <row r="823" spans="1:3" x14ac:dyDescent="0.3">
      <c r="A823" s="3" t="s">
        <v>883</v>
      </c>
      <c r="B823">
        <v>2445.0500000000002</v>
      </c>
      <c r="C823">
        <v>2371.6999999999998</v>
      </c>
    </row>
    <row r="824" spans="1:3" x14ac:dyDescent="0.3">
      <c r="A824" s="3" t="s">
        <v>884</v>
      </c>
      <c r="B824">
        <v>24719.5</v>
      </c>
      <c r="C824">
        <v>22000.35</v>
      </c>
    </row>
    <row r="825" spans="1:3" x14ac:dyDescent="0.3">
      <c r="A825" s="3" t="s">
        <v>885</v>
      </c>
      <c r="B825">
        <v>5338.11</v>
      </c>
      <c r="C825">
        <v>5071.2</v>
      </c>
    </row>
    <row r="826" spans="1:3" x14ac:dyDescent="0.3">
      <c r="A826" s="3" t="s">
        <v>886</v>
      </c>
      <c r="B826">
        <v>12743.72</v>
      </c>
      <c r="C826">
        <v>12488.85</v>
      </c>
    </row>
    <row r="827" spans="1:3" x14ac:dyDescent="0.3">
      <c r="A827" s="3" t="s">
        <v>887</v>
      </c>
      <c r="B827">
        <v>6007.78</v>
      </c>
      <c r="C827">
        <v>4746.1499999999996</v>
      </c>
    </row>
    <row r="828" spans="1:3" x14ac:dyDescent="0.3">
      <c r="A828" s="3" t="s">
        <v>888</v>
      </c>
      <c r="B828">
        <v>2600.2600000000002</v>
      </c>
      <c r="C828">
        <v>2496.25</v>
      </c>
    </row>
    <row r="829" spans="1:3" x14ac:dyDescent="0.3">
      <c r="A829" s="3" t="s">
        <v>889</v>
      </c>
      <c r="B829">
        <v>6154.2000000000007</v>
      </c>
      <c r="C829">
        <v>5908.03</v>
      </c>
    </row>
    <row r="830" spans="1:3" x14ac:dyDescent="0.3">
      <c r="A830" s="3" t="s">
        <v>890</v>
      </c>
      <c r="B830">
        <v>17139.240000000002</v>
      </c>
      <c r="C830">
        <v>13882.78</v>
      </c>
    </row>
    <row r="831" spans="1:3" x14ac:dyDescent="0.3">
      <c r="A831" s="3" t="s">
        <v>891</v>
      </c>
      <c r="B831">
        <v>5951.24</v>
      </c>
      <c r="C831">
        <v>5118.07</v>
      </c>
    </row>
    <row r="832" spans="1:3" x14ac:dyDescent="0.3">
      <c r="A832" s="3" t="s">
        <v>892</v>
      </c>
      <c r="B832">
        <v>4322.1099999999997</v>
      </c>
      <c r="C832">
        <v>3544.13</v>
      </c>
    </row>
    <row r="833" spans="1:3" x14ac:dyDescent="0.3">
      <c r="A833" s="3" t="s">
        <v>893</v>
      </c>
      <c r="B833">
        <v>9723.42</v>
      </c>
      <c r="C833">
        <v>8264.91</v>
      </c>
    </row>
    <row r="834" spans="1:3" x14ac:dyDescent="0.3">
      <c r="A834" s="3" t="s">
        <v>894</v>
      </c>
      <c r="B834">
        <v>19159.080000000002</v>
      </c>
      <c r="C834">
        <v>15518.85</v>
      </c>
    </row>
    <row r="835" spans="1:3" x14ac:dyDescent="0.3">
      <c r="A835" s="3" t="s">
        <v>895</v>
      </c>
      <c r="B835">
        <v>2575.06</v>
      </c>
      <c r="C835">
        <v>2549.31</v>
      </c>
    </row>
    <row r="836" spans="1:3" x14ac:dyDescent="0.3">
      <c r="A836" s="3" t="s">
        <v>896</v>
      </c>
      <c r="B836">
        <v>2692.02</v>
      </c>
      <c r="C836">
        <v>2288.2199999999998</v>
      </c>
    </row>
    <row r="837" spans="1:3" x14ac:dyDescent="0.3">
      <c r="A837" s="3" t="s">
        <v>897</v>
      </c>
      <c r="B837">
        <v>22793.75</v>
      </c>
      <c r="C837">
        <v>17779.12</v>
      </c>
    </row>
    <row r="838" spans="1:3" x14ac:dyDescent="0.3">
      <c r="A838" s="3" t="s">
        <v>898</v>
      </c>
      <c r="B838">
        <v>15148.28</v>
      </c>
      <c r="C838">
        <v>11664.18</v>
      </c>
    </row>
    <row r="839" spans="1:3" x14ac:dyDescent="0.3">
      <c r="A839" s="3" t="s">
        <v>899</v>
      </c>
      <c r="B839">
        <v>14100.56</v>
      </c>
      <c r="C839">
        <v>14100.56</v>
      </c>
    </row>
    <row r="840" spans="1:3" x14ac:dyDescent="0.3">
      <c r="A840" s="3" t="s">
        <v>900</v>
      </c>
      <c r="B840">
        <v>11075.73</v>
      </c>
      <c r="C840">
        <v>10632.7</v>
      </c>
    </row>
    <row r="841" spans="1:3" x14ac:dyDescent="0.3">
      <c r="A841" s="3" t="s">
        <v>901</v>
      </c>
      <c r="B841">
        <v>11515</v>
      </c>
      <c r="C841">
        <v>10939.25</v>
      </c>
    </row>
    <row r="842" spans="1:3" x14ac:dyDescent="0.3">
      <c r="A842" s="3" t="s">
        <v>902</v>
      </c>
      <c r="B842">
        <v>3175.2999999999997</v>
      </c>
      <c r="C842">
        <v>2667.25</v>
      </c>
    </row>
    <row r="843" spans="1:3" x14ac:dyDescent="0.3">
      <c r="A843" s="3" t="s">
        <v>903</v>
      </c>
      <c r="B843">
        <v>6252.1</v>
      </c>
      <c r="C843">
        <v>5501.85</v>
      </c>
    </row>
    <row r="844" spans="1:3" x14ac:dyDescent="0.3">
      <c r="A844" s="3" t="s">
        <v>904</v>
      </c>
      <c r="B844">
        <v>1940.76</v>
      </c>
      <c r="C844">
        <v>1688.46</v>
      </c>
    </row>
    <row r="845" spans="1:3" x14ac:dyDescent="0.3">
      <c r="A845" s="3" t="s">
        <v>905</v>
      </c>
      <c r="B845">
        <v>14991.84</v>
      </c>
      <c r="C845">
        <v>11993.47</v>
      </c>
    </row>
    <row r="846" spans="1:3" x14ac:dyDescent="0.3">
      <c r="A846" s="3" t="s">
        <v>906</v>
      </c>
      <c r="B846">
        <v>17462.599999999999</v>
      </c>
      <c r="C846">
        <v>15716.34</v>
      </c>
    </row>
    <row r="847" spans="1:3" x14ac:dyDescent="0.3">
      <c r="A847" s="3" t="s">
        <v>907</v>
      </c>
      <c r="B847">
        <v>17311.55</v>
      </c>
      <c r="C847">
        <v>13503.01</v>
      </c>
    </row>
    <row r="848" spans="1:3" x14ac:dyDescent="0.3">
      <c r="A848" s="3" t="s">
        <v>908</v>
      </c>
      <c r="B848">
        <v>10265.549999999999</v>
      </c>
      <c r="C848">
        <v>9649.6200000000008</v>
      </c>
    </row>
    <row r="849" spans="1:3" x14ac:dyDescent="0.3">
      <c r="A849" s="3" t="s">
        <v>909</v>
      </c>
      <c r="B849">
        <v>3697.96</v>
      </c>
      <c r="C849">
        <v>3439.1</v>
      </c>
    </row>
    <row r="850" spans="1:3" x14ac:dyDescent="0.3">
      <c r="A850" s="3" t="s">
        <v>910</v>
      </c>
      <c r="B850">
        <v>12535.619999999999</v>
      </c>
      <c r="C850">
        <v>9401.7199999999993</v>
      </c>
    </row>
    <row r="851" spans="1:3" x14ac:dyDescent="0.3">
      <c r="A851" s="3" t="s">
        <v>911</v>
      </c>
      <c r="B851">
        <v>1870.24</v>
      </c>
      <c r="C851">
        <v>1421.38</v>
      </c>
    </row>
    <row r="852" spans="1:3" x14ac:dyDescent="0.3">
      <c r="A852" s="3" t="s">
        <v>912</v>
      </c>
      <c r="B852">
        <v>7247.92</v>
      </c>
      <c r="C852">
        <v>6015.77</v>
      </c>
    </row>
    <row r="853" spans="1:3" x14ac:dyDescent="0.3">
      <c r="A853" s="3" t="s">
        <v>913</v>
      </c>
      <c r="B853">
        <v>19275.25</v>
      </c>
      <c r="C853">
        <v>16383.96</v>
      </c>
    </row>
    <row r="854" spans="1:3" x14ac:dyDescent="0.3">
      <c r="A854" s="3" t="s">
        <v>914</v>
      </c>
      <c r="B854">
        <v>1525.78</v>
      </c>
      <c r="C854">
        <v>1480.01</v>
      </c>
    </row>
    <row r="855" spans="1:3" x14ac:dyDescent="0.3">
      <c r="A855" s="3" t="s">
        <v>915</v>
      </c>
      <c r="B855">
        <v>18554.5</v>
      </c>
      <c r="C855">
        <v>17070.14</v>
      </c>
    </row>
    <row r="856" spans="1:3" x14ac:dyDescent="0.3">
      <c r="A856" s="3" t="s">
        <v>916</v>
      </c>
      <c r="B856">
        <v>14974</v>
      </c>
      <c r="C856">
        <v>14524.78</v>
      </c>
    </row>
    <row r="857" spans="1:3" x14ac:dyDescent="0.3">
      <c r="A857" s="3" t="s">
        <v>917</v>
      </c>
      <c r="B857">
        <v>7443.0999999999995</v>
      </c>
      <c r="C857">
        <v>6028.91</v>
      </c>
    </row>
    <row r="858" spans="1:3" x14ac:dyDescent="0.3">
      <c r="A858" s="3" t="s">
        <v>918</v>
      </c>
      <c r="B858">
        <v>5051.26</v>
      </c>
      <c r="C858">
        <v>4142.03</v>
      </c>
    </row>
    <row r="859" spans="1:3" x14ac:dyDescent="0.3">
      <c r="A859" s="3" t="s">
        <v>919</v>
      </c>
      <c r="B859">
        <v>4623.47</v>
      </c>
      <c r="C859">
        <v>3745.01</v>
      </c>
    </row>
    <row r="860" spans="1:3" x14ac:dyDescent="0.3">
      <c r="A860" s="3" t="s">
        <v>920</v>
      </c>
      <c r="B860">
        <v>13686.8</v>
      </c>
      <c r="C860">
        <v>10265.1</v>
      </c>
    </row>
    <row r="861" spans="1:3" x14ac:dyDescent="0.3">
      <c r="A861" s="3" t="s">
        <v>921</v>
      </c>
      <c r="B861">
        <v>741.41</v>
      </c>
      <c r="C861">
        <v>600.54</v>
      </c>
    </row>
    <row r="862" spans="1:3" x14ac:dyDescent="0.3">
      <c r="A862" s="3" t="s">
        <v>922</v>
      </c>
      <c r="B862">
        <v>14040.72</v>
      </c>
      <c r="C862">
        <v>13057.87</v>
      </c>
    </row>
    <row r="863" spans="1:3" x14ac:dyDescent="0.3">
      <c r="A863" s="3" t="s">
        <v>923</v>
      </c>
      <c r="B863">
        <v>3890.24</v>
      </c>
      <c r="C863">
        <v>2917.68</v>
      </c>
    </row>
    <row r="864" spans="1:3" x14ac:dyDescent="0.3">
      <c r="A864" s="3" t="s">
        <v>924</v>
      </c>
      <c r="B864">
        <v>4903.3599999999997</v>
      </c>
      <c r="C864">
        <v>4118.82</v>
      </c>
    </row>
    <row r="865" spans="1:3" x14ac:dyDescent="0.3">
      <c r="A865" s="3" t="s">
        <v>925</v>
      </c>
      <c r="B865">
        <v>9977.08</v>
      </c>
      <c r="C865">
        <v>8280.98</v>
      </c>
    </row>
    <row r="866" spans="1:3" x14ac:dyDescent="0.3">
      <c r="A866" s="3" t="s">
        <v>926</v>
      </c>
      <c r="B866">
        <v>7599.52</v>
      </c>
      <c r="C866">
        <v>7371.53</v>
      </c>
    </row>
    <row r="867" spans="1:3" x14ac:dyDescent="0.3">
      <c r="A867" s="3" t="s">
        <v>927</v>
      </c>
      <c r="B867">
        <v>12247.7</v>
      </c>
      <c r="C867">
        <v>10165.59</v>
      </c>
    </row>
    <row r="868" spans="1:3" x14ac:dyDescent="0.3">
      <c r="A868" s="3" t="s">
        <v>928</v>
      </c>
      <c r="B868">
        <v>1233.42</v>
      </c>
      <c r="C868">
        <v>949.73</v>
      </c>
    </row>
    <row r="869" spans="1:3" x14ac:dyDescent="0.3">
      <c r="A869" s="3" t="s">
        <v>929</v>
      </c>
      <c r="B869">
        <v>1653.08</v>
      </c>
      <c r="C869">
        <v>1305.93</v>
      </c>
    </row>
    <row r="870" spans="1:3" x14ac:dyDescent="0.3">
      <c r="A870" s="3" t="s">
        <v>930</v>
      </c>
      <c r="B870">
        <v>252.18</v>
      </c>
      <c r="C870">
        <v>224.44</v>
      </c>
    </row>
    <row r="871" spans="1:3" x14ac:dyDescent="0.3">
      <c r="A871" s="3" t="s">
        <v>931</v>
      </c>
      <c r="B871">
        <v>12816.329999999998</v>
      </c>
      <c r="C871">
        <v>12688.17</v>
      </c>
    </row>
    <row r="872" spans="1:3" x14ac:dyDescent="0.3">
      <c r="A872" s="3" t="s">
        <v>932</v>
      </c>
      <c r="B872">
        <v>978.62999999999988</v>
      </c>
      <c r="C872">
        <v>743.76</v>
      </c>
    </row>
    <row r="873" spans="1:3" x14ac:dyDescent="0.3">
      <c r="A873" s="3" t="s">
        <v>933</v>
      </c>
      <c r="B873">
        <v>13009.449999999999</v>
      </c>
      <c r="C873">
        <v>10797.84</v>
      </c>
    </row>
    <row r="874" spans="1:3" x14ac:dyDescent="0.3">
      <c r="A874" s="3" t="s">
        <v>934</v>
      </c>
      <c r="B874">
        <v>14025.75</v>
      </c>
      <c r="C874">
        <v>11921.89</v>
      </c>
    </row>
    <row r="875" spans="1:3" x14ac:dyDescent="0.3">
      <c r="A875" s="3" t="s">
        <v>935</v>
      </c>
      <c r="B875">
        <v>13135.48</v>
      </c>
      <c r="C875">
        <v>12610.06</v>
      </c>
    </row>
    <row r="876" spans="1:3" x14ac:dyDescent="0.3">
      <c r="A876" s="3" t="s">
        <v>936</v>
      </c>
      <c r="B876">
        <v>14931.78</v>
      </c>
      <c r="C876">
        <v>12393.38</v>
      </c>
    </row>
    <row r="877" spans="1:3" x14ac:dyDescent="0.3">
      <c r="A877" s="3" t="s">
        <v>937</v>
      </c>
      <c r="B877">
        <v>7827.28</v>
      </c>
      <c r="C877">
        <v>5948.73</v>
      </c>
    </row>
    <row r="878" spans="1:3" x14ac:dyDescent="0.3">
      <c r="A878" s="3" t="s">
        <v>938</v>
      </c>
      <c r="B878">
        <v>9710.61</v>
      </c>
      <c r="C878">
        <v>8836.66</v>
      </c>
    </row>
    <row r="879" spans="1:3" x14ac:dyDescent="0.3">
      <c r="A879" s="3" t="s">
        <v>939</v>
      </c>
      <c r="B879">
        <v>3910.6</v>
      </c>
      <c r="C879">
        <v>3793.28</v>
      </c>
    </row>
    <row r="880" spans="1:3" x14ac:dyDescent="0.3">
      <c r="A880" s="3" t="s">
        <v>940</v>
      </c>
      <c r="B880">
        <v>21702.25</v>
      </c>
      <c r="C880">
        <v>18663.939999999999</v>
      </c>
    </row>
    <row r="881" spans="1:3" x14ac:dyDescent="0.3">
      <c r="A881" s="3" t="s">
        <v>941</v>
      </c>
      <c r="B881">
        <v>14015.95</v>
      </c>
      <c r="C881">
        <v>10932.44</v>
      </c>
    </row>
    <row r="882" spans="1:3" x14ac:dyDescent="0.3">
      <c r="A882" s="3" t="s">
        <v>942</v>
      </c>
      <c r="B882">
        <v>1598.16</v>
      </c>
      <c r="C882">
        <v>1374.42</v>
      </c>
    </row>
    <row r="883" spans="1:3" x14ac:dyDescent="0.3">
      <c r="A883" s="3" t="s">
        <v>943</v>
      </c>
      <c r="B883">
        <v>3988.84</v>
      </c>
      <c r="C883">
        <v>2991.63</v>
      </c>
    </row>
    <row r="884" spans="1:3" x14ac:dyDescent="0.3">
      <c r="A884" s="3" t="s">
        <v>944</v>
      </c>
      <c r="B884">
        <v>15503.32</v>
      </c>
      <c r="C884">
        <v>12247.62</v>
      </c>
    </row>
    <row r="885" spans="1:3" x14ac:dyDescent="0.3">
      <c r="A885" s="3" t="s">
        <v>945</v>
      </c>
      <c r="B885">
        <v>3742.71</v>
      </c>
      <c r="C885">
        <v>3218.73</v>
      </c>
    </row>
    <row r="886" spans="1:3" x14ac:dyDescent="0.3">
      <c r="A886" s="3" t="s">
        <v>946</v>
      </c>
      <c r="B886">
        <v>17598.099999999999</v>
      </c>
      <c r="C886">
        <v>15838.29</v>
      </c>
    </row>
    <row r="887" spans="1:3" x14ac:dyDescent="0.3">
      <c r="A887" s="3" t="s">
        <v>947</v>
      </c>
      <c r="B887">
        <v>17259.900000000001</v>
      </c>
      <c r="C887">
        <v>17087.3</v>
      </c>
    </row>
    <row r="888" spans="1:3" x14ac:dyDescent="0.3">
      <c r="A888" s="3" t="s">
        <v>948</v>
      </c>
      <c r="B888">
        <v>5234.1000000000004</v>
      </c>
      <c r="C888">
        <v>3977.92</v>
      </c>
    </row>
    <row r="889" spans="1:3" x14ac:dyDescent="0.3">
      <c r="A889" s="3" t="s">
        <v>949</v>
      </c>
      <c r="B889">
        <v>1521.32</v>
      </c>
      <c r="C889">
        <v>1338.76</v>
      </c>
    </row>
    <row r="890" spans="1:3" x14ac:dyDescent="0.3">
      <c r="A890" s="3" t="s">
        <v>950</v>
      </c>
      <c r="B890">
        <v>20730.300000000003</v>
      </c>
      <c r="C890">
        <v>20523</v>
      </c>
    </row>
    <row r="891" spans="1:3" x14ac:dyDescent="0.3">
      <c r="A891" s="3" t="s">
        <v>951</v>
      </c>
      <c r="B891">
        <v>125.26</v>
      </c>
      <c r="C891">
        <v>97.7</v>
      </c>
    </row>
    <row r="892" spans="1:3" x14ac:dyDescent="0.3">
      <c r="A892" s="3" t="s">
        <v>952</v>
      </c>
      <c r="B892">
        <v>13100.8</v>
      </c>
      <c r="C892">
        <v>12576.77</v>
      </c>
    </row>
    <row r="893" spans="1:3" x14ac:dyDescent="0.3">
      <c r="A893" s="3" t="s">
        <v>953</v>
      </c>
      <c r="B893">
        <v>5658.09</v>
      </c>
      <c r="C893">
        <v>4413.3100000000004</v>
      </c>
    </row>
    <row r="894" spans="1:3" x14ac:dyDescent="0.3">
      <c r="A894" s="3" t="s">
        <v>954</v>
      </c>
      <c r="B894">
        <v>513.88</v>
      </c>
      <c r="C894">
        <v>400.83</v>
      </c>
    </row>
    <row r="895" spans="1:3" x14ac:dyDescent="0.3">
      <c r="A895" s="3" t="s">
        <v>955</v>
      </c>
      <c r="B895">
        <v>13544.670000000002</v>
      </c>
      <c r="C895">
        <v>13002.88</v>
      </c>
    </row>
    <row r="896" spans="1:3" x14ac:dyDescent="0.3">
      <c r="A896" s="3" t="s">
        <v>956</v>
      </c>
      <c r="B896">
        <v>16076.48</v>
      </c>
      <c r="C896">
        <v>13182.71</v>
      </c>
    </row>
    <row r="897" spans="1:3" x14ac:dyDescent="0.3">
      <c r="A897" s="3" t="s">
        <v>957</v>
      </c>
      <c r="B897">
        <v>1724.32</v>
      </c>
      <c r="C897">
        <v>1500.16</v>
      </c>
    </row>
    <row r="898" spans="1:3" x14ac:dyDescent="0.3">
      <c r="A898" s="3" t="s">
        <v>958</v>
      </c>
      <c r="B898">
        <v>6073.56</v>
      </c>
      <c r="C898">
        <v>5344.73</v>
      </c>
    </row>
    <row r="899" spans="1:3" x14ac:dyDescent="0.3">
      <c r="A899" s="3" t="s">
        <v>959</v>
      </c>
      <c r="B899">
        <v>14915.579999999998</v>
      </c>
      <c r="C899">
        <v>14020.65</v>
      </c>
    </row>
    <row r="900" spans="1:3" x14ac:dyDescent="0.3">
      <c r="A900" s="3" t="s">
        <v>960</v>
      </c>
      <c r="B900">
        <v>2447.96</v>
      </c>
      <c r="C900">
        <v>2374.52</v>
      </c>
    </row>
    <row r="901" spans="1:3" x14ac:dyDescent="0.3">
      <c r="A901" s="3" t="s">
        <v>961</v>
      </c>
      <c r="B901">
        <v>4335.32</v>
      </c>
      <c r="C901">
        <v>3901.79</v>
      </c>
    </row>
    <row r="902" spans="1:3" x14ac:dyDescent="0.3">
      <c r="A902" s="3" t="s">
        <v>962</v>
      </c>
      <c r="B902">
        <v>2598.33</v>
      </c>
      <c r="C902">
        <v>2182.6</v>
      </c>
    </row>
    <row r="903" spans="1:3" x14ac:dyDescent="0.3">
      <c r="A903" s="3" t="s">
        <v>963</v>
      </c>
      <c r="B903">
        <v>990.58</v>
      </c>
      <c r="C903">
        <v>990.58</v>
      </c>
    </row>
    <row r="904" spans="1:3" x14ac:dyDescent="0.3">
      <c r="A904" s="3" t="s">
        <v>964</v>
      </c>
      <c r="B904">
        <v>2672.18</v>
      </c>
      <c r="C904">
        <v>2351.52</v>
      </c>
    </row>
    <row r="905" spans="1:3" x14ac:dyDescent="0.3">
      <c r="A905" s="3" t="s">
        <v>965</v>
      </c>
      <c r="B905">
        <v>11221.11</v>
      </c>
      <c r="C905">
        <v>9537.94</v>
      </c>
    </row>
    <row r="906" spans="1:3" x14ac:dyDescent="0.3">
      <c r="A906" s="3" t="s">
        <v>966</v>
      </c>
      <c r="B906">
        <v>739.38</v>
      </c>
      <c r="C906">
        <v>598.9</v>
      </c>
    </row>
    <row r="907" spans="1:3" x14ac:dyDescent="0.3">
      <c r="A907" s="3" t="s">
        <v>967</v>
      </c>
      <c r="B907">
        <v>15665.75</v>
      </c>
      <c r="C907">
        <v>14412.49</v>
      </c>
    </row>
    <row r="908" spans="1:3" x14ac:dyDescent="0.3">
      <c r="A908" s="3" t="s">
        <v>968</v>
      </c>
      <c r="B908">
        <v>17934.3</v>
      </c>
      <c r="C908">
        <v>13988.75</v>
      </c>
    </row>
    <row r="909" spans="1:3" x14ac:dyDescent="0.3">
      <c r="A909" s="3" t="s">
        <v>969</v>
      </c>
      <c r="B909">
        <v>10665.76</v>
      </c>
      <c r="C909">
        <v>8105.98</v>
      </c>
    </row>
    <row r="910" spans="1:3" x14ac:dyDescent="0.3">
      <c r="A910" s="3" t="s">
        <v>970</v>
      </c>
      <c r="B910">
        <v>7459</v>
      </c>
      <c r="C910">
        <v>6713.1</v>
      </c>
    </row>
    <row r="911" spans="1:3" x14ac:dyDescent="0.3">
      <c r="A911" s="3" t="s">
        <v>971</v>
      </c>
      <c r="B911">
        <v>7151.5999999999995</v>
      </c>
      <c r="C911">
        <v>6794.02</v>
      </c>
    </row>
    <row r="912" spans="1:3" x14ac:dyDescent="0.3">
      <c r="A912" s="3" t="s">
        <v>972</v>
      </c>
      <c r="B912">
        <v>12831.39</v>
      </c>
      <c r="C912">
        <v>11933.19</v>
      </c>
    </row>
    <row r="913" spans="1:3" x14ac:dyDescent="0.3">
      <c r="A913" s="3" t="s">
        <v>973</v>
      </c>
      <c r="B913">
        <v>9432.06</v>
      </c>
      <c r="C913">
        <v>8771.82</v>
      </c>
    </row>
    <row r="914" spans="1:3" x14ac:dyDescent="0.3">
      <c r="A914" s="3" t="s">
        <v>974</v>
      </c>
      <c r="B914">
        <v>3278.36</v>
      </c>
      <c r="C914">
        <v>2753.82</v>
      </c>
    </row>
    <row r="915" spans="1:3" x14ac:dyDescent="0.3">
      <c r="A915" s="3" t="s">
        <v>975</v>
      </c>
      <c r="B915">
        <v>5072.13</v>
      </c>
      <c r="C915">
        <v>5021.41</v>
      </c>
    </row>
    <row r="916" spans="1:3" x14ac:dyDescent="0.3">
      <c r="A916" s="3" t="s">
        <v>976</v>
      </c>
      <c r="B916">
        <v>3107.8500000000004</v>
      </c>
      <c r="C916">
        <v>2517.36</v>
      </c>
    </row>
    <row r="917" spans="1:3" x14ac:dyDescent="0.3">
      <c r="A917" s="3" t="s">
        <v>977</v>
      </c>
      <c r="B917">
        <v>3297.6000000000004</v>
      </c>
      <c r="C917">
        <v>2769.98</v>
      </c>
    </row>
    <row r="918" spans="1:3" x14ac:dyDescent="0.3">
      <c r="A918" s="3" t="s">
        <v>978</v>
      </c>
      <c r="B918">
        <v>3957.68</v>
      </c>
      <c r="C918">
        <v>3759.8</v>
      </c>
    </row>
    <row r="919" spans="1:3" x14ac:dyDescent="0.3">
      <c r="A919" s="3" t="s">
        <v>979</v>
      </c>
      <c r="B919">
        <v>8211.5</v>
      </c>
      <c r="C919">
        <v>6815.55</v>
      </c>
    </row>
    <row r="920" spans="1:3" x14ac:dyDescent="0.3">
      <c r="A920" s="3" t="s">
        <v>980</v>
      </c>
      <c r="B920">
        <v>3863.65</v>
      </c>
      <c r="C920">
        <v>3129.56</v>
      </c>
    </row>
    <row r="921" spans="1:3" x14ac:dyDescent="0.3">
      <c r="A921" s="3" t="s">
        <v>981</v>
      </c>
      <c r="B921">
        <v>7747.16</v>
      </c>
      <c r="C921">
        <v>7204.86</v>
      </c>
    </row>
    <row r="922" spans="1:3" x14ac:dyDescent="0.3">
      <c r="A922" s="3" t="s">
        <v>982</v>
      </c>
      <c r="B922">
        <v>1091.3800000000001</v>
      </c>
      <c r="C922">
        <v>960.41</v>
      </c>
    </row>
    <row r="923" spans="1:3" x14ac:dyDescent="0.3">
      <c r="A923" s="3" t="s">
        <v>983</v>
      </c>
      <c r="B923">
        <v>2763.28</v>
      </c>
      <c r="C923">
        <v>2569.85</v>
      </c>
    </row>
    <row r="924" spans="1:3" x14ac:dyDescent="0.3">
      <c r="A924" s="3" t="s">
        <v>984</v>
      </c>
      <c r="B924">
        <v>22218.2</v>
      </c>
      <c r="C924">
        <v>19996.38</v>
      </c>
    </row>
    <row r="925" spans="1:3" x14ac:dyDescent="0.3">
      <c r="A925" s="3" t="s">
        <v>985</v>
      </c>
      <c r="B925">
        <v>3620.49</v>
      </c>
      <c r="C925">
        <v>2823.98</v>
      </c>
    </row>
    <row r="926" spans="1:3" x14ac:dyDescent="0.3">
      <c r="A926" s="3" t="s">
        <v>986</v>
      </c>
      <c r="B926">
        <v>3116.91</v>
      </c>
      <c r="C926">
        <v>3023.4</v>
      </c>
    </row>
    <row r="927" spans="1:3" x14ac:dyDescent="0.3">
      <c r="A927" s="3" t="s">
        <v>987</v>
      </c>
      <c r="B927">
        <v>6858.44</v>
      </c>
      <c r="C927">
        <v>6584.1</v>
      </c>
    </row>
    <row r="928" spans="1:3" x14ac:dyDescent="0.3">
      <c r="A928" s="3" t="s">
        <v>988</v>
      </c>
      <c r="B928">
        <v>14013.36</v>
      </c>
      <c r="C928">
        <v>11210.69</v>
      </c>
    </row>
    <row r="929" spans="1:3" x14ac:dyDescent="0.3">
      <c r="A929" s="3" t="s">
        <v>989</v>
      </c>
      <c r="B929">
        <v>14538.32</v>
      </c>
      <c r="C929">
        <v>11630.66</v>
      </c>
    </row>
    <row r="930" spans="1:3" x14ac:dyDescent="0.3">
      <c r="A930" s="3" t="s">
        <v>990</v>
      </c>
      <c r="B930">
        <v>1982.34</v>
      </c>
      <c r="C930">
        <v>1784.11</v>
      </c>
    </row>
    <row r="931" spans="1:3" x14ac:dyDescent="0.3">
      <c r="A931" s="3" t="s">
        <v>991</v>
      </c>
      <c r="B931">
        <v>11167.04</v>
      </c>
      <c r="C931">
        <v>9715.32</v>
      </c>
    </row>
    <row r="932" spans="1:3" x14ac:dyDescent="0.3">
      <c r="A932" s="3" t="s">
        <v>992</v>
      </c>
      <c r="B932">
        <v>7090.32</v>
      </c>
      <c r="C932">
        <v>6664.9</v>
      </c>
    </row>
    <row r="933" spans="1:3" x14ac:dyDescent="0.3">
      <c r="A933" s="3" t="s">
        <v>993</v>
      </c>
      <c r="B933">
        <v>391.93</v>
      </c>
      <c r="C933">
        <v>356.66</v>
      </c>
    </row>
    <row r="934" spans="1:3" x14ac:dyDescent="0.3">
      <c r="A934" s="3" t="s">
        <v>994</v>
      </c>
      <c r="B934">
        <v>3760.28</v>
      </c>
      <c r="C934">
        <v>3647.47</v>
      </c>
    </row>
    <row r="935" spans="1:3" x14ac:dyDescent="0.3">
      <c r="A935" s="3" t="s">
        <v>995</v>
      </c>
      <c r="B935">
        <v>3347.46</v>
      </c>
      <c r="C935">
        <v>3280.51</v>
      </c>
    </row>
    <row r="936" spans="1:3" x14ac:dyDescent="0.3">
      <c r="A936" s="3" t="s">
        <v>996</v>
      </c>
      <c r="B936">
        <v>2889</v>
      </c>
      <c r="C936">
        <v>2311.1999999999998</v>
      </c>
    </row>
    <row r="937" spans="1:3" x14ac:dyDescent="0.3">
      <c r="A937" s="3" t="s">
        <v>997</v>
      </c>
      <c r="B937">
        <v>6826.41</v>
      </c>
      <c r="C937">
        <v>5734.18</v>
      </c>
    </row>
    <row r="938" spans="1:3" x14ac:dyDescent="0.3">
      <c r="A938" s="3" t="s">
        <v>998</v>
      </c>
      <c r="B938">
        <v>306.5</v>
      </c>
      <c r="C938">
        <v>242.14</v>
      </c>
    </row>
    <row r="939" spans="1:3" x14ac:dyDescent="0.3">
      <c r="A939" s="3" t="s">
        <v>999</v>
      </c>
      <c r="B939">
        <v>14604.900000000001</v>
      </c>
      <c r="C939">
        <v>12706.26</v>
      </c>
    </row>
    <row r="940" spans="1:3" x14ac:dyDescent="0.3">
      <c r="A940" s="3" t="s">
        <v>1000</v>
      </c>
      <c r="B940">
        <v>15324.55</v>
      </c>
      <c r="C940">
        <v>15018.06</v>
      </c>
    </row>
    <row r="941" spans="1:3" x14ac:dyDescent="0.3">
      <c r="A941" s="3" t="s">
        <v>1001</v>
      </c>
      <c r="B941">
        <v>4216.72</v>
      </c>
      <c r="C941">
        <v>4090.22</v>
      </c>
    </row>
    <row r="942" spans="1:3" x14ac:dyDescent="0.3">
      <c r="A942" s="3" t="s">
        <v>1002</v>
      </c>
      <c r="B942">
        <v>3108.3999999999996</v>
      </c>
      <c r="C942">
        <v>2952.98</v>
      </c>
    </row>
    <row r="943" spans="1:3" x14ac:dyDescent="0.3">
      <c r="A943" s="3" t="s">
        <v>1003</v>
      </c>
      <c r="B943">
        <v>14337.5</v>
      </c>
      <c r="C943">
        <v>12330.25</v>
      </c>
    </row>
    <row r="944" spans="1:3" x14ac:dyDescent="0.3">
      <c r="A944" s="3" t="s">
        <v>1004</v>
      </c>
      <c r="B944">
        <v>10204.24</v>
      </c>
      <c r="C944">
        <v>9387.9</v>
      </c>
    </row>
    <row r="945" spans="1:3" x14ac:dyDescent="0.3">
      <c r="A945" s="3" t="s">
        <v>1005</v>
      </c>
      <c r="B945">
        <v>20283.599999999999</v>
      </c>
      <c r="C945">
        <v>19472.259999999998</v>
      </c>
    </row>
    <row r="946" spans="1:3" x14ac:dyDescent="0.3">
      <c r="A946" s="3" t="s">
        <v>1006</v>
      </c>
      <c r="B946">
        <v>1943.56</v>
      </c>
      <c r="C946">
        <v>1632.59</v>
      </c>
    </row>
    <row r="947" spans="1:3" x14ac:dyDescent="0.3">
      <c r="A947" s="3" t="s">
        <v>1007</v>
      </c>
      <c r="B947">
        <v>16459.2</v>
      </c>
      <c r="C947">
        <v>12673.58</v>
      </c>
    </row>
    <row r="948" spans="1:3" x14ac:dyDescent="0.3">
      <c r="A948" s="3" t="s">
        <v>1008</v>
      </c>
      <c r="B948">
        <v>4464.33</v>
      </c>
      <c r="C948">
        <v>3616.11</v>
      </c>
    </row>
    <row r="949" spans="1:3" x14ac:dyDescent="0.3">
      <c r="A949" s="3" t="s">
        <v>1009</v>
      </c>
      <c r="B949">
        <v>2309.16</v>
      </c>
      <c r="C949">
        <v>2309.16</v>
      </c>
    </row>
    <row r="950" spans="1:3" x14ac:dyDescent="0.3">
      <c r="A950" s="3" t="s">
        <v>1010</v>
      </c>
      <c r="B950">
        <v>1472.57</v>
      </c>
      <c r="C950">
        <v>1340.04</v>
      </c>
    </row>
    <row r="951" spans="1:3" x14ac:dyDescent="0.3">
      <c r="A951" s="3" t="s">
        <v>1011</v>
      </c>
      <c r="B951">
        <v>9410.32</v>
      </c>
      <c r="C951">
        <v>7151.84</v>
      </c>
    </row>
    <row r="952" spans="1:3" x14ac:dyDescent="0.3">
      <c r="A952" s="3" t="s">
        <v>1012</v>
      </c>
      <c r="B952">
        <v>4520.12</v>
      </c>
      <c r="C952">
        <v>3932.5</v>
      </c>
    </row>
    <row r="953" spans="1:3" x14ac:dyDescent="0.3">
      <c r="A953" s="3" t="s">
        <v>1013</v>
      </c>
      <c r="B953">
        <v>3731.11</v>
      </c>
      <c r="C953">
        <v>3507.24</v>
      </c>
    </row>
    <row r="954" spans="1:3" x14ac:dyDescent="0.3">
      <c r="A954" s="3" t="s">
        <v>1014</v>
      </c>
      <c r="B954">
        <v>17135.04</v>
      </c>
      <c r="C954">
        <v>16106.94</v>
      </c>
    </row>
    <row r="955" spans="1:3" x14ac:dyDescent="0.3">
      <c r="A955" s="3" t="s">
        <v>1015</v>
      </c>
      <c r="B955">
        <v>4595.5600000000004</v>
      </c>
      <c r="C955">
        <v>3538.58</v>
      </c>
    </row>
    <row r="956" spans="1:3" x14ac:dyDescent="0.3">
      <c r="A956" s="3" t="s">
        <v>1016</v>
      </c>
      <c r="B956">
        <v>7082.46</v>
      </c>
      <c r="C956">
        <v>6232.56</v>
      </c>
    </row>
    <row r="957" spans="1:3" x14ac:dyDescent="0.3">
      <c r="A957" s="3" t="s">
        <v>1017</v>
      </c>
      <c r="B957">
        <v>1267.3999999999999</v>
      </c>
      <c r="C957">
        <v>1077.29</v>
      </c>
    </row>
    <row r="958" spans="1:3" x14ac:dyDescent="0.3">
      <c r="A958" s="3" t="s">
        <v>1018</v>
      </c>
      <c r="B958">
        <v>8706.6</v>
      </c>
      <c r="C958">
        <v>6617.02</v>
      </c>
    </row>
    <row r="959" spans="1:3" x14ac:dyDescent="0.3">
      <c r="A959" s="3" t="s">
        <v>1019</v>
      </c>
      <c r="B959">
        <v>2001.48</v>
      </c>
      <c r="C959">
        <v>1561.15</v>
      </c>
    </row>
    <row r="960" spans="1:3" x14ac:dyDescent="0.3">
      <c r="A960" s="3" t="s">
        <v>1020</v>
      </c>
      <c r="B960">
        <v>14461.47</v>
      </c>
      <c r="C960">
        <v>13449.17</v>
      </c>
    </row>
    <row r="961" spans="1:3" x14ac:dyDescent="0.3">
      <c r="A961" s="3" t="s">
        <v>1021</v>
      </c>
      <c r="B961">
        <v>7351.96</v>
      </c>
      <c r="C961">
        <v>6102.13</v>
      </c>
    </row>
    <row r="962" spans="1:3" x14ac:dyDescent="0.3">
      <c r="A962" s="3" t="s">
        <v>1022</v>
      </c>
      <c r="B962">
        <v>3372.58</v>
      </c>
      <c r="C962">
        <v>2529.4299999999998</v>
      </c>
    </row>
    <row r="963" spans="1:3" x14ac:dyDescent="0.3">
      <c r="A963" s="3" t="s">
        <v>1023</v>
      </c>
      <c r="B963">
        <v>5550.92</v>
      </c>
      <c r="C963">
        <v>4551.75</v>
      </c>
    </row>
    <row r="964" spans="1:3" x14ac:dyDescent="0.3">
      <c r="A964" s="3" t="s">
        <v>1024</v>
      </c>
      <c r="B964">
        <v>4317.72</v>
      </c>
      <c r="C964">
        <v>3713.24</v>
      </c>
    </row>
    <row r="965" spans="1:3" x14ac:dyDescent="0.3">
      <c r="A965" s="3" t="s">
        <v>1025</v>
      </c>
      <c r="B965">
        <v>538.02</v>
      </c>
      <c r="C965">
        <v>419.66</v>
      </c>
    </row>
    <row r="966" spans="1:3" x14ac:dyDescent="0.3">
      <c r="A966" s="3" t="s">
        <v>1026</v>
      </c>
      <c r="B966">
        <v>10933.3</v>
      </c>
      <c r="C966">
        <v>8309.31</v>
      </c>
    </row>
    <row r="967" spans="1:3" x14ac:dyDescent="0.3">
      <c r="A967" s="3" t="s">
        <v>1027</v>
      </c>
      <c r="B967">
        <v>4485.1000000000004</v>
      </c>
      <c r="C967">
        <v>3991.74</v>
      </c>
    </row>
    <row r="968" spans="1:3" x14ac:dyDescent="0.3">
      <c r="A968" s="3" t="s">
        <v>1028</v>
      </c>
      <c r="B968">
        <v>3119.68</v>
      </c>
      <c r="C968">
        <v>2807.71</v>
      </c>
    </row>
    <row r="969" spans="1:3" x14ac:dyDescent="0.3">
      <c r="A969" s="3" t="s">
        <v>1029</v>
      </c>
      <c r="B969">
        <v>7813.42</v>
      </c>
      <c r="C969">
        <v>6719.54</v>
      </c>
    </row>
    <row r="970" spans="1:3" x14ac:dyDescent="0.3">
      <c r="A970" s="3" t="s">
        <v>1030</v>
      </c>
      <c r="B970">
        <v>549.08000000000004</v>
      </c>
      <c r="C970">
        <v>499.66</v>
      </c>
    </row>
    <row r="971" spans="1:3" x14ac:dyDescent="0.3">
      <c r="A971" s="3" t="s">
        <v>1031</v>
      </c>
      <c r="B971">
        <v>1040.44</v>
      </c>
      <c r="C971">
        <v>1030.04</v>
      </c>
    </row>
    <row r="972" spans="1:3" x14ac:dyDescent="0.3">
      <c r="A972" s="3" t="s">
        <v>1032</v>
      </c>
      <c r="B972">
        <v>6239.42</v>
      </c>
      <c r="C972">
        <v>5615.48</v>
      </c>
    </row>
    <row r="973" spans="1:3" x14ac:dyDescent="0.3">
      <c r="A973" s="3" t="s">
        <v>1033</v>
      </c>
      <c r="B973">
        <v>4486.54</v>
      </c>
      <c r="C973">
        <v>4396.8100000000004</v>
      </c>
    </row>
    <row r="974" spans="1:3" x14ac:dyDescent="0.3">
      <c r="A974" s="3" t="s">
        <v>1034</v>
      </c>
      <c r="B974">
        <v>1113.9000000000001</v>
      </c>
      <c r="C974">
        <v>1102.76</v>
      </c>
    </row>
    <row r="975" spans="1:3" x14ac:dyDescent="0.3">
      <c r="A975" s="3" t="s">
        <v>1035</v>
      </c>
      <c r="B975">
        <v>9837.4599999999991</v>
      </c>
      <c r="C975">
        <v>8263.4699999999993</v>
      </c>
    </row>
    <row r="976" spans="1:3" x14ac:dyDescent="0.3">
      <c r="A976" s="3" t="s">
        <v>1036</v>
      </c>
      <c r="B976">
        <v>15499.68</v>
      </c>
      <c r="C976">
        <v>13019.73</v>
      </c>
    </row>
    <row r="977" spans="1:3" x14ac:dyDescent="0.3">
      <c r="A977" s="3" t="s">
        <v>1037</v>
      </c>
      <c r="B977">
        <v>624.67999999999995</v>
      </c>
      <c r="C977">
        <v>580.95000000000005</v>
      </c>
    </row>
    <row r="978" spans="1:3" x14ac:dyDescent="0.3">
      <c r="A978" s="3" t="s">
        <v>1038</v>
      </c>
      <c r="B978">
        <v>2127.35</v>
      </c>
      <c r="C978">
        <v>1872.07</v>
      </c>
    </row>
    <row r="979" spans="1:3" x14ac:dyDescent="0.3">
      <c r="A979" s="3" t="s">
        <v>1039</v>
      </c>
      <c r="B979">
        <v>3127.8</v>
      </c>
      <c r="C979">
        <v>2408.41</v>
      </c>
    </row>
    <row r="980" spans="1:3" x14ac:dyDescent="0.3">
      <c r="A980" s="3" t="s">
        <v>1040</v>
      </c>
      <c r="B980">
        <v>622.84999999999991</v>
      </c>
      <c r="C980">
        <v>541.88</v>
      </c>
    </row>
    <row r="981" spans="1:3" x14ac:dyDescent="0.3">
      <c r="A981" s="3" t="s">
        <v>1041</v>
      </c>
      <c r="B981">
        <v>8695.36</v>
      </c>
      <c r="C981">
        <v>8434.5</v>
      </c>
    </row>
    <row r="982" spans="1:3" x14ac:dyDescent="0.3">
      <c r="A982" s="3" t="s">
        <v>1042</v>
      </c>
      <c r="B982">
        <v>4305.04</v>
      </c>
      <c r="C982">
        <v>4218.9399999999996</v>
      </c>
    </row>
    <row r="983" spans="1:3" x14ac:dyDescent="0.3">
      <c r="A983" s="3" t="s">
        <v>1043</v>
      </c>
      <c r="B983">
        <v>2842.5</v>
      </c>
      <c r="C983">
        <v>2359.2800000000002</v>
      </c>
    </row>
    <row r="984" spans="1:3" x14ac:dyDescent="0.3">
      <c r="A984" s="3" t="s">
        <v>1044</v>
      </c>
      <c r="B984">
        <v>8896.0400000000009</v>
      </c>
      <c r="C984">
        <v>7917.48</v>
      </c>
    </row>
    <row r="985" spans="1:3" x14ac:dyDescent="0.3">
      <c r="A985" s="3" t="s">
        <v>1045</v>
      </c>
      <c r="B985">
        <v>5758</v>
      </c>
      <c r="C985">
        <v>5239.78</v>
      </c>
    </row>
    <row r="986" spans="1:3" x14ac:dyDescent="0.3">
      <c r="A986" s="3" t="s">
        <v>1046</v>
      </c>
      <c r="B986">
        <v>20753.800000000003</v>
      </c>
      <c r="C986">
        <v>17433.189999999999</v>
      </c>
    </row>
    <row r="987" spans="1:3" x14ac:dyDescent="0.3">
      <c r="A987" s="3" t="s">
        <v>1047</v>
      </c>
      <c r="B987">
        <v>3906.18</v>
      </c>
      <c r="C987">
        <v>3710.87</v>
      </c>
    </row>
    <row r="988" spans="1:3" x14ac:dyDescent="0.3">
      <c r="A988" s="3" t="s">
        <v>1048</v>
      </c>
      <c r="B988">
        <v>3612.33</v>
      </c>
      <c r="C988">
        <v>3431.71</v>
      </c>
    </row>
    <row r="989" spans="1:3" x14ac:dyDescent="0.3">
      <c r="A989" s="3" t="s">
        <v>1049</v>
      </c>
      <c r="B989">
        <v>5367.18</v>
      </c>
      <c r="C989">
        <v>5206.16</v>
      </c>
    </row>
    <row r="990" spans="1:3" x14ac:dyDescent="0.3">
      <c r="A990" s="3" t="s">
        <v>1050</v>
      </c>
      <c r="B990">
        <v>686.66</v>
      </c>
      <c r="C990">
        <v>604.26</v>
      </c>
    </row>
    <row r="991" spans="1:3" x14ac:dyDescent="0.3">
      <c r="A991" s="3" t="s">
        <v>1051</v>
      </c>
      <c r="B991">
        <v>9880</v>
      </c>
      <c r="C991">
        <v>8496.7999999999993</v>
      </c>
    </row>
    <row r="992" spans="1:3" x14ac:dyDescent="0.3">
      <c r="A992" s="3" t="s">
        <v>1052</v>
      </c>
      <c r="B992">
        <v>1125.3599999999999</v>
      </c>
      <c r="C992">
        <v>979.06</v>
      </c>
    </row>
    <row r="993" spans="1:3" x14ac:dyDescent="0.3">
      <c r="A993" s="3" t="s">
        <v>1053</v>
      </c>
      <c r="B993">
        <v>4337.7000000000007</v>
      </c>
      <c r="C993">
        <v>3513.54</v>
      </c>
    </row>
    <row r="994" spans="1:3" x14ac:dyDescent="0.3">
      <c r="A994" s="3" t="s">
        <v>1054</v>
      </c>
      <c r="B994">
        <v>10537.92</v>
      </c>
      <c r="C994">
        <v>9378.75</v>
      </c>
    </row>
    <row r="995" spans="1:3" x14ac:dyDescent="0.3">
      <c r="A995" s="3" t="s">
        <v>1055</v>
      </c>
      <c r="B995">
        <v>779.8</v>
      </c>
      <c r="C995">
        <v>584.85</v>
      </c>
    </row>
    <row r="996" spans="1:3" x14ac:dyDescent="0.3">
      <c r="A996" s="3" t="s">
        <v>1056</v>
      </c>
      <c r="B996">
        <v>1372.47</v>
      </c>
      <c r="C996">
        <v>1097.98</v>
      </c>
    </row>
    <row r="997" spans="1:3" x14ac:dyDescent="0.3">
      <c r="A997" s="3" t="s">
        <v>1057</v>
      </c>
      <c r="B997">
        <v>10570.380000000001</v>
      </c>
      <c r="C997">
        <v>8139.19</v>
      </c>
    </row>
    <row r="998" spans="1:3" x14ac:dyDescent="0.3">
      <c r="A998" s="3" t="s">
        <v>1058</v>
      </c>
      <c r="B998">
        <v>13497.4</v>
      </c>
      <c r="C998">
        <v>11742.74</v>
      </c>
    </row>
    <row r="999" spans="1:3" x14ac:dyDescent="0.3">
      <c r="A999" s="3" t="s">
        <v>1059</v>
      </c>
      <c r="B999">
        <v>11563.17</v>
      </c>
      <c r="C999">
        <v>9481.7999999999993</v>
      </c>
    </row>
    <row r="1000" spans="1:3" x14ac:dyDescent="0.3">
      <c r="A1000" s="3" t="s">
        <v>1060</v>
      </c>
      <c r="B1000">
        <v>328.66</v>
      </c>
      <c r="C1000">
        <v>312.23</v>
      </c>
    </row>
    <row r="1001" spans="1:3" x14ac:dyDescent="0.3">
      <c r="A1001" s="3" t="s">
        <v>1061</v>
      </c>
      <c r="B1001">
        <v>11479.17</v>
      </c>
      <c r="C1001">
        <v>10560.84</v>
      </c>
    </row>
    <row r="1002" spans="1:3" x14ac:dyDescent="0.3">
      <c r="A1002" s="3" t="s">
        <v>1062</v>
      </c>
      <c r="B1002">
        <v>17410.04</v>
      </c>
      <c r="C1002">
        <v>15146.73</v>
      </c>
    </row>
    <row r="1003" spans="1:3" x14ac:dyDescent="0.3">
      <c r="A1003" s="3" t="s">
        <v>1063</v>
      </c>
      <c r="B1003">
        <v>821.72</v>
      </c>
      <c r="C1003">
        <v>640.94000000000005</v>
      </c>
    </row>
    <row r="1004" spans="1:3" x14ac:dyDescent="0.3">
      <c r="A1004" s="3" t="s">
        <v>1064</v>
      </c>
      <c r="B1004">
        <v>11589.7</v>
      </c>
      <c r="C1004">
        <v>10778.42</v>
      </c>
    </row>
    <row r="1005" spans="1:3" x14ac:dyDescent="0.3">
      <c r="A1005" s="3" t="s">
        <v>1065</v>
      </c>
      <c r="B1005">
        <v>8676.6</v>
      </c>
      <c r="C1005">
        <v>7722.17</v>
      </c>
    </row>
    <row r="1006" spans="1:3" x14ac:dyDescent="0.3">
      <c r="A1006" s="3" t="s">
        <v>1066</v>
      </c>
      <c r="B1006">
        <v>3862.24</v>
      </c>
      <c r="C1006">
        <v>3591.88</v>
      </c>
    </row>
    <row r="1007" spans="1:3" x14ac:dyDescent="0.3">
      <c r="A1007" s="3" t="s">
        <v>1067</v>
      </c>
      <c r="B1007">
        <v>360.38</v>
      </c>
      <c r="C1007">
        <v>356.78</v>
      </c>
    </row>
    <row r="1008" spans="1:3" x14ac:dyDescent="0.3">
      <c r="A1008" s="3" t="s">
        <v>1068</v>
      </c>
      <c r="B1008">
        <v>8081.4</v>
      </c>
      <c r="C1008">
        <v>7838.96</v>
      </c>
    </row>
    <row r="1009" spans="1:3" x14ac:dyDescent="0.3">
      <c r="A1009" s="3" t="s">
        <v>1069</v>
      </c>
      <c r="B1009">
        <v>7555.5</v>
      </c>
      <c r="C1009">
        <v>7555.5</v>
      </c>
    </row>
    <row r="1010" spans="1:3" x14ac:dyDescent="0.3">
      <c r="A1010" s="3" t="s">
        <v>1070</v>
      </c>
      <c r="B1010">
        <v>3455.12</v>
      </c>
      <c r="C1010">
        <v>3075.06</v>
      </c>
    </row>
    <row r="1011" spans="1:3" x14ac:dyDescent="0.3">
      <c r="A1011" s="3" t="s">
        <v>1071</v>
      </c>
      <c r="B1011">
        <v>3010.63</v>
      </c>
      <c r="C1011">
        <v>2288.08</v>
      </c>
    </row>
    <row r="1012" spans="1:3" x14ac:dyDescent="0.3">
      <c r="A1012" s="3" t="s">
        <v>1072</v>
      </c>
      <c r="B1012">
        <v>17161.150000000001</v>
      </c>
      <c r="C1012">
        <v>15959.87</v>
      </c>
    </row>
    <row r="1013" spans="1:3" x14ac:dyDescent="0.3">
      <c r="A1013" s="3" t="s">
        <v>1073</v>
      </c>
      <c r="B1013">
        <v>14802.36</v>
      </c>
      <c r="C1013">
        <v>11101.77</v>
      </c>
    </row>
    <row r="1014" spans="1:3" x14ac:dyDescent="0.3">
      <c r="A1014" s="3" t="s">
        <v>1074</v>
      </c>
      <c r="B1014">
        <v>13403.16</v>
      </c>
      <c r="C1014">
        <v>10856.56</v>
      </c>
    </row>
    <row r="1015" spans="1:3" x14ac:dyDescent="0.3">
      <c r="A1015" s="3" t="s">
        <v>1075</v>
      </c>
      <c r="B1015">
        <v>3700.5</v>
      </c>
      <c r="C1015">
        <v>3663.49</v>
      </c>
    </row>
    <row r="1016" spans="1:3" x14ac:dyDescent="0.3">
      <c r="A1016" s="3" t="s">
        <v>1076</v>
      </c>
      <c r="B1016">
        <v>22530.9</v>
      </c>
      <c r="C1016">
        <v>20052.5</v>
      </c>
    </row>
    <row r="1017" spans="1:3" x14ac:dyDescent="0.3">
      <c r="A1017" s="3" t="s">
        <v>1077</v>
      </c>
      <c r="B1017">
        <v>4847.04</v>
      </c>
      <c r="C1017">
        <v>4798.57</v>
      </c>
    </row>
    <row r="1018" spans="1:3" x14ac:dyDescent="0.3">
      <c r="A1018" s="3" t="s">
        <v>1078</v>
      </c>
      <c r="B1018">
        <v>1919.79</v>
      </c>
      <c r="C1018">
        <v>1919.79</v>
      </c>
    </row>
    <row r="1019" spans="1:3" x14ac:dyDescent="0.3">
      <c r="A1019" s="3" t="s">
        <v>1079</v>
      </c>
      <c r="B1019">
        <v>3175.72</v>
      </c>
      <c r="C1019">
        <v>2953.42</v>
      </c>
    </row>
    <row r="1020" spans="1:3" x14ac:dyDescent="0.3">
      <c r="A1020" s="3" t="s">
        <v>1080</v>
      </c>
      <c r="B1020">
        <v>6394.12</v>
      </c>
      <c r="C1020">
        <v>5690.77</v>
      </c>
    </row>
    <row r="1021" spans="1:3" x14ac:dyDescent="0.3">
      <c r="A1021" s="3" t="s">
        <v>1081</v>
      </c>
      <c r="B1021">
        <v>4298.3999999999996</v>
      </c>
      <c r="C1021">
        <v>4212.43</v>
      </c>
    </row>
    <row r="1022" spans="1:3" x14ac:dyDescent="0.3">
      <c r="A1022" s="3" t="s">
        <v>1082</v>
      </c>
      <c r="B1022">
        <v>514.94000000000005</v>
      </c>
      <c r="C1022">
        <v>396.5</v>
      </c>
    </row>
    <row r="1023" spans="1:3" x14ac:dyDescent="0.3">
      <c r="A1023" s="3" t="s">
        <v>1083</v>
      </c>
      <c r="B1023">
        <v>5726.3</v>
      </c>
      <c r="C1023">
        <v>4752.83</v>
      </c>
    </row>
    <row r="1024" spans="1:3" x14ac:dyDescent="0.3">
      <c r="A1024" s="3" t="s">
        <v>1084</v>
      </c>
      <c r="B1024">
        <v>3150.42</v>
      </c>
      <c r="C1024">
        <v>3087.41</v>
      </c>
    </row>
    <row r="1025" spans="1:3" x14ac:dyDescent="0.3">
      <c r="A1025" s="3" t="s">
        <v>1085</v>
      </c>
      <c r="B1025">
        <v>14005</v>
      </c>
      <c r="C1025">
        <v>12184.35</v>
      </c>
    </row>
    <row r="1026" spans="1:3" x14ac:dyDescent="0.3">
      <c r="A1026" s="3" t="s">
        <v>1086</v>
      </c>
      <c r="B1026">
        <v>4571.54</v>
      </c>
      <c r="C1026">
        <v>4525.82</v>
      </c>
    </row>
    <row r="1027" spans="1:3" x14ac:dyDescent="0.3">
      <c r="A1027" s="3" t="s">
        <v>1087</v>
      </c>
      <c r="B1027">
        <v>2170.9499999999998</v>
      </c>
      <c r="C1027">
        <v>1867.02</v>
      </c>
    </row>
    <row r="1028" spans="1:3" x14ac:dyDescent="0.3">
      <c r="A1028" s="3" t="s">
        <v>1088</v>
      </c>
      <c r="B1028">
        <v>11775.4</v>
      </c>
      <c r="C1028">
        <v>11657.65</v>
      </c>
    </row>
    <row r="1029" spans="1:3" x14ac:dyDescent="0.3">
      <c r="A1029" s="3" t="s">
        <v>1089</v>
      </c>
      <c r="B1029">
        <v>12295.95</v>
      </c>
      <c r="C1029">
        <v>11312.27</v>
      </c>
    </row>
    <row r="1030" spans="1:3" x14ac:dyDescent="0.3">
      <c r="A1030" s="3" t="s">
        <v>1090</v>
      </c>
      <c r="B1030">
        <v>18640.400000000001</v>
      </c>
      <c r="C1030">
        <v>16403.55</v>
      </c>
    </row>
    <row r="1031" spans="1:3" x14ac:dyDescent="0.3">
      <c r="A1031" s="3" t="s">
        <v>1091</v>
      </c>
      <c r="B1031">
        <v>1324.14</v>
      </c>
      <c r="C1031">
        <v>1324.14</v>
      </c>
    </row>
    <row r="1032" spans="1:3" x14ac:dyDescent="0.3">
      <c r="A1032" s="3" t="s">
        <v>1092</v>
      </c>
      <c r="B1032">
        <v>11373.5</v>
      </c>
      <c r="C1032">
        <v>11259.76</v>
      </c>
    </row>
    <row r="1033" spans="1:3" x14ac:dyDescent="0.3">
      <c r="A1033" s="3" t="s">
        <v>1093</v>
      </c>
      <c r="B1033">
        <v>17242.560000000001</v>
      </c>
      <c r="C1033">
        <v>14656.18</v>
      </c>
    </row>
    <row r="1034" spans="1:3" x14ac:dyDescent="0.3">
      <c r="A1034" s="3" t="s">
        <v>1094</v>
      </c>
      <c r="B1034">
        <v>5408.6</v>
      </c>
      <c r="C1034">
        <v>4759.57</v>
      </c>
    </row>
    <row r="1035" spans="1:3" x14ac:dyDescent="0.3">
      <c r="A1035" s="3" t="s">
        <v>1095</v>
      </c>
      <c r="B1035">
        <v>2373.42</v>
      </c>
      <c r="C1035">
        <v>1898.74</v>
      </c>
    </row>
    <row r="1036" spans="1:3" x14ac:dyDescent="0.3">
      <c r="A1036" s="3" t="s">
        <v>1096</v>
      </c>
      <c r="B1036">
        <v>3261.03</v>
      </c>
      <c r="C1036">
        <v>2543.6</v>
      </c>
    </row>
    <row r="1037" spans="1:3" x14ac:dyDescent="0.3">
      <c r="A1037" s="3" t="s">
        <v>1097</v>
      </c>
      <c r="B1037">
        <v>4910.59</v>
      </c>
      <c r="C1037">
        <v>4468.6400000000003</v>
      </c>
    </row>
    <row r="1038" spans="1:3" x14ac:dyDescent="0.3">
      <c r="A1038" s="3" t="s">
        <v>1098</v>
      </c>
      <c r="B1038">
        <v>3648.3</v>
      </c>
      <c r="C1038">
        <v>2991.61</v>
      </c>
    </row>
    <row r="1039" spans="1:3" x14ac:dyDescent="0.3">
      <c r="A1039" s="3" t="s">
        <v>1099</v>
      </c>
      <c r="B1039">
        <v>7779.84</v>
      </c>
      <c r="C1039">
        <v>6846.26</v>
      </c>
    </row>
    <row r="1040" spans="1:3" x14ac:dyDescent="0.3">
      <c r="A1040" s="3" t="s">
        <v>1100</v>
      </c>
      <c r="B1040">
        <v>9028.35</v>
      </c>
      <c r="C1040">
        <v>7674.1</v>
      </c>
    </row>
    <row r="1041" spans="1:3" x14ac:dyDescent="0.3">
      <c r="A1041" s="3" t="s">
        <v>1101</v>
      </c>
      <c r="B1041">
        <v>6743.72</v>
      </c>
      <c r="C1041">
        <v>6339.1</v>
      </c>
    </row>
    <row r="1042" spans="1:3" x14ac:dyDescent="0.3">
      <c r="A1042" s="3" t="s">
        <v>1102</v>
      </c>
      <c r="B1042">
        <v>6636.8499999999995</v>
      </c>
      <c r="C1042">
        <v>6570.48</v>
      </c>
    </row>
    <row r="1043" spans="1:3" x14ac:dyDescent="0.3">
      <c r="A1043" s="3" t="s">
        <v>1103</v>
      </c>
      <c r="B1043">
        <v>7801.52</v>
      </c>
      <c r="C1043">
        <v>5851.14</v>
      </c>
    </row>
    <row r="1044" spans="1:3" x14ac:dyDescent="0.3">
      <c r="A1044" s="3" t="s">
        <v>1104</v>
      </c>
      <c r="B1044">
        <v>4453.82</v>
      </c>
      <c r="C1044">
        <v>3874.82</v>
      </c>
    </row>
    <row r="1045" spans="1:3" x14ac:dyDescent="0.3">
      <c r="A1045" s="3" t="s">
        <v>1105</v>
      </c>
      <c r="B1045">
        <v>11683.47</v>
      </c>
      <c r="C1045">
        <v>10047.780000000001</v>
      </c>
    </row>
    <row r="1046" spans="1:3" x14ac:dyDescent="0.3">
      <c r="A1046" s="3" t="s">
        <v>1106</v>
      </c>
      <c r="B1046">
        <v>10216.68</v>
      </c>
      <c r="C1046">
        <v>9297.18</v>
      </c>
    </row>
    <row r="1047" spans="1:3" x14ac:dyDescent="0.3">
      <c r="A1047" s="3" t="s">
        <v>1107</v>
      </c>
      <c r="B1047">
        <v>723.24</v>
      </c>
      <c r="C1047">
        <v>629.22</v>
      </c>
    </row>
    <row r="1048" spans="1:3" x14ac:dyDescent="0.3">
      <c r="A1048" s="3" t="s">
        <v>1108</v>
      </c>
      <c r="B1048">
        <v>6039.2699999999995</v>
      </c>
      <c r="C1048">
        <v>5495.74</v>
      </c>
    </row>
    <row r="1049" spans="1:3" x14ac:dyDescent="0.3">
      <c r="A1049" s="3" t="s">
        <v>1109</v>
      </c>
      <c r="B1049">
        <v>6168.5399999999991</v>
      </c>
      <c r="C1049">
        <v>6106.85</v>
      </c>
    </row>
    <row r="1050" spans="1:3" x14ac:dyDescent="0.3">
      <c r="A1050" s="3" t="s">
        <v>1110</v>
      </c>
      <c r="B1050">
        <v>3247.5299999999997</v>
      </c>
      <c r="C1050">
        <v>2533.0700000000002</v>
      </c>
    </row>
    <row r="1051" spans="1:3" x14ac:dyDescent="0.3">
      <c r="A1051" s="3" t="s">
        <v>1111</v>
      </c>
      <c r="B1051">
        <v>22655.949999999997</v>
      </c>
      <c r="C1051">
        <v>18577.88</v>
      </c>
    </row>
    <row r="1052" spans="1:3" x14ac:dyDescent="0.3">
      <c r="A1052" s="3" t="s">
        <v>1112</v>
      </c>
      <c r="B1052">
        <v>10932.960000000001</v>
      </c>
      <c r="C1052">
        <v>10604.97</v>
      </c>
    </row>
    <row r="1053" spans="1:3" x14ac:dyDescent="0.3">
      <c r="A1053" s="3" t="s">
        <v>1113</v>
      </c>
      <c r="B1053">
        <v>229.13</v>
      </c>
      <c r="C1053">
        <v>183.3</v>
      </c>
    </row>
    <row r="1054" spans="1:3" x14ac:dyDescent="0.3">
      <c r="A1054" s="3" t="s">
        <v>1114</v>
      </c>
      <c r="B1054">
        <v>4411.24</v>
      </c>
      <c r="C1054">
        <v>3926</v>
      </c>
    </row>
    <row r="1055" spans="1:3" x14ac:dyDescent="0.3">
      <c r="A1055" s="3" t="s">
        <v>1115</v>
      </c>
      <c r="B1055">
        <v>18394.16</v>
      </c>
      <c r="C1055">
        <v>17290.509999999998</v>
      </c>
    </row>
    <row r="1056" spans="1:3" x14ac:dyDescent="0.3">
      <c r="A1056" s="3" t="s">
        <v>1116</v>
      </c>
      <c r="B1056">
        <v>377.61</v>
      </c>
      <c r="C1056">
        <v>336.07</v>
      </c>
    </row>
    <row r="1057" spans="1:3" x14ac:dyDescent="0.3">
      <c r="A1057" s="3" t="s">
        <v>1117</v>
      </c>
      <c r="B1057">
        <v>9782.56</v>
      </c>
      <c r="C1057">
        <v>9489.08</v>
      </c>
    </row>
    <row r="1058" spans="1:3" x14ac:dyDescent="0.3">
      <c r="A1058" s="3" t="s">
        <v>1118</v>
      </c>
      <c r="B1058">
        <v>14377.44</v>
      </c>
      <c r="C1058">
        <v>10926.85</v>
      </c>
    </row>
    <row r="1059" spans="1:3" x14ac:dyDescent="0.3">
      <c r="A1059" s="3" t="s">
        <v>1119</v>
      </c>
      <c r="B1059">
        <v>364.59</v>
      </c>
      <c r="C1059">
        <v>280.73</v>
      </c>
    </row>
    <row r="1060" spans="1:3" x14ac:dyDescent="0.3">
      <c r="A1060" s="3" t="s">
        <v>1120</v>
      </c>
      <c r="B1060">
        <v>5663.85</v>
      </c>
      <c r="C1060">
        <v>5154.1000000000004</v>
      </c>
    </row>
    <row r="1061" spans="1:3" x14ac:dyDescent="0.3">
      <c r="A1061" s="3" t="s">
        <v>1121</v>
      </c>
      <c r="B1061">
        <v>1424.46</v>
      </c>
      <c r="C1061">
        <v>1210.79</v>
      </c>
    </row>
    <row r="1062" spans="1:3" x14ac:dyDescent="0.3">
      <c r="A1062" s="3" t="s">
        <v>1122</v>
      </c>
      <c r="B1062">
        <v>9102.7999999999993</v>
      </c>
      <c r="C1062">
        <v>8556.6299999999992</v>
      </c>
    </row>
    <row r="1063" spans="1:3" x14ac:dyDescent="0.3">
      <c r="A1063" s="3" t="s">
        <v>1123</v>
      </c>
      <c r="B1063">
        <v>14077.199999999999</v>
      </c>
      <c r="C1063">
        <v>10839.44</v>
      </c>
    </row>
    <row r="1064" spans="1:3" x14ac:dyDescent="0.3">
      <c r="A1064" s="3" t="s">
        <v>1124</v>
      </c>
      <c r="B1064">
        <v>11134.849999999999</v>
      </c>
      <c r="C1064">
        <v>9910.02</v>
      </c>
    </row>
    <row r="1065" spans="1:3" x14ac:dyDescent="0.3">
      <c r="A1065" s="3" t="s">
        <v>1125</v>
      </c>
      <c r="B1065">
        <v>11623</v>
      </c>
      <c r="C1065">
        <v>9995.7800000000007</v>
      </c>
    </row>
    <row r="1066" spans="1:3" x14ac:dyDescent="0.3">
      <c r="A1066" s="3" t="s">
        <v>1126</v>
      </c>
      <c r="B1066">
        <v>12053.97</v>
      </c>
      <c r="C1066">
        <v>9161.02</v>
      </c>
    </row>
    <row r="1067" spans="1:3" x14ac:dyDescent="0.3">
      <c r="A1067" s="3" t="s">
        <v>1127</v>
      </c>
      <c r="B1067">
        <v>7219.6</v>
      </c>
      <c r="C1067">
        <v>6714.23</v>
      </c>
    </row>
    <row r="1068" spans="1:3" x14ac:dyDescent="0.3">
      <c r="A1068" s="3" t="s">
        <v>1128</v>
      </c>
      <c r="B1068">
        <v>738.44</v>
      </c>
      <c r="C1068">
        <v>738.44</v>
      </c>
    </row>
    <row r="1069" spans="1:3" x14ac:dyDescent="0.3">
      <c r="A1069" s="3" t="s">
        <v>1129</v>
      </c>
      <c r="B1069">
        <v>1454.58</v>
      </c>
      <c r="C1069">
        <v>1236.3900000000001</v>
      </c>
    </row>
    <row r="1070" spans="1:3" x14ac:dyDescent="0.3">
      <c r="A1070" s="3" t="s">
        <v>1130</v>
      </c>
      <c r="B1070">
        <v>6377.32</v>
      </c>
      <c r="C1070">
        <v>6122.23</v>
      </c>
    </row>
    <row r="1071" spans="1:3" x14ac:dyDescent="0.3">
      <c r="A1071" s="3" t="s">
        <v>1131</v>
      </c>
      <c r="B1071">
        <v>916.74</v>
      </c>
      <c r="C1071">
        <v>751.73</v>
      </c>
    </row>
    <row r="1072" spans="1:3" x14ac:dyDescent="0.3">
      <c r="A1072" s="3" t="s">
        <v>1132</v>
      </c>
      <c r="B1072">
        <v>3627.36</v>
      </c>
      <c r="C1072">
        <v>3554.81</v>
      </c>
    </row>
    <row r="1073" spans="1:3" x14ac:dyDescent="0.3">
      <c r="A1073" s="3" t="s">
        <v>1133</v>
      </c>
      <c r="B1073">
        <v>1799.32</v>
      </c>
      <c r="C1073">
        <v>1601.39</v>
      </c>
    </row>
    <row r="1074" spans="1:3" x14ac:dyDescent="0.3">
      <c r="A1074" s="3" t="s">
        <v>1134</v>
      </c>
      <c r="B1074">
        <v>7219.08</v>
      </c>
      <c r="C1074">
        <v>5486.5</v>
      </c>
    </row>
    <row r="1075" spans="1:3" x14ac:dyDescent="0.3">
      <c r="A1075" s="3" t="s">
        <v>1135</v>
      </c>
      <c r="B1075">
        <v>3084.29</v>
      </c>
      <c r="C1075">
        <v>2467.4299999999998</v>
      </c>
    </row>
    <row r="1076" spans="1:3" x14ac:dyDescent="0.3">
      <c r="A1076" s="3" t="s">
        <v>1136</v>
      </c>
      <c r="B1076">
        <v>4780.38</v>
      </c>
      <c r="C1076">
        <v>3633.09</v>
      </c>
    </row>
    <row r="1077" spans="1:3" x14ac:dyDescent="0.3">
      <c r="A1077" s="3" t="s">
        <v>1137</v>
      </c>
      <c r="B1077">
        <v>13248.25</v>
      </c>
      <c r="C1077">
        <v>12188.39</v>
      </c>
    </row>
    <row r="1078" spans="1:3" x14ac:dyDescent="0.3">
      <c r="A1078" s="3" t="s">
        <v>1138</v>
      </c>
      <c r="B1078">
        <v>11298.36</v>
      </c>
      <c r="C1078">
        <v>10959.41</v>
      </c>
    </row>
    <row r="1079" spans="1:3" x14ac:dyDescent="0.3">
      <c r="A1079" s="3" t="s">
        <v>1139</v>
      </c>
      <c r="B1079">
        <v>2372.85</v>
      </c>
      <c r="C1079">
        <v>2159.29</v>
      </c>
    </row>
    <row r="1080" spans="1:3" x14ac:dyDescent="0.3">
      <c r="A1080" s="3" t="s">
        <v>1140</v>
      </c>
      <c r="B1080">
        <v>7809.2</v>
      </c>
      <c r="C1080">
        <v>7028.28</v>
      </c>
    </row>
    <row r="1081" spans="1:3" x14ac:dyDescent="0.3">
      <c r="A1081" s="3" t="s">
        <v>1141</v>
      </c>
      <c r="B1081">
        <v>8652.0400000000009</v>
      </c>
      <c r="C1081">
        <v>6489.03</v>
      </c>
    </row>
    <row r="1082" spans="1:3" x14ac:dyDescent="0.3">
      <c r="A1082" s="3" t="s">
        <v>1142</v>
      </c>
      <c r="B1082">
        <v>2151.27</v>
      </c>
      <c r="C1082">
        <v>1742.53</v>
      </c>
    </row>
    <row r="1083" spans="1:3" x14ac:dyDescent="0.3">
      <c r="A1083" s="3" t="s">
        <v>1143</v>
      </c>
      <c r="B1083">
        <v>9901.34</v>
      </c>
      <c r="C1083">
        <v>9604.2999999999993</v>
      </c>
    </row>
    <row r="1084" spans="1:3" x14ac:dyDescent="0.3">
      <c r="A1084" s="3" t="s">
        <v>1144</v>
      </c>
      <c r="B1084">
        <v>2049.75</v>
      </c>
      <c r="C1084">
        <v>1598.81</v>
      </c>
    </row>
    <row r="1085" spans="1:3" x14ac:dyDescent="0.3">
      <c r="A1085" s="3" t="s">
        <v>1145</v>
      </c>
      <c r="B1085">
        <v>14917.68</v>
      </c>
      <c r="C1085">
        <v>13276.74</v>
      </c>
    </row>
    <row r="1086" spans="1:3" x14ac:dyDescent="0.3">
      <c r="A1086" s="3" t="s">
        <v>1146</v>
      </c>
      <c r="B1086">
        <v>9561.9000000000015</v>
      </c>
      <c r="C1086">
        <v>8032</v>
      </c>
    </row>
    <row r="1087" spans="1:3" x14ac:dyDescent="0.3">
      <c r="A1087" s="3" t="s">
        <v>1147</v>
      </c>
      <c r="B1087">
        <v>7085.88</v>
      </c>
      <c r="C1087">
        <v>6093.86</v>
      </c>
    </row>
    <row r="1088" spans="1:3" x14ac:dyDescent="0.3">
      <c r="A1088" s="3" t="s">
        <v>1148</v>
      </c>
      <c r="B1088">
        <v>4419.26</v>
      </c>
      <c r="C1088">
        <v>4109.91</v>
      </c>
    </row>
    <row r="1089" spans="1:3" x14ac:dyDescent="0.3">
      <c r="A1089" s="3" t="s">
        <v>1149</v>
      </c>
      <c r="B1089">
        <v>9002.76</v>
      </c>
      <c r="C1089">
        <v>7022.15</v>
      </c>
    </row>
    <row r="1090" spans="1:3" x14ac:dyDescent="0.3">
      <c r="A1090" s="3" t="s">
        <v>1150</v>
      </c>
      <c r="B1090">
        <v>5611.2</v>
      </c>
      <c r="C1090">
        <v>4881.74</v>
      </c>
    </row>
    <row r="1091" spans="1:3" x14ac:dyDescent="0.3">
      <c r="A1091" s="3" t="s">
        <v>1151</v>
      </c>
      <c r="B1091">
        <v>3286.17</v>
      </c>
      <c r="C1091">
        <v>2497.4899999999998</v>
      </c>
    </row>
    <row r="1092" spans="1:3" x14ac:dyDescent="0.3">
      <c r="A1092" s="3" t="s">
        <v>1152</v>
      </c>
      <c r="B1092">
        <v>2277.58</v>
      </c>
      <c r="C1092">
        <v>2027.05</v>
      </c>
    </row>
    <row r="1093" spans="1:3" x14ac:dyDescent="0.3">
      <c r="A1093" s="3" t="s">
        <v>1153</v>
      </c>
      <c r="B1093">
        <v>7328.14</v>
      </c>
      <c r="C1093">
        <v>6741.89</v>
      </c>
    </row>
    <row r="1094" spans="1:3" x14ac:dyDescent="0.3">
      <c r="A1094" s="3" t="s">
        <v>1154</v>
      </c>
      <c r="B1094">
        <v>4668.6000000000004</v>
      </c>
      <c r="C1094">
        <v>3734.88</v>
      </c>
    </row>
    <row r="1095" spans="1:3" x14ac:dyDescent="0.3">
      <c r="A1095" s="3" t="s">
        <v>1155</v>
      </c>
      <c r="B1095">
        <v>17493.439999999999</v>
      </c>
      <c r="C1095">
        <v>16443.830000000002</v>
      </c>
    </row>
    <row r="1096" spans="1:3" x14ac:dyDescent="0.3">
      <c r="A1096" s="3" t="s">
        <v>1156</v>
      </c>
      <c r="B1096">
        <v>6420.78</v>
      </c>
      <c r="C1096">
        <v>6292.36</v>
      </c>
    </row>
    <row r="1097" spans="1:3" x14ac:dyDescent="0.3">
      <c r="A1097" s="3" t="s">
        <v>1157</v>
      </c>
      <c r="B1097">
        <v>580.36</v>
      </c>
      <c r="C1097">
        <v>481.7</v>
      </c>
    </row>
    <row r="1098" spans="1:3" x14ac:dyDescent="0.3">
      <c r="A1098" s="3" t="s">
        <v>1158</v>
      </c>
      <c r="B1098">
        <v>8803.32</v>
      </c>
      <c r="C1098">
        <v>6954.62</v>
      </c>
    </row>
    <row r="1099" spans="1:3" x14ac:dyDescent="0.3">
      <c r="A1099" s="3" t="s">
        <v>1159</v>
      </c>
      <c r="B1099">
        <v>1172.76</v>
      </c>
      <c r="C1099">
        <v>891.3</v>
      </c>
    </row>
    <row r="1100" spans="1:3" x14ac:dyDescent="0.3">
      <c r="A1100" s="3" t="s">
        <v>1160</v>
      </c>
      <c r="B1100">
        <v>19143.8</v>
      </c>
      <c r="C1100">
        <v>15889.35</v>
      </c>
    </row>
    <row r="1101" spans="1:3" x14ac:dyDescent="0.3">
      <c r="A1101" s="3" t="s">
        <v>1161</v>
      </c>
      <c r="B1101">
        <v>483.84</v>
      </c>
      <c r="C1101">
        <v>449.97</v>
      </c>
    </row>
    <row r="1102" spans="1:3" x14ac:dyDescent="0.3">
      <c r="A1102" s="3" t="s">
        <v>1162</v>
      </c>
      <c r="B1102">
        <v>8733.92</v>
      </c>
      <c r="C1102">
        <v>8122.55</v>
      </c>
    </row>
    <row r="1103" spans="1:3" x14ac:dyDescent="0.3">
      <c r="A1103" s="3" t="s">
        <v>1163</v>
      </c>
      <c r="B1103">
        <v>4737.68</v>
      </c>
      <c r="C1103">
        <v>3695.39</v>
      </c>
    </row>
    <row r="1104" spans="1:3" x14ac:dyDescent="0.3">
      <c r="A1104" s="3" t="s">
        <v>1164</v>
      </c>
      <c r="B1104">
        <v>4756.3599999999997</v>
      </c>
      <c r="C1104">
        <v>4708.8</v>
      </c>
    </row>
    <row r="1105" spans="1:3" x14ac:dyDescent="0.3">
      <c r="A1105" s="3" t="s">
        <v>1165</v>
      </c>
      <c r="B1105">
        <v>2641.38</v>
      </c>
      <c r="C1105">
        <v>2403.66</v>
      </c>
    </row>
    <row r="1106" spans="1:3" x14ac:dyDescent="0.3">
      <c r="A1106" s="3" t="s">
        <v>1166</v>
      </c>
      <c r="B1106">
        <v>6376.92</v>
      </c>
      <c r="C1106">
        <v>5484.15</v>
      </c>
    </row>
    <row r="1107" spans="1:3" x14ac:dyDescent="0.3">
      <c r="A1107" s="3" t="s">
        <v>1167</v>
      </c>
      <c r="B1107">
        <v>869.03</v>
      </c>
      <c r="C1107">
        <v>799.51</v>
      </c>
    </row>
    <row r="1108" spans="1:3" x14ac:dyDescent="0.3">
      <c r="A1108" s="3" t="s">
        <v>1168</v>
      </c>
      <c r="B1108">
        <v>12971.16</v>
      </c>
      <c r="C1108">
        <v>12711.74</v>
      </c>
    </row>
    <row r="1109" spans="1:3" x14ac:dyDescent="0.3">
      <c r="A1109" s="3" t="s">
        <v>1169</v>
      </c>
      <c r="B1109">
        <v>8348.42</v>
      </c>
      <c r="C1109">
        <v>6595.25</v>
      </c>
    </row>
    <row r="1110" spans="1:3" x14ac:dyDescent="0.3">
      <c r="A1110" s="3" t="s">
        <v>1170</v>
      </c>
      <c r="B1110">
        <v>1394.92</v>
      </c>
      <c r="C1110">
        <v>1171.73</v>
      </c>
    </row>
    <row r="1111" spans="1:3" x14ac:dyDescent="0.3">
      <c r="A1111" s="3" t="s">
        <v>1171</v>
      </c>
      <c r="B1111">
        <v>5974.68</v>
      </c>
      <c r="C1111">
        <v>4899.24</v>
      </c>
    </row>
    <row r="1112" spans="1:3" x14ac:dyDescent="0.3">
      <c r="A1112" s="3" t="s">
        <v>1172</v>
      </c>
      <c r="B1112">
        <v>2316.12</v>
      </c>
      <c r="C1112">
        <v>1991.86</v>
      </c>
    </row>
    <row r="1113" spans="1:3" x14ac:dyDescent="0.3">
      <c r="A1113" s="3" t="s">
        <v>1173</v>
      </c>
      <c r="B1113">
        <v>5186.79</v>
      </c>
      <c r="C1113">
        <v>4149.43</v>
      </c>
    </row>
    <row r="1114" spans="1:3" x14ac:dyDescent="0.3">
      <c r="A1114" s="3" t="s">
        <v>1174</v>
      </c>
      <c r="B1114">
        <v>4151.32</v>
      </c>
      <c r="C1114">
        <v>3279.54</v>
      </c>
    </row>
    <row r="1115" spans="1:3" x14ac:dyDescent="0.3">
      <c r="A1115" s="3" t="s">
        <v>1175</v>
      </c>
      <c r="B1115">
        <v>12564.54</v>
      </c>
      <c r="C1115">
        <v>12438.89</v>
      </c>
    </row>
    <row r="1116" spans="1:3" x14ac:dyDescent="0.3">
      <c r="A1116" s="3" t="s">
        <v>1176</v>
      </c>
      <c r="B1116">
        <v>6535.12</v>
      </c>
      <c r="C1116">
        <v>5489.5</v>
      </c>
    </row>
    <row r="1117" spans="1:3" x14ac:dyDescent="0.3">
      <c r="A1117" s="3" t="s">
        <v>1177</v>
      </c>
      <c r="B1117">
        <v>1940.86</v>
      </c>
      <c r="C1117">
        <v>1572.1</v>
      </c>
    </row>
    <row r="1118" spans="1:3" x14ac:dyDescent="0.3">
      <c r="A1118" s="3" t="s">
        <v>1178</v>
      </c>
      <c r="B1118">
        <v>6336.42</v>
      </c>
      <c r="C1118">
        <v>5512.69</v>
      </c>
    </row>
    <row r="1119" spans="1:3" x14ac:dyDescent="0.3">
      <c r="A1119" s="3" t="s">
        <v>1179</v>
      </c>
      <c r="B1119">
        <v>7980.4500000000007</v>
      </c>
      <c r="C1119">
        <v>6783.38</v>
      </c>
    </row>
    <row r="1120" spans="1:3" x14ac:dyDescent="0.3">
      <c r="A1120" s="3" t="s">
        <v>1180</v>
      </c>
      <c r="B1120">
        <v>6655.3499999999995</v>
      </c>
      <c r="C1120">
        <v>5856.71</v>
      </c>
    </row>
    <row r="1121" spans="1:3" x14ac:dyDescent="0.3">
      <c r="A1121" s="3" t="s">
        <v>1181</v>
      </c>
      <c r="B1121">
        <v>4810.84</v>
      </c>
      <c r="C1121">
        <v>3608.13</v>
      </c>
    </row>
    <row r="1122" spans="1:3" x14ac:dyDescent="0.3">
      <c r="A1122" s="3" t="s">
        <v>1182</v>
      </c>
      <c r="B1122">
        <v>399.43</v>
      </c>
      <c r="C1122">
        <v>351.5</v>
      </c>
    </row>
    <row r="1123" spans="1:3" x14ac:dyDescent="0.3">
      <c r="A1123" s="3" t="s">
        <v>1183</v>
      </c>
      <c r="B1123">
        <v>4477.5599999999995</v>
      </c>
      <c r="C1123">
        <v>3447.72</v>
      </c>
    </row>
    <row r="1124" spans="1:3" x14ac:dyDescent="0.3">
      <c r="A1124" s="3" t="s">
        <v>1184</v>
      </c>
      <c r="B1124">
        <v>959.26</v>
      </c>
      <c r="C1124">
        <v>920.89</v>
      </c>
    </row>
    <row r="1125" spans="1:3" x14ac:dyDescent="0.3">
      <c r="A1125" s="3" t="s">
        <v>1185</v>
      </c>
      <c r="B1125">
        <v>6871.12</v>
      </c>
      <c r="C1125">
        <v>5565.61</v>
      </c>
    </row>
    <row r="1126" spans="1:3" x14ac:dyDescent="0.3">
      <c r="A1126" s="3" t="s">
        <v>1186</v>
      </c>
      <c r="B1126">
        <v>9893.06</v>
      </c>
      <c r="C1126">
        <v>9695.2000000000007</v>
      </c>
    </row>
    <row r="1127" spans="1:3" x14ac:dyDescent="0.3">
      <c r="A1127" s="3" t="s">
        <v>1187</v>
      </c>
      <c r="B1127">
        <v>5214.72</v>
      </c>
      <c r="C1127">
        <v>4641.1000000000004</v>
      </c>
    </row>
    <row r="1128" spans="1:3" x14ac:dyDescent="0.3">
      <c r="A1128" s="3" t="s">
        <v>1188</v>
      </c>
      <c r="B1128">
        <v>15568.84</v>
      </c>
      <c r="C1128">
        <v>12766.45</v>
      </c>
    </row>
    <row r="1129" spans="1:3" x14ac:dyDescent="0.3">
      <c r="A1129" s="3" t="s">
        <v>1189</v>
      </c>
      <c r="B1129">
        <v>10756.8</v>
      </c>
      <c r="C1129">
        <v>8497.8700000000008</v>
      </c>
    </row>
    <row r="1130" spans="1:3" x14ac:dyDescent="0.3">
      <c r="A1130" s="3" t="s">
        <v>1190</v>
      </c>
      <c r="B1130">
        <v>2916.7799999999997</v>
      </c>
      <c r="C1130">
        <v>2275.09</v>
      </c>
    </row>
    <row r="1131" spans="1:3" x14ac:dyDescent="0.3">
      <c r="A1131" s="3" t="s">
        <v>1191</v>
      </c>
      <c r="B1131">
        <v>1059.5999999999999</v>
      </c>
      <c r="C1131">
        <v>964.24</v>
      </c>
    </row>
    <row r="1132" spans="1:3" x14ac:dyDescent="0.3">
      <c r="A1132" s="3" t="s">
        <v>1192</v>
      </c>
      <c r="B1132">
        <v>3073.19</v>
      </c>
      <c r="C1132">
        <v>3042.46</v>
      </c>
    </row>
    <row r="1133" spans="1:3" x14ac:dyDescent="0.3">
      <c r="A1133" s="3" t="s">
        <v>1193</v>
      </c>
      <c r="B1133">
        <v>19945.72</v>
      </c>
      <c r="C1133">
        <v>16754.400000000001</v>
      </c>
    </row>
    <row r="1134" spans="1:3" x14ac:dyDescent="0.3">
      <c r="A1134" s="3" t="s">
        <v>1194</v>
      </c>
      <c r="B1134">
        <v>22409.5</v>
      </c>
      <c r="C1134">
        <v>21513.119999999999</v>
      </c>
    </row>
    <row r="1135" spans="1:3" x14ac:dyDescent="0.3">
      <c r="A1135" s="3" t="s">
        <v>1195</v>
      </c>
      <c r="B1135">
        <v>12894.56</v>
      </c>
      <c r="C1135">
        <v>12636.67</v>
      </c>
    </row>
    <row r="1136" spans="1:3" x14ac:dyDescent="0.3">
      <c r="A1136" s="3" t="s">
        <v>1196</v>
      </c>
      <c r="B1136">
        <v>9076.1</v>
      </c>
      <c r="C1136">
        <v>7714.69</v>
      </c>
    </row>
    <row r="1137" spans="1:3" x14ac:dyDescent="0.3">
      <c r="A1137" s="3" t="s">
        <v>1197</v>
      </c>
      <c r="B1137">
        <v>4114.1000000000004</v>
      </c>
      <c r="C1137">
        <v>3826.11</v>
      </c>
    </row>
    <row r="1138" spans="1:3" x14ac:dyDescent="0.3">
      <c r="A1138" s="3" t="s">
        <v>1198</v>
      </c>
      <c r="B1138">
        <v>1624.71</v>
      </c>
      <c r="C1138">
        <v>1397.25</v>
      </c>
    </row>
    <row r="1139" spans="1:3" x14ac:dyDescent="0.3">
      <c r="A1139" s="3" t="s">
        <v>1199</v>
      </c>
      <c r="B1139">
        <v>7349.6</v>
      </c>
      <c r="C1139">
        <v>6982.12</v>
      </c>
    </row>
    <row r="1140" spans="1:3" x14ac:dyDescent="0.3">
      <c r="A1140" s="3" t="s">
        <v>1200</v>
      </c>
      <c r="B1140">
        <v>3216.26</v>
      </c>
      <c r="C1140">
        <v>2669.5</v>
      </c>
    </row>
    <row r="1141" spans="1:3" x14ac:dyDescent="0.3">
      <c r="A1141" s="3" t="s">
        <v>1201</v>
      </c>
      <c r="B1141">
        <v>8230.75</v>
      </c>
      <c r="C1141">
        <v>7736.9</v>
      </c>
    </row>
    <row r="1142" spans="1:3" x14ac:dyDescent="0.3">
      <c r="A1142" s="3" t="s">
        <v>1202</v>
      </c>
      <c r="B1142">
        <v>2500.44</v>
      </c>
      <c r="C1142">
        <v>2150.38</v>
      </c>
    </row>
    <row r="1143" spans="1:3" x14ac:dyDescent="0.3">
      <c r="A1143" s="3" t="s">
        <v>1203</v>
      </c>
      <c r="B1143">
        <v>14433.45</v>
      </c>
      <c r="C1143">
        <v>10825.09</v>
      </c>
    </row>
    <row r="1144" spans="1:3" x14ac:dyDescent="0.3">
      <c r="A1144" s="3" t="s">
        <v>1204</v>
      </c>
      <c r="B1144">
        <v>1634.13</v>
      </c>
      <c r="C1144">
        <v>1323.65</v>
      </c>
    </row>
    <row r="1145" spans="1:3" x14ac:dyDescent="0.3">
      <c r="A1145" s="3" t="s">
        <v>1205</v>
      </c>
      <c r="B1145">
        <v>4779.0200000000004</v>
      </c>
      <c r="C1145">
        <v>4396.7</v>
      </c>
    </row>
    <row r="1146" spans="1:3" x14ac:dyDescent="0.3">
      <c r="A1146" s="3" t="s">
        <v>1206</v>
      </c>
      <c r="B1146">
        <v>4329.8</v>
      </c>
      <c r="C1146">
        <v>3983.42</v>
      </c>
    </row>
    <row r="1147" spans="1:3" x14ac:dyDescent="0.3">
      <c r="A1147" s="3" t="s">
        <v>1207</v>
      </c>
      <c r="B1147">
        <v>7570.04</v>
      </c>
      <c r="C1147">
        <v>6737.34</v>
      </c>
    </row>
    <row r="1148" spans="1:3" x14ac:dyDescent="0.3">
      <c r="A1148" s="3" t="s">
        <v>1208</v>
      </c>
      <c r="B1148">
        <v>9133.86</v>
      </c>
      <c r="C1148">
        <v>8037.8</v>
      </c>
    </row>
    <row r="1149" spans="1:3" x14ac:dyDescent="0.3">
      <c r="A1149" s="3" t="s">
        <v>1209</v>
      </c>
      <c r="B1149">
        <v>10318.4</v>
      </c>
      <c r="C1149">
        <v>10215.219999999999</v>
      </c>
    </row>
    <row r="1150" spans="1:3" x14ac:dyDescent="0.3">
      <c r="A1150" s="3" t="s">
        <v>1210</v>
      </c>
      <c r="B1150">
        <v>11891.97</v>
      </c>
      <c r="C1150">
        <v>11773.05</v>
      </c>
    </row>
    <row r="1151" spans="1:3" x14ac:dyDescent="0.3">
      <c r="A1151" s="3" t="s">
        <v>1211</v>
      </c>
      <c r="B1151">
        <v>416.52</v>
      </c>
      <c r="C1151">
        <v>399.86</v>
      </c>
    </row>
    <row r="1152" spans="1:3" x14ac:dyDescent="0.3">
      <c r="A1152" s="3" t="s">
        <v>1212</v>
      </c>
      <c r="B1152">
        <v>1710.56</v>
      </c>
      <c r="C1152">
        <v>1471.08</v>
      </c>
    </row>
    <row r="1153" spans="1:3" x14ac:dyDescent="0.3">
      <c r="A1153" s="3" t="s">
        <v>1213</v>
      </c>
      <c r="B1153">
        <v>14096.08</v>
      </c>
      <c r="C1153">
        <v>10853.98</v>
      </c>
    </row>
    <row r="1154" spans="1:3" x14ac:dyDescent="0.3">
      <c r="A1154" s="3" t="s">
        <v>1214</v>
      </c>
      <c r="B1154">
        <v>4118.8599999999997</v>
      </c>
      <c r="C1154">
        <v>3789.35</v>
      </c>
    </row>
    <row r="1155" spans="1:3" x14ac:dyDescent="0.3">
      <c r="A1155" s="3" t="s">
        <v>1215</v>
      </c>
      <c r="B1155">
        <v>1158.95</v>
      </c>
      <c r="C1155">
        <v>903.98</v>
      </c>
    </row>
    <row r="1156" spans="1:3" x14ac:dyDescent="0.3">
      <c r="A1156" s="3" t="s">
        <v>1216</v>
      </c>
      <c r="B1156">
        <v>3263.33</v>
      </c>
      <c r="C1156">
        <v>3165.43</v>
      </c>
    </row>
    <row r="1157" spans="1:3" x14ac:dyDescent="0.3">
      <c r="A1157" s="3" t="s">
        <v>1217</v>
      </c>
      <c r="B1157">
        <v>4371.9799999999996</v>
      </c>
      <c r="C1157">
        <v>4065.94</v>
      </c>
    </row>
    <row r="1158" spans="1:3" x14ac:dyDescent="0.3">
      <c r="A1158" s="3" t="s">
        <v>1218</v>
      </c>
      <c r="B1158">
        <v>20938.699999999997</v>
      </c>
      <c r="C1158">
        <v>18426.060000000001</v>
      </c>
    </row>
    <row r="1159" spans="1:3" x14ac:dyDescent="0.3">
      <c r="A1159" s="3" t="s">
        <v>1219</v>
      </c>
      <c r="B1159">
        <v>5831.88</v>
      </c>
      <c r="C1159">
        <v>5248.69</v>
      </c>
    </row>
    <row r="1160" spans="1:3" x14ac:dyDescent="0.3">
      <c r="A1160" s="3" t="s">
        <v>1220</v>
      </c>
      <c r="B1160">
        <v>11208.36</v>
      </c>
      <c r="C1160">
        <v>10872.11</v>
      </c>
    </row>
    <row r="1161" spans="1:3" x14ac:dyDescent="0.3">
      <c r="A1161" s="3" t="s">
        <v>1221</v>
      </c>
      <c r="B1161">
        <v>19110.45</v>
      </c>
      <c r="C1161">
        <v>14906.15</v>
      </c>
    </row>
    <row r="1162" spans="1:3" x14ac:dyDescent="0.3">
      <c r="A1162" s="3" t="s">
        <v>1222</v>
      </c>
      <c r="B1162">
        <v>8923.7999999999993</v>
      </c>
      <c r="C1162">
        <v>7852.94</v>
      </c>
    </row>
    <row r="1163" spans="1:3" x14ac:dyDescent="0.3">
      <c r="A1163" s="3" t="s">
        <v>1223</v>
      </c>
      <c r="B1163">
        <v>4009.2000000000003</v>
      </c>
      <c r="C1163">
        <v>3688.46</v>
      </c>
    </row>
    <row r="1164" spans="1:3" x14ac:dyDescent="0.3">
      <c r="A1164" s="3" t="s">
        <v>1224</v>
      </c>
      <c r="B1164">
        <v>6762.8</v>
      </c>
      <c r="C1164">
        <v>5680.75</v>
      </c>
    </row>
    <row r="1165" spans="1:3" x14ac:dyDescent="0.3">
      <c r="A1165" s="3" t="s">
        <v>1225</v>
      </c>
      <c r="B1165">
        <v>2817.0499999999997</v>
      </c>
      <c r="C1165">
        <v>2309.98</v>
      </c>
    </row>
    <row r="1166" spans="1:3" x14ac:dyDescent="0.3">
      <c r="A1166" s="3" t="s">
        <v>1226</v>
      </c>
      <c r="B1166">
        <v>14442.15</v>
      </c>
      <c r="C1166">
        <v>14297.73</v>
      </c>
    </row>
    <row r="1167" spans="1:3" x14ac:dyDescent="0.3">
      <c r="A1167" s="3" t="s">
        <v>1227</v>
      </c>
      <c r="B1167">
        <v>1755.09</v>
      </c>
      <c r="C1167">
        <v>1474.28</v>
      </c>
    </row>
    <row r="1168" spans="1:3" x14ac:dyDescent="0.3">
      <c r="A1168" s="3" t="s">
        <v>1228</v>
      </c>
      <c r="B1168">
        <v>5794.78</v>
      </c>
      <c r="C1168">
        <v>4346.09</v>
      </c>
    </row>
    <row r="1169" spans="1:3" x14ac:dyDescent="0.3">
      <c r="A1169" s="3" t="s">
        <v>1229</v>
      </c>
      <c r="B1169">
        <v>5785.84</v>
      </c>
      <c r="C1169">
        <v>4802.25</v>
      </c>
    </row>
    <row r="1170" spans="1:3" x14ac:dyDescent="0.3">
      <c r="A1170" s="3" t="s">
        <v>1230</v>
      </c>
      <c r="B1170">
        <v>2095.1999999999998</v>
      </c>
      <c r="C1170">
        <v>2095.1999999999998</v>
      </c>
    </row>
    <row r="1171" spans="1:3" x14ac:dyDescent="0.3">
      <c r="A1171" s="3" t="s">
        <v>1231</v>
      </c>
      <c r="B1171">
        <v>3574.14</v>
      </c>
      <c r="C1171">
        <v>3359.69</v>
      </c>
    </row>
    <row r="1172" spans="1:3" x14ac:dyDescent="0.3">
      <c r="A1172" s="3" t="s">
        <v>1232</v>
      </c>
      <c r="B1172">
        <v>8554.4000000000015</v>
      </c>
      <c r="C1172">
        <v>7698.96</v>
      </c>
    </row>
    <row r="1173" spans="1:3" x14ac:dyDescent="0.3">
      <c r="A1173" s="3" t="s">
        <v>1233</v>
      </c>
      <c r="B1173">
        <v>4528.4799999999996</v>
      </c>
      <c r="C1173">
        <v>3758.64</v>
      </c>
    </row>
    <row r="1174" spans="1:3" x14ac:dyDescent="0.3">
      <c r="A1174" s="3" t="s">
        <v>1234</v>
      </c>
      <c r="B1174">
        <v>1117</v>
      </c>
      <c r="C1174">
        <v>837.75</v>
      </c>
    </row>
    <row r="1175" spans="1:3" x14ac:dyDescent="0.3">
      <c r="A1175" s="3" t="s">
        <v>1235</v>
      </c>
      <c r="B1175">
        <v>14830.95</v>
      </c>
      <c r="C1175">
        <v>12458</v>
      </c>
    </row>
    <row r="1176" spans="1:3" x14ac:dyDescent="0.3">
      <c r="A1176" s="3" t="s">
        <v>1236</v>
      </c>
      <c r="B1176">
        <v>18455.04</v>
      </c>
      <c r="C1176">
        <v>17901.39</v>
      </c>
    </row>
    <row r="1177" spans="1:3" x14ac:dyDescent="0.3">
      <c r="A1177" s="3" t="s">
        <v>1237</v>
      </c>
      <c r="B1177">
        <v>8675.9599999999991</v>
      </c>
      <c r="C1177">
        <v>7027.53</v>
      </c>
    </row>
    <row r="1178" spans="1:3" x14ac:dyDescent="0.3">
      <c r="A1178" s="3" t="s">
        <v>1238</v>
      </c>
      <c r="B1178">
        <v>11626.349999999999</v>
      </c>
      <c r="C1178">
        <v>9766.1299999999992</v>
      </c>
    </row>
    <row r="1179" spans="1:3" x14ac:dyDescent="0.3">
      <c r="A1179" s="3" t="s">
        <v>1239</v>
      </c>
      <c r="B1179">
        <v>6011.16</v>
      </c>
      <c r="C1179">
        <v>4628.59</v>
      </c>
    </row>
    <row r="1180" spans="1:3" x14ac:dyDescent="0.3">
      <c r="A1180" s="3" t="s">
        <v>1240</v>
      </c>
      <c r="B1180">
        <v>1978.43</v>
      </c>
      <c r="C1180">
        <v>1661.88</v>
      </c>
    </row>
    <row r="1181" spans="1:3" x14ac:dyDescent="0.3">
      <c r="A1181" s="3" t="s">
        <v>1241</v>
      </c>
      <c r="B1181">
        <v>24973.3</v>
      </c>
      <c r="C1181">
        <v>21227.31</v>
      </c>
    </row>
    <row r="1182" spans="1:3" x14ac:dyDescent="0.3">
      <c r="A1182" s="3" t="s">
        <v>1242</v>
      </c>
      <c r="B1182">
        <v>13813.52</v>
      </c>
      <c r="C1182">
        <v>10498.28</v>
      </c>
    </row>
    <row r="1183" spans="1:3" x14ac:dyDescent="0.3">
      <c r="A1183" s="3" t="s">
        <v>1243</v>
      </c>
      <c r="B1183">
        <v>1917.06</v>
      </c>
      <c r="C1183">
        <v>1476.14</v>
      </c>
    </row>
    <row r="1184" spans="1:3" x14ac:dyDescent="0.3">
      <c r="A1184" s="3" t="s">
        <v>1244</v>
      </c>
      <c r="B1184">
        <v>5202.92</v>
      </c>
      <c r="C1184">
        <v>4422.4799999999996</v>
      </c>
    </row>
    <row r="1185" spans="1:3" x14ac:dyDescent="0.3">
      <c r="A1185" s="3" t="s">
        <v>1245</v>
      </c>
      <c r="B1185">
        <v>4729.68</v>
      </c>
      <c r="C1185">
        <v>3594.56</v>
      </c>
    </row>
    <row r="1186" spans="1:3" x14ac:dyDescent="0.3">
      <c r="A1186" s="3" t="s">
        <v>1246</v>
      </c>
      <c r="B1186">
        <v>13285.349999999999</v>
      </c>
      <c r="C1186">
        <v>11558.25</v>
      </c>
    </row>
    <row r="1187" spans="1:3" x14ac:dyDescent="0.3">
      <c r="A1187" s="3" t="s">
        <v>1247</v>
      </c>
      <c r="B1187">
        <v>14445.84</v>
      </c>
      <c r="C1187">
        <v>12567.88</v>
      </c>
    </row>
    <row r="1188" spans="1:3" x14ac:dyDescent="0.3">
      <c r="A1188" s="3" t="s">
        <v>1248</v>
      </c>
      <c r="B1188">
        <v>3637.77</v>
      </c>
      <c r="C1188">
        <v>3310.37</v>
      </c>
    </row>
    <row r="1189" spans="1:3" x14ac:dyDescent="0.3">
      <c r="A1189" s="3" t="s">
        <v>1249</v>
      </c>
      <c r="B1189">
        <v>9737.91</v>
      </c>
      <c r="C1189">
        <v>9543.15</v>
      </c>
    </row>
    <row r="1190" spans="1:3" x14ac:dyDescent="0.3">
      <c r="A1190" s="3" t="s">
        <v>1250</v>
      </c>
      <c r="B1190">
        <v>14111.4</v>
      </c>
      <c r="C1190">
        <v>12135.8</v>
      </c>
    </row>
    <row r="1191" spans="1:3" x14ac:dyDescent="0.3">
      <c r="A1191" s="3" t="s">
        <v>1251</v>
      </c>
      <c r="B1191">
        <v>9386.75</v>
      </c>
      <c r="C1191">
        <v>8729.68</v>
      </c>
    </row>
    <row r="1192" spans="1:3" x14ac:dyDescent="0.3">
      <c r="A1192" s="3" t="s">
        <v>1252</v>
      </c>
      <c r="B1192">
        <v>1635.96</v>
      </c>
      <c r="C1192">
        <v>1521.44</v>
      </c>
    </row>
    <row r="1193" spans="1:3" x14ac:dyDescent="0.3">
      <c r="A1193" s="3" t="s">
        <v>1253</v>
      </c>
      <c r="B1193">
        <v>795.65</v>
      </c>
      <c r="C1193">
        <v>724.04</v>
      </c>
    </row>
    <row r="1194" spans="1:3" x14ac:dyDescent="0.3">
      <c r="A1194" s="3" t="s">
        <v>1254</v>
      </c>
      <c r="B1194">
        <v>7993.0499999999993</v>
      </c>
      <c r="C1194">
        <v>7273.68</v>
      </c>
    </row>
    <row r="1195" spans="1:3" x14ac:dyDescent="0.3">
      <c r="A1195" s="3" t="s">
        <v>1255</v>
      </c>
      <c r="B1195">
        <v>1777.6</v>
      </c>
      <c r="C1195">
        <v>1635.39</v>
      </c>
    </row>
    <row r="1196" spans="1:3" x14ac:dyDescent="0.3">
      <c r="A1196" s="3" t="s">
        <v>1256</v>
      </c>
      <c r="B1196">
        <v>22861.199999999997</v>
      </c>
      <c r="C1196">
        <v>17603.12</v>
      </c>
    </row>
    <row r="1197" spans="1:3" x14ac:dyDescent="0.3">
      <c r="A1197" s="3" t="s">
        <v>1257</v>
      </c>
      <c r="B1197">
        <v>2146.35</v>
      </c>
      <c r="C1197">
        <v>1845.86</v>
      </c>
    </row>
    <row r="1198" spans="1:3" x14ac:dyDescent="0.3">
      <c r="A1198" s="3" t="s">
        <v>1258</v>
      </c>
      <c r="B1198">
        <v>2709.5</v>
      </c>
      <c r="C1198">
        <v>2221.79</v>
      </c>
    </row>
    <row r="1199" spans="1:3" x14ac:dyDescent="0.3">
      <c r="A1199" s="3" t="s">
        <v>1259</v>
      </c>
      <c r="B1199">
        <v>7298.2000000000007</v>
      </c>
      <c r="C1199">
        <v>5911.54</v>
      </c>
    </row>
    <row r="1200" spans="1:3" x14ac:dyDescent="0.3">
      <c r="A1200" s="3" t="s">
        <v>1260</v>
      </c>
      <c r="B1200">
        <v>5939.64</v>
      </c>
      <c r="C1200">
        <v>5048.6899999999996</v>
      </c>
    </row>
    <row r="1201" spans="1:3" x14ac:dyDescent="0.3">
      <c r="A1201" s="3" t="s">
        <v>1261</v>
      </c>
      <c r="B1201">
        <v>2265.3000000000002</v>
      </c>
      <c r="C1201">
        <v>1993.46</v>
      </c>
    </row>
    <row r="1202" spans="1:3" x14ac:dyDescent="0.3">
      <c r="A1202" s="3" t="s">
        <v>1262</v>
      </c>
      <c r="B1202">
        <v>15636.96</v>
      </c>
      <c r="C1202">
        <v>14855.11</v>
      </c>
    </row>
    <row r="1203" spans="1:3" x14ac:dyDescent="0.3">
      <c r="A1203" s="3" t="s">
        <v>1263</v>
      </c>
      <c r="B1203">
        <v>3420.66</v>
      </c>
      <c r="C1203">
        <v>3010.18</v>
      </c>
    </row>
    <row r="1204" spans="1:3" x14ac:dyDescent="0.3">
      <c r="A1204" s="3" t="s">
        <v>1264</v>
      </c>
      <c r="B1204">
        <v>12825.050000000001</v>
      </c>
      <c r="C1204">
        <v>10773.04</v>
      </c>
    </row>
    <row r="1205" spans="1:3" x14ac:dyDescent="0.3">
      <c r="A1205" s="3" t="s">
        <v>1265</v>
      </c>
      <c r="B1205">
        <v>3826.15</v>
      </c>
      <c r="C1205">
        <v>3175.7</v>
      </c>
    </row>
    <row r="1206" spans="1:3" x14ac:dyDescent="0.3">
      <c r="A1206" s="3" t="s">
        <v>1266</v>
      </c>
      <c r="B1206">
        <v>3210.56</v>
      </c>
      <c r="C1206">
        <v>2953.72</v>
      </c>
    </row>
    <row r="1207" spans="1:3" x14ac:dyDescent="0.3">
      <c r="A1207" s="3" t="s">
        <v>1267</v>
      </c>
      <c r="B1207">
        <v>2080.66</v>
      </c>
      <c r="C1207">
        <v>1872.59</v>
      </c>
    </row>
    <row r="1208" spans="1:3" x14ac:dyDescent="0.3">
      <c r="A1208" s="3" t="s">
        <v>1268</v>
      </c>
      <c r="B1208">
        <v>19824.349999999999</v>
      </c>
      <c r="C1208">
        <v>16057.72</v>
      </c>
    </row>
    <row r="1209" spans="1:3" x14ac:dyDescent="0.3">
      <c r="A1209" s="3" t="s">
        <v>1269</v>
      </c>
      <c r="B1209">
        <v>10982.64</v>
      </c>
      <c r="C1209">
        <v>8676.2900000000009</v>
      </c>
    </row>
    <row r="1210" spans="1:3" x14ac:dyDescent="0.3">
      <c r="A1210" s="3" t="s">
        <v>1270</v>
      </c>
      <c r="B1210">
        <v>4846.53</v>
      </c>
      <c r="C1210">
        <v>4410.34</v>
      </c>
    </row>
    <row r="1211" spans="1:3" x14ac:dyDescent="0.3">
      <c r="A1211" s="3" t="s">
        <v>1271</v>
      </c>
      <c r="B1211">
        <v>648.09</v>
      </c>
      <c r="C1211">
        <v>576.79999999999995</v>
      </c>
    </row>
    <row r="1212" spans="1:3" x14ac:dyDescent="0.3">
      <c r="A1212" s="3" t="s">
        <v>1272</v>
      </c>
      <c r="B1212">
        <v>1870.47</v>
      </c>
      <c r="C1212">
        <v>1758.24</v>
      </c>
    </row>
    <row r="1213" spans="1:3" x14ac:dyDescent="0.3">
      <c r="A1213" s="3" t="s">
        <v>1273</v>
      </c>
      <c r="B1213">
        <v>5297</v>
      </c>
      <c r="C1213">
        <v>3972.75</v>
      </c>
    </row>
    <row r="1214" spans="1:3" x14ac:dyDescent="0.3">
      <c r="A1214" s="3" t="s">
        <v>1274</v>
      </c>
      <c r="B1214">
        <v>18502.68</v>
      </c>
      <c r="C1214">
        <v>17947.599999999999</v>
      </c>
    </row>
    <row r="1215" spans="1:3" x14ac:dyDescent="0.3">
      <c r="A1215" s="3" t="s">
        <v>1275</v>
      </c>
      <c r="B1215">
        <v>5399.85</v>
      </c>
      <c r="C1215">
        <v>5291.85</v>
      </c>
    </row>
    <row r="1216" spans="1:3" x14ac:dyDescent="0.3">
      <c r="A1216" s="3" t="s">
        <v>1276</v>
      </c>
      <c r="B1216">
        <v>14370.84</v>
      </c>
      <c r="C1216">
        <v>13077.46</v>
      </c>
    </row>
    <row r="1217" spans="1:3" x14ac:dyDescent="0.3">
      <c r="A1217" s="3" t="s">
        <v>1277</v>
      </c>
      <c r="B1217">
        <v>6841.16</v>
      </c>
      <c r="C1217">
        <v>5609.75</v>
      </c>
    </row>
    <row r="1218" spans="1:3" x14ac:dyDescent="0.3">
      <c r="A1218" s="3" t="s">
        <v>1278</v>
      </c>
      <c r="B1218">
        <v>1977</v>
      </c>
      <c r="C1218">
        <v>1482.75</v>
      </c>
    </row>
    <row r="1219" spans="1:3" x14ac:dyDescent="0.3">
      <c r="A1219" s="3" t="s">
        <v>1279</v>
      </c>
      <c r="B1219">
        <v>8676.9500000000007</v>
      </c>
      <c r="C1219">
        <v>8503.41</v>
      </c>
    </row>
    <row r="1220" spans="1:3" x14ac:dyDescent="0.3">
      <c r="A1220" s="3" t="s">
        <v>1280</v>
      </c>
      <c r="B1220">
        <v>12356.6</v>
      </c>
      <c r="C1220">
        <v>9267.4500000000007</v>
      </c>
    </row>
    <row r="1221" spans="1:3" x14ac:dyDescent="0.3">
      <c r="A1221" s="3" t="s">
        <v>1281</v>
      </c>
      <c r="B1221">
        <v>6548.84</v>
      </c>
      <c r="C1221">
        <v>6024.93</v>
      </c>
    </row>
    <row r="1222" spans="1:3" x14ac:dyDescent="0.3">
      <c r="A1222" s="3" t="s">
        <v>1282</v>
      </c>
      <c r="B1222">
        <v>141.84</v>
      </c>
      <c r="C1222">
        <v>130.49</v>
      </c>
    </row>
    <row r="1223" spans="1:3" x14ac:dyDescent="0.3">
      <c r="A1223" s="3" t="s">
        <v>1283</v>
      </c>
      <c r="B1223">
        <v>7745.3</v>
      </c>
      <c r="C1223">
        <v>6660.96</v>
      </c>
    </row>
    <row r="1224" spans="1:3" x14ac:dyDescent="0.3">
      <c r="A1224" s="3" t="s">
        <v>1284</v>
      </c>
      <c r="B1224">
        <v>2713.77</v>
      </c>
      <c r="C1224">
        <v>2062.4699999999998</v>
      </c>
    </row>
    <row r="1225" spans="1:3" x14ac:dyDescent="0.3">
      <c r="A1225" s="3" t="s">
        <v>1285</v>
      </c>
      <c r="B1225">
        <v>2176.6799999999998</v>
      </c>
      <c r="C1225">
        <v>2089.61</v>
      </c>
    </row>
    <row r="1226" spans="1:3" x14ac:dyDescent="0.3">
      <c r="A1226" s="3" t="s">
        <v>1286</v>
      </c>
      <c r="B1226">
        <v>4187.37</v>
      </c>
      <c r="C1226">
        <v>3810.51</v>
      </c>
    </row>
    <row r="1227" spans="1:3" x14ac:dyDescent="0.3">
      <c r="A1227" s="3" t="s">
        <v>1287</v>
      </c>
      <c r="B1227">
        <v>11968.24</v>
      </c>
      <c r="C1227">
        <v>11609.19</v>
      </c>
    </row>
    <row r="1228" spans="1:3" x14ac:dyDescent="0.3">
      <c r="A1228" s="3" t="s">
        <v>1288</v>
      </c>
      <c r="B1228">
        <v>6402.39</v>
      </c>
      <c r="C1228">
        <v>6082.27</v>
      </c>
    </row>
    <row r="1229" spans="1:3" x14ac:dyDescent="0.3">
      <c r="A1229" s="3" t="s">
        <v>1289</v>
      </c>
      <c r="B1229">
        <v>16146.88</v>
      </c>
      <c r="C1229">
        <v>14532.19</v>
      </c>
    </row>
    <row r="1230" spans="1:3" x14ac:dyDescent="0.3">
      <c r="A1230" s="3" t="s">
        <v>1290</v>
      </c>
      <c r="B1230">
        <v>3287.12</v>
      </c>
      <c r="C1230">
        <v>2629.7</v>
      </c>
    </row>
    <row r="1231" spans="1:3" x14ac:dyDescent="0.3">
      <c r="A1231" s="3" t="s">
        <v>1291</v>
      </c>
      <c r="B1231">
        <v>5732.88</v>
      </c>
      <c r="C1231">
        <v>5560.89</v>
      </c>
    </row>
    <row r="1232" spans="1:3" x14ac:dyDescent="0.3">
      <c r="A1232" s="3" t="s">
        <v>1292</v>
      </c>
      <c r="B1232">
        <v>5764.0499999999993</v>
      </c>
      <c r="C1232">
        <v>5187.6400000000003</v>
      </c>
    </row>
    <row r="1233" spans="1:3" x14ac:dyDescent="0.3">
      <c r="A1233" s="3" t="s">
        <v>1293</v>
      </c>
      <c r="B1233">
        <v>493.8</v>
      </c>
      <c r="C1233">
        <v>469.11</v>
      </c>
    </row>
    <row r="1234" spans="1:3" x14ac:dyDescent="0.3">
      <c r="A1234" s="3" t="s">
        <v>1294</v>
      </c>
      <c r="B1234">
        <v>4455.22</v>
      </c>
      <c r="C1234">
        <v>4410.67</v>
      </c>
    </row>
    <row r="1235" spans="1:3" x14ac:dyDescent="0.3">
      <c r="A1235" s="3" t="s">
        <v>1295</v>
      </c>
      <c r="B1235">
        <v>13488.66</v>
      </c>
      <c r="C1235">
        <v>13218.89</v>
      </c>
    </row>
    <row r="1236" spans="1:3" x14ac:dyDescent="0.3">
      <c r="A1236" s="3" t="s">
        <v>1296</v>
      </c>
      <c r="B1236">
        <v>20330.899999999998</v>
      </c>
      <c r="C1236">
        <v>20330.899999999998</v>
      </c>
    </row>
    <row r="1237" spans="1:3" x14ac:dyDescent="0.3">
      <c r="A1237" s="3" t="s">
        <v>1297</v>
      </c>
      <c r="B1237">
        <v>16876.600000000002</v>
      </c>
      <c r="C1237">
        <v>16539.07</v>
      </c>
    </row>
    <row r="1238" spans="1:3" x14ac:dyDescent="0.3">
      <c r="A1238" s="3" t="s">
        <v>1298</v>
      </c>
      <c r="B1238">
        <v>3741.61</v>
      </c>
      <c r="C1238">
        <v>3068.12</v>
      </c>
    </row>
    <row r="1239" spans="1:3" x14ac:dyDescent="0.3">
      <c r="A1239" s="3" t="s">
        <v>1299</v>
      </c>
      <c r="B1239">
        <v>13499.8</v>
      </c>
      <c r="C1239">
        <v>11744.83</v>
      </c>
    </row>
    <row r="1240" spans="1:3" x14ac:dyDescent="0.3">
      <c r="A1240" s="3" t="s">
        <v>1300</v>
      </c>
      <c r="B1240">
        <v>5877.82</v>
      </c>
      <c r="C1240">
        <v>4525.92</v>
      </c>
    </row>
    <row r="1241" spans="1:3" x14ac:dyDescent="0.3">
      <c r="A1241" s="3" t="s">
        <v>1301</v>
      </c>
      <c r="B1241">
        <v>4193.3599999999997</v>
      </c>
      <c r="C1241">
        <v>3941.76</v>
      </c>
    </row>
    <row r="1242" spans="1:3" x14ac:dyDescent="0.3">
      <c r="A1242" s="3" t="s">
        <v>1302</v>
      </c>
      <c r="B1242">
        <v>10438.599999999999</v>
      </c>
      <c r="C1242">
        <v>7828.95</v>
      </c>
    </row>
    <row r="1243" spans="1:3" x14ac:dyDescent="0.3">
      <c r="A1243" s="3" t="s">
        <v>1303</v>
      </c>
      <c r="B1243">
        <v>2701.78</v>
      </c>
      <c r="C1243">
        <v>2161.42</v>
      </c>
    </row>
    <row r="1244" spans="1:3" x14ac:dyDescent="0.3">
      <c r="A1244" s="3" t="s">
        <v>1304</v>
      </c>
      <c r="B1244">
        <v>4827.29</v>
      </c>
      <c r="C1244">
        <v>4682.47</v>
      </c>
    </row>
    <row r="1245" spans="1:3" x14ac:dyDescent="0.3">
      <c r="A1245" s="3" t="s">
        <v>1305</v>
      </c>
      <c r="B1245">
        <v>8948.7999999999993</v>
      </c>
      <c r="C1245">
        <v>6711.6</v>
      </c>
    </row>
    <row r="1246" spans="1:3" x14ac:dyDescent="0.3">
      <c r="A1246" s="3" t="s">
        <v>1306</v>
      </c>
      <c r="B1246">
        <v>7387.44</v>
      </c>
      <c r="C1246">
        <v>6722.57</v>
      </c>
    </row>
    <row r="1247" spans="1:3" x14ac:dyDescent="0.3">
      <c r="A1247" s="3" t="s">
        <v>1307</v>
      </c>
      <c r="B1247">
        <v>6998.2</v>
      </c>
      <c r="C1247">
        <v>5248.65</v>
      </c>
    </row>
    <row r="1248" spans="1:3" x14ac:dyDescent="0.3">
      <c r="A1248" s="3" t="s">
        <v>1308</v>
      </c>
      <c r="B1248">
        <v>17222.599999999999</v>
      </c>
      <c r="C1248">
        <v>16017.02</v>
      </c>
    </row>
    <row r="1249" spans="1:3" x14ac:dyDescent="0.3">
      <c r="A1249" s="3" t="s">
        <v>1309</v>
      </c>
      <c r="B1249">
        <v>7271.16</v>
      </c>
      <c r="C1249">
        <v>6762.18</v>
      </c>
    </row>
    <row r="1250" spans="1:3" x14ac:dyDescent="0.3">
      <c r="A1250" s="3" t="s">
        <v>1310</v>
      </c>
      <c r="B1250">
        <v>3800.33</v>
      </c>
      <c r="C1250">
        <v>3648.32</v>
      </c>
    </row>
    <row r="1251" spans="1:3" x14ac:dyDescent="0.3">
      <c r="A1251" s="3" t="s">
        <v>1311</v>
      </c>
      <c r="B1251">
        <v>5237.6000000000004</v>
      </c>
      <c r="C1251">
        <v>4137.7</v>
      </c>
    </row>
    <row r="1252" spans="1:3" x14ac:dyDescent="0.3">
      <c r="A1252" s="3" t="s">
        <v>1312</v>
      </c>
      <c r="B1252">
        <v>23636.350000000002</v>
      </c>
      <c r="C1252">
        <v>22690.9</v>
      </c>
    </row>
    <row r="1253" spans="1:3" x14ac:dyDescent="0.3">
      <c r="A1253" s="3" t="s">
        <v>1313</v>
      </c>
      <c r="B1253">
        <v>3014</v>
      </c>
      <c r="C1253">
        <v>2531.7600000000002</v>
      </c>
    </row>
    <row r="1254" spans="1:3" x14ac:dyDescent="0.3">
      <c r="A1254" s="3" t="s">
        <v>1314</v>
      </c>
      <c r="B1254">
        <v>889.94</v>
      </c>
      <c r="C1254">
        <v>676.35</v>
      </c>
    </row>
    <row r="1255" spans="1:3" x14ac:dyDescent="0.3">
      <c r="A1255" s="3" t="s">
        <v>1315</v>
      </c>
      <c r="B1255">
        <v>8747.84</v>
      </c>
      <c r="C1255">
        <v>8397.93</v>
      </c>
    </row>
    <row r="1256" spans="1:3" x14ac:dyDescent="0.3">
      <c r="A1256" s="3" t="s">
        <v>1316</v>
      </c>
      <c r="B1256">
        <v>3846.99</v>
      </c>
      <c r="C1256">
        <v>3039.12</v>
      </c>
    </row>
    <row r="1257" spans="1:3" x14ac:dyDescent="0.3">
      <c r="A1257" s="3" t="s">
        <v>1317</v>
      </c>
      <c r="B1257">
        <v>8556.35</v>
      </c>
      <c r="C1257">
        <v>7101.77</v>
      </c>
    </row>
    <row r="1258" spans="1:3" x14ac:dyDescent="0.3">
      <c r="A1258" s="3" t="s">
        <v>1318</v>
      </c>
      <c r="B1258">
        <v>5992.62</v>
      </c>
      <c r="C1258">
        <v>4973.87</v>
      </c>
    </row>
    <row r="1259" spans="1:3" x14ac:dyDescent="0.3">
      <c r="A1259" s="3" t="s">
        <v>1319</v>
      </c>
      <c r="B1259">
        <v>1225.2</v>
      </c>
      <c r="C1259">
        <v>1188.44</v>
      </c>
    </row>
    <row r="1260" spans="1:3" x14ac:dyDescent="0.3">
      <c r="A1260" s="3" t="s">
        <v>1320</v>
      </c>
      <c r="B1260">
        <v>10834.8</v>
      </c>
      <c r="C1260">
        <v>9751.32</v>
      </c>
    </row>
    <row r="1261" spans="1:3" x14ac:dyDescent="0.3">
      <c r="A1261" s="3" t="s">
        <v>1321</v>
      </c>
      <c r="B1261">
        <v>16337.96</v>
      </c>
      <c r="C1261">
        <v>13723.89</v>
      </c>
    </row>
    <row r="1262" spans="1:3" x14ac:dyDescent="0.3">
      <c r="A1262" s="3" t="s">
        <v>1322</v>
      </c>
      <c r="B1262">
        <v>16117.16</v>
      </c>
      <c r="C1262">
        <v>13216.07</v>
      </c>
    </row>
    <row r="1263" spans="1:3" x14ac:dyDescent="0.3">
      <c r="A1263" s="3" t="s">
        <v>1323</v>
      </c>
      <c r="B1263">
        <v>1690.11</v>
      </c>
      <c r="C1263">
        <v>1402.79</v>
      </c>
    </row>
    <row r="1264" spans="1:3" x14ac:dyDescent="0.3">
      <c r="A1264" s="3" t="s">
        <v>1324</v>
      </c>
      <c r="B1264">
        <v>11188.349999999999</v>
      </c>
      <c r="C1264">
        <v>9062.56</v>
      </c>
    </row>
    <row r="1265" spans="1:3" x14ac:dyDescent="0.3">
      <c r="A1265" s="3" t="s">
        <v>1325</v>
      </c>
      <c r="B1265">
        <v>3302.04</v>
      </c>
      <c r="C1265">
        <v>3037.88</v>
      </c>
    </row>
    <row r="1266" spans="1:3" x14ac:dyDescent="0.3">
      <c r="A1266" s="3" t="s">
        <v>1326</v>
      </c>
      <c r="B1266">
        <v>12882.84</v>
      </c>
      <c r="C1266">
        <v>11336.9</v>
      </c>
    </row>
    <row r="1267" spans="1:3" x14ac:dyDescent="0.3">
      <c r="A1267" s="3" t="s">
        <v>1327</v>
      </c>
      <c r="B1267">
        <v>5902.1</v>
      </c>
      <c r="C1267">
        <v>4544.62</v>
      </c>
    </row>
    <row r="1268" spans="1:3" x14ac:dyDescent="0.3">
      <c r="A1268" s="3" t="s">
        <v>1328</v>
      </c>
      <c r="B1268">
        <v>1073.24</v>
      </c>
      <c r="C1268">
        <v>1051.78</v>
      </c>
    </row>
    <row r="1269" spans="1:3" x14ac:dyDescent="0.3">
      <c r="A1269" s="3" t="s">
        <v>1329</v>
      </c>
      <c r="B1269">
        <v>9228.34</v>
      </c>
      <c r="C1269">
        <v>8951.49</v>
      </c>
    </row>
    <row r="1270" spans="1:3" x14ac:dyDescent="0.3">
      <c r="A1270" s="3" t="s">
        <v>1330</v>
      </c>
      <c r="B1270">
        <v>5570.28</v>
      </c>
      <c r="C1270">
        <v>4623.33</v>
      </c>
    </row>
    <row r="1271" spans="1:3" x14ac:dyDescent="0.3">
      <c r="A1271" s="3" t="s">
        <v>1331</v>
      </c>
      <c r="B1271">
        <v>1624.7</v>
      </c>
      <c r="C1271">
        <v>1510.97</v>
      </c>
    </row>
    <row r="1272" spans="1:3" x14ac:dyDescent="0.3">
      <c r="A1272" s="3" t="s">
        <v>1332</v>
      </c>
      <c r="B1272">
        <v>10290.599999999999</v>
      </c>
      <c r="C1272">
        <v>8849.92</v>
      </c>
    </row>
    <row r="1273" spans="1:3" x14ac:dyDescent="0.3">
      <c r="A1273" s="3" t="s">
        <v>1333</v>
      </c>
      <c r="B1273">
        <v>3337.52</v>
      </c>
      <c r="C1273">
        <v>3037.14</v>
      </c>
    </row>
    <row r="1274" spans="1:3" x14ac:dyDescent="0.3">
      <c r="A1274" s="3" t="s">
        <v>1334</v>
      </c>
      <c r="B1274">
        <v>10893.04</v>
      </c>
      <c r="C1274">
        <v>10566.25</v>
      </c>
    </row>
    <row r="1275" spans="1:3" x14ac:dyDescent="0.3">
      <c r="A1275" s="3" t="s">
        <v>1335</v>
      </c>
      <c r="B1275">
        <v>2355.17</v>
      </c>
      <c r="C1275">
        <v>2096.1</v>
      </c>
    </row>
    <row r="1276" spans="1:3" x14ac:dyDescent="0.3">
      <c r="A1276" s="3" t="s">
        <v>1336</v>
      </c>
      <c r="B1276">
        <v>4489.62</v>
      </c>
      <c r="C1276">
        <v>3950.87</v>
      </c>
    </row>
    <row r="1277" spans="1:3" x14ac:dyDescent="0.3">
      <c r="A1277" s="3" t="s">
        <v>1337</v>
      </c>
      <c r="B1277">
        <v>3596.7</v>
      </c>
      <c r="C1277">
        <v>3165.1</v>
      </c>
    </row>
    <row r="1278" spans="1:3" x14ac:dyDescent="0.3">
      <c r="A1278" s="3" t="s">
        <v>1338</v>
      </c>
      <c r="B1278">
        <v>5158.83</v>
      </c>
      <c r="C1278">
        <v>4436.59</v>
      </c>
    </row>
    <row r="1279" spans="1:3" x14ac:dyDescent="0.3">
      <c r="A1279" s="3" t="s">
        <v>1339</v>
      </c>
      <c r="B1279">
        <v>8935.4699999999993</v>
      </c>
      <c r="C1279">
        <v>7237.73</v>
      </c>
    </row>
    <row r="1280" spans="1:3" x14ac:dyDescent="0.3">
      <c r="A1280" s="3" t="s">
        <v>1340</v>
      </c>
      <c r="B1280">
        <v>488.98</v>
      </c>
      <c r="C1280">
        <v>376.51</v>
      </c>
    </row>
    <row r="1281" spans="1:3" x14ac:dyDescent="0.3">
      <c r="A1281" s="3" t="s">
        <v>1341</v>
      </c>
      <c r="B1281">
        <v>14049.72</v>
      </c>
      <c r="C1281">
        <v>13628.23</v>
      </c>
    </row>
    <row r="1282" spans="1:3" x14ac:dyDescent="0.3">
      <c r="A1282" s="3" t="s">
        <v>1342</v>
      </c>
      <c r="B1282">
        <v>1004.38</v>
      </c>
      <c r="C1282">
        <v>903.94</v>
      </c>
    </row>
    <row r="1283" spans="1:3" x14ac:dyDescent="0.3">
      <c r="A1283" s="3" t="s">
        <v>1343</v>
      </c>
      <c r="B1283">
        <v>599.88</v>
      </c>
      <c r="C1283">
        <v>509.9</v>
      </c>
    </row>
    <row r="1284" spans="1:3" x14ac:dyDescent="0.3">
      <c r="A1284" s="3" t="s">
        <v>1344</v>
      </c>
      <c r="B1284">
        <v>1701.61</v>
      </c>
      <c r="C1284">
        <v>1565.48</v>
      </c>
    </row>
    <row r="1285" spans="1:3" x14ac:dyDescent="0.3">
      <c r="A1285" s="3" t="s">
        <v>1345</v>
      </c>
      <c r="B1285">
        <v>5850.15</v>
      </c>
      <c r="C1285">
        <v>5323.64</v>
      </c>
    </row>
    <row r="1286" spans="1:3" x14ac:dyDescent="0.3">
      <c r="A1286" s="3" t="s">
        <v>1346</v>
      </c>
      <c r="B1286">
        <v>8180.74</v>
      </c>
      <c r="C1286">
        <v>7280.86</v>
      </c>
    </row>
    <row r="1287" spans="1:3" x14ac:dyDescent="0.3">
      <c r="A1287" s="3" t="s">
        <v>1347</v>
      </c>
      <c r="B1287">
        <v>5983.04</v>
      </c>
      <c r="C1287">
        <v>5743.72</v>
      </c>
    </row>
    <row r="1288" spans="1:3" x14ac:dyDescent="0.3">
      <c r="A1288" s="3" t="s">
        <v>1348</v>
      </c>
      <c r="B1288">
        <v>18902.599999999999</v>
      </c>
      <c r="C1288">
        <v>15689.16</v>
      </c>
    </row>
    <row r="1289" spans="1:3" x14ac:dyDescent="0.3">
      <c r="A1289" s="3" t="s">
        <v>1349</v>
      </c>
      <c r="B1289">
        <v>1855.77</v>
      </c>
      <c r="C1289">
        <v>1428.94</v>
      </c>
    </row>
    <row r="1290" spans="1:3" x14ac:dyDescent="0.3">
      <c r="A1290" s="3" t="s">
        <v>1350</v>
      </c>
      <c r="B1290">
        <v>13281</v>
      </c>
      <c r="C1290">
        <v>10757.61</v>
      </c>
    </row>
    <row r="1291" spans="1:3" x14ac:dyDescent="0.3">
      <c r="A1291" s="3" t="s">
        <v>1351</v>
      </c>
      <c r="B1291">
        <v>8323.08</v>
      </c>
      <c r="C1291">
        <v>7574</v>
      </c>
    </row>
    <row r="1292" spans="1:3" x14ac:dyDescent="0.3">
      <c r="A1292" s="3" t="s">
        <v>1352</v>
      </c>
      <c r="B1292">
        <v>19848.84</v>
      </c>
      <c r="C1292">
        <v>16077.56</v>
      </c>
    </row>
    <row r="1293" spans="1:3" x14ac:dyDescent="0.3">
      <c r="A1293" s="3" t="s">
        <v>1353</v>
      </c>
      <c r="B1293">
        <v>13798.3</v>
      </c>
      <c r="C1293">
        <v>11590.57</v>
      </c>
    </row>
    <row r="1294" spans="1:3" x14ac:dyDescent="0.3">
      <c r="A1294" s="3" t="s">
        <v>1354</v>
      </c>
      <c r="B1294">
        <v>1784.65</v>
      </c>
      <c r="C1294">
        <v>1409.87</v>
      </c>
    </row>
    <row r="1295" spans="1:3" x14ac:dyDescent="0.3">
      <c r="A1295" s="3" t="s">
        <v>1355</v>
      </c>
      <c r="B1295">
        <v>7181.62</v>
      </c>
      <c r="C1295">
        <v>7037.99</v>
      </c>
    </row>
    <row r="1296" spans="1:3" x14ac:dyDescent="0.3">
      <c r="A1296" s="3" t="s">
        <v>1356</v>
      </c>
      <c r="B1296">
        <v>4629.13</v>
      </c>
      <c r="C1296">
        <v>4629.13</v>
      </c>
    </row>
    <row r="1297" spans="1:3" x14ac:dyDescent="0.3">
      <c r="A1297" s="3" t="s">
        <v>1357</v>
      </c>
      <c r="B1297">
        <v>1588.36</v>
      </c>
      <c r="C1297">
        <v>1493.06</v>
      </c>
    </row>
    <row r="1298" spans="1:3" x14ac:dyDescent="0.3">
      <c r="A1298" s="3" t="s">
        <v>1358</v>
      </c>
      <c r="B1298">
        <v>2137.85</v>
      </c>
      <c r="C1298">
        <v>1924.07</v>
      </c>
    </row>
    <row r="1299" spans="1:3" x14ac:dyDescent="0.3">
      <c r="A1299" s="3" t="s">
        <v>1359</v>
      </c>
      <c r="B1299">
        <v>1219.28</v>
      </c>
      <c r="C1299">
        <v>987.62</v>
      </c>
    </row>
    <row r="1300" spans="1:3" x14ac:dyDescent="0.3">
      <c r="A1300" s="3" t="s">
        <v>1360</v>
      </c>
      <c r="B1300">
        <v>5462</v>
      </c>
      <c r="C1300">
        <v>5243.52</v>
      </c>
    </row>
    <row r="1301" spans="1:3" x14ac:dyDescent="0.3">
      <c r="A1301" s="3" t="s">
        <v>1361</v>
      </c>
      <c r="B1301">
        <v>6906.75</v>
      </c>
      <c r="C1301">
        <v>5594.47</v>
      </c>
    </row>
    <row r="1302" spans="1:3" x14ac:dyDescent="0.3">
      <c r="A1302" s="3" t="s">
        <v>1362</v>
      </c>
      <c r="B1302">
        <v>2397.89</v>
      </c>
      <c r="C1302">
        <v>2325.9499999999998</v>
      </c>
    </row>
    <row r="1303" spans="1:3" x14ac:dyDescent="0.3">
      <c r="A1303" s="3" t="s">
        <v>1363</v>
      </c>
      <c r="B1303">
        <v>9587.1</v>
      </c>
      <c r="C1303">
        <v>7861.42</v>
      </c>
    </row>
    <row r="1304" spans="1:3" x14ac:dyDescent="0.3">
      <c r="A1304" s="3" t="s">
        <v>1364</v>
      </c>
      <c r="B1304">
        <v>848.15</v>
      </c>
      <c r="C1304">
        <v>814.22</v>
      </c>
    </row>
    <row r="1305" spans="1:3" x14ac:dyDescent="0.3">
      <c r="A1305" s="3" t="s">
        <v>1365</v>
      </c>
      <c r="B1305">
        <v>7732.23</v>
      </c>
      <c r="C1305">
        <v>7268.3</v>
      </c>
    </row>
    <row r="1306" spans="1:3" x14ac:dyDescent="0.3">
      <c r="A1306" s="3" t="s">
        <v>1366</v>
      </c>
      <c r="B1306">
        <v>13449.65</v>
      </c>
      <c r="C1306">
        <v>11566.7</v>
      </c>
    </row>
    <row r="1307" spans="1:3" x14ac:dyDescent="0.3">
      <c r="A1307" s="3" t="s">
        <v>1367</v>
      </c>
      <c r="B1307">
        <v>18151.8</v>
      </c>
      <c r="C1307">
        <v>14884.48</v>
      </c>
    </row>
    <row r="1308" spans="1:3" x14ac:dyDescent="0.3">
      <c r="A1308" s="3" t="s">
        <v>1368</v>
      </c>
      <c r="B1308">
        <v>1931.25</v>
      </c>
      <c r="C1308">
        <v>1738.12</v>
      </c>
    </row>
    <row r="1309" spans="1:3" x14ac:dyDescent="0.3">
      <c r="A1309" s="3" t="s">
        <v>1369</v>
      </c>
      <c r="B1309">
        <v>5936.4</v>
      </c>
      <c r="C1309">
        <v>5045.9399999999996</v>
      </c>
    </row>
    <row r="1310" spans="1:3" x14ac:dyDescent="0.3">
      <c r="A1310" s="3" t="s">
        <v>1370</v>
      </c>
      <c r="B1310">
        <v>4651.38</v>
      </c>
      <c r="C1310">
        <v>3628.08</v>
      </c>
    </row>
    <row r="1311" spans="1:3" x14ac:dyDescent="0.3">
      <c r="A1311" s="3" t="s">
        <v>1371</v>
      </c>
      <c r="B1311">
        <v>2215.5100000000002</v>
      </c>
      <c r="C1311">
        <v>2060.42</v>
      </c>
    </row>
    <row r="1312" spans="1:3" x14ac:dyDescent="0.3">
      <c r="A1312" s="3" t="s">
        <v>1372</v>
      </c>
      <c r="B1312">
        <v>3359.07</v>
      </c>
      <c r="C1312">
        <v>3023.16</v>
      </c>
    </row>
    <row r="1313" spans="1:3" x14ac:dyDescent="0.3">
      <c r="A1313" s="3" t="s">
        <v>1373</v>
      </c>
      <c r="B1313">
        <v>10080.99</v>
      </c>
      <c r="C1313">
        <v>9778.56</v>
      </c>
    </row>
    <row r="1314" spans="1:3" x14ac:dyDescent="0.3">
      <c r="A1314" s="3" t="s">
        <v>1374</v>
      </c>
      <c r="B1314">
        <v>21629.75</v>
      </c>
      <c r="C1314">
        <v>17303.8</v>
      </c>
    </row>
    <row r="1315" spans="1:3" x14ac:dyDescent="0.3">
      <c r="A1315" s="3" t="s">
        <v>1375</v>
      </c>
      <c r="B1315">
        <v>6286.28</v>
      </c>
      <c r="C1315">
        <v>4966.16</v>
      </c>
    </row>
    <row r="1316" spans="1:3" x14ac:dyDescent="0.3">
      <c r="A1316" s="3" t="s">
        <v>1376</v>
      </c>
      <c r="B1316">
        <v>18767.599999999999</v>
      </c>
      <c r="C1316">
        <v>16703.16</v>
      </c>
    </row>
    <row r="1317" spans="1:3" x14ac:dyDescent="0.3">
      <c r="A1317" s="3" t="s">
        <v>1377</v>
      </c>
      <c r="B1317">
        <v>11671.36</v>
      </c>
      <c r="C1317">
        <v>9337.09</v>
      </c>
    </row>
    <row r="1318" spans="1:3" x14ac:dyDescent="0.3">
      <c r="A1318" s="3" t="s">
        <v>1378</v>
      </c>
      <c r="B1318">
        <v>13499.400000000001</v>
      </c>
      <c r="C1318">
        <v>11339.5</v>
      </c>
    </row>
    <row r="1319" spans="1:3" x14ac:dyDescent="0.3">
      <c r="A1319" s="3" t="s">
        <v>1379</v>
      </c>
      <c r="B1319">
        <v>1635.14</v>
      </c>
      <c r="C1319">
        <v>1259.06</v>
      </c>
    </row>
    <row r="1320" spans="1:3" x14ac:dyDescent="0.3">
      <c r="A1320" s="3" t="s">
        <v>1380</v>
      </c>
      <c r="B1320">
        <v>22660.6</v>
      </c>
      <c r="C1320">
        <v>20167.93</v>
      </c>
    </row>
    <row r="1321" spans="1:3" x14ac:dyDescent="0.3">
      <c r="A1321" s="3" t="s">
        <v>1381</v>
      </c>
      <c r="B1321">
        <v>2708.3</v>
      </c>
      <c r="C1321">
        <v>2302.06</v>
      </c>
    </row>
    <row r="1322" spans="1:3" x14ac:dyDescent="0.3">
      <c r="A1322" s="3" t="s">
        <v>1382</v>
      </c>
      <c r="B1322">
        <v>3802.8</v>
      </c>
      <c r="C1322">
        <v>3688.72</v>
      </c>
    </row>
    <row r="1323" spans="1:3" x14ac:dyDescent="0.3">
      <c r="A1323" s="3" t="s">
        <v>1383</v>
      </c>
      <c r="B1323">
        <v>14511.800000000001</v>
      </c>
      <c r="C1323">
        <v>12915.5</v>
      </c>
    </row>
    <row r="1324" spans="1:3" x14ac:dyDescent="0.3">
      <c r="A1324" s="3" t="s">
        <v>1384</v>
      </c>
      <c r="B1324">
        <v>968.45</v>
      </c>
      <c r="C1324">
        <v>813.5</v>
      </c>
    </row>
    <row r="1325" spans="1:3" x14ac:dyDescent="0.3">
      <c r="A1325" s="3" t="s">
        <v>1385</v>
      </c>
      <c r="B1325">
        <v>1838.09</v>
      </c>
      <c r="C1325">
        <v>1378.57</v>
      </c>
    </row>
    <row r="1326" spans="1:3" x14ac:dyDescent="0.3">
      <c r="A1326" s="3" t="s">
        <v>1386</v>
      </c>
      <c r="B1326">
        <v>5231.54</v>
      </c>
      <c r="C1326">
        <v>3923.65</v>
      </c>
    </row>
    <row r="1327" spans="1:3" x14ac:dyDescent="0.3">
      <c r="A1327" s="3" t="s">
        <v>1387</v>
      </c>
      <c r="B1327">
        <v>19924.599999999999</v>
      </c>
      <c r="C1327">
        <v>18330.63</v>
      </c>
    </row>
    <row r="1328" spans="1:3" x14ac:dyDescent="0.3">
      <c r="A1328" s="3" t="s">
        <v>1388</v>
      </c>
      <c r="B1328">
        <v>970.69999999999993</v>
      </c>
      <c r="C1328">
        <v>873.63</v>
      </c>
    </row>
    <row r="1329" spans="1:3" x14ac:dyDescent="0.3">
      <c r="A1329" s="3" t="s">
        <v>1389</v>
      </c>
      <c r="B1329">
        <v>8381.0400000000009</v>
      </c>
      <c r="C1329">
        <v>7626.75</v>
      </c>
    </row>
    <row r="1330" spans="1:3" x14ac:dyDescent="0.3">
      <c r="A1330" s="3" t="s">
        <v>1390</v>
      </c>
      <c r="B1330">
        <v>4046.83</v>
      </c>
      <c r="C1330">
        <v>3116.06</v>
      </c>
    </row>
    <row r="1331" spans="1:3" x14ac:dyDescent="0.3">
      <c r="A1331" s="3" t="s">
        <v>1391</v>
      </c>
      <c r="B1331">
        <v>1254.9000000000001</v>
      </c>
      <c r="C1331">
        <v>1079.21</v>
      </c>
    </row>
    <row r="1332" spans="1:3" x14ac:dyDescent="0.3">
      <c r="A1332" s="3" t="s">
        <v>1392</v>
      </c>
      <c r="B1332">
        <v>5911</v>
      </c>
      <c r="C1332">
        <v>4492.3599999999997</v>
      </c>
    </row>
    <row r="1333" spans="1:3" x14ac:dyDescent="0.3">
      <c r="A1333" s="3" t="s">
        <v>1393</v>
      </c>
      <c r="B1333">
        <v>1009.32</v>
      </c>
      <c r="C1333">
        <v>827.64</v>
      </c>
    </row>
    <row r="1334" spans="1:3" x14ac:dyDescent="0.3">
      <c r="A1334" s="3" t="s">
        <v>1394</v>
      </c>
      <c r="B1334">
        <v>9494.130000000001</v>
      </c>
      <c r="C1334">
        <v>9019.42</v>
      </c>
    </row>
    <row r="1335" spans="1:3" x14ac:dyDescent="0.3">
      <c r="A1335" s="3" t="s">
        <v>1395</v>
      </c>
      <c r="B1335">
        <v>4024.6</v>
      </c>
      <c r="C1335">
        <v>4024.6</v>
      </c>
    </row>
    <row r="1336" spans="1:3" x14ac:dyDescent="0.3">
      <c r="A1336" s="3" t="s">
        <v>1396</v>
      </c>
      <c r="B1336">
        <v>8516.44</v>
      </c>
      <c r="C1336">
        <v>6898.32</v>
      </c>
    </row>
    <row r="1337" spans="1:3" x14ac:dyDescent="0.3">
      <c r="A1337" s="3" t="s">
        <v>1397</v>
      </c>
      <c r="B1337">
        <v>3508.41</v>
      </c>
      <c r="C1337">
        <v>3297.91</v>
      </c>
    </row>
    <row r="1338" spans="1:3" x14ac:dyDescent="0.3">
      <c r="A1338" s="3" t="s">
        <v>1398</v>
      </c>
      <c r="B1338">
        <v>2520.2199999999998</v>
      </c>
      <c r="C1338">
        <v>1940.57</v>
      </c>
    </row>
    <row r="1339" spans="1:3" x14ac:dyDescent="0.3">
      <c r="A1339" s="3" t="s">
        <v>1399</v>
      </c>
      <c r="B1339">
        <v>10561.710000000001</v>
      </c>
      <c r="C1339">
        <v>8977.4500000000007</v>
      </c>
    </row>
    <row r="1340" spans="1:3" x14ac:dyDescent="0.3">
      <c r="A1340" s="3" t="s">
        <v>1400</v>
      </c>
      <c r="B1340">
        <v>6284.84</v>
      </c>
      <c r="C1340">
        <v>5530.66</v>
      </c>
    </row>
    <row r="1341" spans="1:3" x14ac:dyDescent="0.3">
      <c r="A1341" s="3" t="s">
        <v>1401</v>
      </c>
      <c r="B1341">
        <v>6757.6</v>
      </c>
      <c r="C1341">
        <v>5406.08</v>
      </c>
    </row>
    <row r="1342" spans="1:3" x14ac:dyDescent="0.3">
      <c r="A1342" s="3" t="s">
        <v>1402</v>
      </c>
      <c r="B1342">
        <v>8624.1200000000008</v>
      </c>
      <c r="C1342">
        <v>8537.8799999999992</v>
      </c>
    </row>
    <row r="1343" spans="1:3" x14ac:dyDescent="0.3">
      <c r="A1343" s="3" t="s">
        <v>1403</v>
      </c>
      <c r="B1343">
        <v>1680.18</v>
      </c>
      <c r="C1343">
        <v>1276.94</v>
      </c>
    </row>
    <row r="1344" spans="1:3" x14ac:dyDescent="0.3">
      <c r="A1344" s="3" t="s">
        <v>1404</v>
      </c>
      <c r="B1344">
        <v>2536.88</v>
      </c>
      <c r="C1344">
        <v>2435.4</v>
      </c>
    </row>
    <row r="1345" spans="1:3" x14ac:dyDescent="0.3">
      <c r="A1345" s="3" t="s">
        <v>1405</v>
      </c>
      <c r="B1345">
        <v>19394.36</v>
      </c>
      <c r="C1345">
        <v>19200.419999999998</v>
      </c>
    </row>
    <row r="1346" spans="1:3" x14ac:dyDescent="0.3">
      <c r="A1346" s="3" t="s">
        <v>1406</v>
      </c>
      <c r="B1346">
        <v>16151</v>
      </c>
      <c r="C1346">
        <v>14535.9</v>
      </c>
    </row>
    <row r="1347" spans="1:3" x14ac:dyDescent="0.3">
      <c r="A1347" s="3" t="s">
        <v>1407</v>
      </c>
      <c r="B1347">
        <v>3035.67</v>
      </c>
      <c r="C1347">
        <v>2641.03</v>
      </c>
    </row>
    <row r="1348" spans="1:3" x14ac:dyDescent="0.3">
      <c r="A1348" s="3" t="s">
        <v>1408</v>
      </c>
      <c r="B1348">
        <v>2290.6799999999998</v>
      </c>
      <c r="C1348">
        <v>2061.61</v>
      </c>
    </row>
    <row r="1349" spans="1:3" x14ac:dyDescent="0.3">
      <c r="A1349" s="3" t="s">
        <v>1409</v>
      </c>
      <c r="B1349">
        <v>19948.55</v>
      </c>
      <c r="C1349">
        <v>16557.3</v>
      </c>
    </row>
    <row r="1350" spans="1:3" x14ac:dyDescent="0.3">
      <c r="A1350" s="3" t="s">
        <v>1410</v>
      </c>
      <c r="B1350">
        <v>4988.16</v>
      </c>
      <c r="C1350">
        <v>4389.58</v>
      </c>
    </row>
    <row r="1351" spans="1:3" x14ac:dyDescent="0.3">
      <c r="A1351" s="3" t="s">
        <v>1411</v>
      </c>
      <c r="B1351">
        <v>2693.25</v>
      </c>
      <c r="C1351">
        <v>2370.06</v>
      </c>
    </row>
    <row r="1352" spans="1:3" x14ac:dyDescent="0.3">
      <c r="A1352" s="3" t="s">
        <v>1412</v>
      </c>
      <c r="B1352">
        <v>2421.36</v>
      </c>
      <c r="C1352">
        <v>2276.08</v>
      </c>
    </row>
    <row r="1353" spans="1:3" x14ac:dyDescent="0.3">
      <c r="A1353" s="3" t="s">
        <v>1413</v>
      </c>
      <c r="B1353">
        <v>7425.0599999999995</v>
      </c>
      <c r="C1353">
        <v>6831.06</v>
      </c>
    </row>
    <row r="1354" spans="1:3" x14ac:dyDescent="0.3">
      <c r="A1354" s="3" t="s">
        <v>1414</v>
      </c>
      <c r="B1354">
        <v>5330.32</v>
      </c>
      <c r="C1354">
        <v>4637.38</v>
      </c>
    </row>
    <row r="1355" spans="1:3" x14ac:dyDescent="0.3">
      <c r="A1355" s="3" t="s">
        <v>1415</v>
      </c>
      <c r="B1355">
        <v>671.67</v>
      </c>
      <c r="C1355">
        <v>564.20000000000005</v>
      </c>
    </row>
    <row r="1356" spans="1:3" x14ac:dyDescent="0.3">
      <c r="A1356" s="3" t="s">
        <v>1416</v>
      </c>
      <c r="B1356">
        <v>11381.400000000001</v>
      </c>
      <c r="C1356">
        <v>10470.89</v>
      </c>
    </row>
    <row r="1357" spans="1:3" x14ac:dyDescent="0.3">
      <c r="A1357" s="3" t="s">
        <v>1417</v>
      </c>
      <c r="B1357">
        <v>3363.48</v>
      </c>
      <c r="C1357">
        <v>3363.48</v>
      </c>
    </row>
    <row r="1358" spans="1:3" x14ac:dyDescent="0.3">
      <c r="A1358" s="3" t="s">
        <v>1418</v>
      </c>
      <c r="B1358">
        <v>3181.56</v>
      </c>
      <c r="C1358">
        <v>2672.51</v>
      </c>
    </row>
    <row r="1359" spans="1:3" x14ac:dyDescent="0.3">
      <c r="A1359" s="3" t="s">
        <v>1419</v>
      </c>
      <c r="B1359">
        <v>4427.97</v>
      </c>
      <c r="C1359">
        <v>4383.6899999999996</v>
      </c>
    </row>
    <row r="1360" spans="1:3" x14ac:dyDescent="0.3">
      <c r="A1360" s="3" t="s">
        <v>1420</v>
      </c>
      <c r="B1360">
        <v>9413.2000000000007</v>
      </c>
      <c r="C1360">
        <v>8848.41</v>
      </c>
    </row>
    <row r="1361" spans="1:3" x14ac:dyDescent="0.3">
      <c r="A1361" s="3" t="s">
        <v>1421</v>
      </c>
      <c r="B1361">
        <v>2022.7</v>
      </c>
      <c r="C1361">
        <v>1820.43</v>
      </c>
    </row>
    <row r="1362" spans="1:3" x14ac:dyDescent="0.3">
      <c r="A1362" s="3" t="s">
        <v>1422</v>
      </c>
      <c r="B1362">
        <v>3642.7200000000003</v>
      </c>
      <c r="C1362">
        <v>3606.29</v>
      </c>
    </row>
    <row r="1363" spans="1:3" x14ac:dyDescent="0.3">
      <c r="A1363" s="3" t="s">
        <v>1423</v>
      </c>
      <c r="B1363">
        <v>9509.66</v>
      </c>
      <c r="C1363">
        <v>7227.34</v>
      </c>
    </row>
    <row r="1364" spans="1:3" x14ac:dyDescent="0.3">
      <c r="A1364" s="3" t="s">
        <v>1424</v>
      </c>
      <c r="B1364">
        <v>3381.25</v>
      </c>
      <c r="C1364">
        <v>2806.44</v>
      </c>
    </row>
    <row r="1365" spans="1:3" x14ac:dyDescent="0.3">
      <c r="A1365" s="3" t="s">
        <v>1425</v>
      </c>
      <c r="B1365">
        <v>540.20000000000005</v>
      </c>
      <c r="C1365">
        <v>442.96</v>
      </c>
    </row>
    <row r="1366" spans="1:3" x14ac:dyDescent="0.3">
      <c r="A1366" s="3" t="s">
        <v>1426</v>
      </c>
      <c r="B1366">
        <v>4584.4799999999996</v>
      </c>
      <c r="C1366">
        <v>3713.43</v>
      </c>
    </row>
    <row r="1367" spans="1:3" x14ac:dyDescent="0.3">
      <c r="A1367" s="3" t="s">
        <v>1427</v>
      </c>
      <c r="B1367">
        <v>5216.9400000000005</v>
      </c>
      <c r="C1367">
        <v>4799.58</v>
      </c>
    </row>
    <row r="1368" spans="1:3" x14ac:dyDescent="0.3">
      <c r="A1368" s="3" t="s">
        <v>1428</v>
      </c>
      <c r="B1368">
        <v>19365.400000000001</v>
      </c>
      <c r="C1368">
        <v>18397.13</v>
      </c>
    </row>
    <row r="1369" spans="1:3" x14ac:dyDescent="0.3">
      <c r="A1369" s="3" t="s">
        <v>1429</v>
      </c>
      <c r="B1369">
        <v>12544.079999999998</v>
      </c>
      <c r="C1369">
        <v>10411.59</v>
      </c>
    </row>
    <row r="1370" spans="1:3" x14ac:dyDescent="0.3">
      <c r="A1370" s="3" t="s">
        <v>1430</v>
      </c>
      <c r="B1370">
        <v>1083.4000000000001</v>
      </c>
      <c r="C1370">
        <v>1083.4000000000001</v>
      </c>
    </row>
    <row r="1371" spans="1:3" x14ac:dyDescent="0.3">
      <c r="A1371" s="3" t="s">
        <v>1431</v>
      </c>
      <c r="B1371">
        <v>9224.02</v>
      </c>
      <c r="C1371">
        <v>8117.14</v>
      </c>
    </row>
    <row r="1372" spans="1:3" x14ac:dyDescent="0.3">
      <c r="A1372" s="3" t="s">
        <v>1432</v>
      </c>
      <c r="B1372">
        <v>3134.46</v>
      </c>
      <c r="C1372">
        <v>2476.2199999999998</v>
      </c>
    </row>
    <row r="1373" spans="1:3" x14ac:dyDescent="0.3">
      <c r="A1373" s="3" t="s">
        <v>1433</v>
      </c>
      <c r="B1373">
        <v>6528.56</v>
      </c>
      <c r="C1373">
        <v>4961.71</v>
      </c>
    </row>
    <row r="1374" spans="1:3" x14ac:dyDescent="0.3">
      <c r="A1374" s="3" t="s">
        <v>1434</v>
      </c>
      <c r="B1374">
        <v>2385.0299999999997</v>
      </c>
      <c r="C1374">
        <v>2122.6799999999998</v>
      </c>
    </row>
    <row r="1375" spans="1:3" x14ac:dyDescent="0.3">
      <c r="A1375" s="3" t="s">
        <v>1435</v>
      </c>
      <c r="B1375">
        <v>3651.56</v>
      </c>
      <c r="C1375">
        <v>3249.89</v>
      </c>
    </row>
    <row r="1376" spans="1:3" x14ac:dyDescent="0.3">
      <c r="A1376" s="3" t="s">
        <v>1436</v>
      </c>
      <c r="B1376">
        <v>2047.94</v>
      </c>
      <c r="C1376">
        <v>1863.63</v>
      </c>
    </row>
    <row r="1377" spans="1:3" x14ac:dyDescent="0.3">
      <c r="A1377" s="3" t="s">
        <v>1437</v>
      </c>
      <c r="B1377">
        <v>3317.39</v>
      </c>
      <c r="C1377">
        <v>2521.2199999999998</v>
      </c>
    </row>
    <row r="1378" spans="1:3" x14ac:dyDescent="0.3">
      <c r="A1378" s="3" t="s">
        <v>1438</v>
      </c>
      <c r="B1378">
        <v>6958.82</v>
      </c>
      <c r="C1378">
        <v>5567.06</v>
      </c>
    </row>
    <row r="1379" spans="1:3" x14ac:dyDescent="0.3">
      <c r="A1379" s="3" t="s">
        <v>1439</v>
      </c>
      <c r="B1379">
        <v>1599.72</v>
      </c>
      <c r="C1379">
        <v>1455.75</v>
      </c>
    </row>
    <row r="1380" spans="1:3" x14ac:dyDescent="0.3">
      <c r="A1380" s="3" t="s">
        <v>1440</v>
      </c>
      <c r="B1380">
        <v>5886.08</v>
      </c>
      <c r="C1380">
        <v>5356.33</v>
      </c>
    </row>
    <row r="1381" spans="1:3" x14ac:dyDescent="0.3">
      <c r="A1381" s="3" t="s">
        <v>1441</v>
      </c>
      <c r="B1381">
        <v>6703.4000000000005</v>
      </c>
      <c r="C1381">
        <v>6502.3</v>
      </c>
    </row>
    <row r="1382" spans="1:3" x14ac:dyDescent="0.3">
      <c r="A1382" s="3" t="s">
        <v>1442</v>
      </c>
      <c r="B1382">
        <v>6068.16</v>
      </c>
      <c r="C1382">
        <v>5218.62</v>
      </c>
    </row>
    <row r="1383" spans="1:3" x14ac:dyDescent="0.3">
      <c r="A1383" s="3" t="s">
        <v>1443</v>
      </c>
      <c r="B1383">
        <v>17662.16</v>
      </c>
      <c r="C1383">
        <v>13246.62</v>
      </c>
    </row>
    <row r="1384" spans="1:3" x14ac:dyDescent="0.3">
      <c r="A1384" s="3" t="s">
        <v>1444</v>
      </c>
      <c r="B1384">
        <v>7449.18</v>
      </c>
      <c r="C1384">
        <v>6182.82</v>
      </c>
    </row>
    <row r="1385" spans="1:3" x14ac:dyDescent="0.3">
      <c r="A1385" s="3" t="s">
        <v>1445</v>
      </c>
      <c r="B1385">
        <v>9102.7999999999993</v>
      </c>
      <c r="C1385">
        <v>8192.52</v>
      </c>
    </row>
    <row r="1386" spans="1:3" x14ac:dyDescent="0.3">
      <c r="A1386" s="3" t="s">
        <v>1446</v>
      </c>
      <c r="B1386">
        <v>2526.4899999999998</v>
      </c>
      <c r="C1386">
        <v>1945.4</v>
      </c>
    </row>
    <row r="1387" spans="1:3" x14ac:dyDescent="0.3">
      <c r="A1387" s="3" t="s">
        <v>1447</v>
      </c>
      <c r="B1387">
        <v>4762.6000000000004</v>
      </c>
      <c r="C1387">
        <v>4524.47</v>
      </c>
    </row>
    <row r="1388" spans="1:3" x14ac:dyDescent="0.3">
      <c r="A1388" s="3" t="s">
        <v>1448</v>
      </c>
      <c r="B1388">
        <v>19039.84</v>
      </c>
      <c r="C1388">
        <v>16945.46</v>
      </c>
    </row>
    <row r="1389" spans="1:3" x14ac:dyDescent="0.3">
      <c r="A1389" s="3" t="s">
        <v>1449</v>
      </c>
      <c r="B1389">
        <v>3177.1</v>
      </c>
      <c r="C1389">
        <v>2700.53</v>
      </c>
    </row>
    <row r="1390" spans="1:3" x14ac:dyDescent="0.3">
      <c r="A1390" s="3" t="s">
        <v>1450</v>
      </c>
      <c r="B1390">
        <v>10599.27</v>
      </c>
      <c r="C1390">
        <v>8267.43</v>
      </c>
    </row>
    <row r="1391" spans="1:3" x14ac:dyDescent="0.3">
      <c r="A1391" s="3" t="s">
        <v>1451</v>
      </c>
      <c r="B1391">
        <v>4817.5600000000004</v>
      </c>
      <c r="C1391">
        <v>3902.22</v>
      </c>
    </row>
    <row r="1392" spans="1:3" x14ac:dyDescent="0.3">
      <c r="A1392" s="3" t="s">
        <v>1452</v>
      </c>
      <c r="B1392">
        <v>15081.44</v>
      </c>
      <c r="C1392">
        <v>14176.55</v>
      </c>
    </row>
    <row r="1393" spans="1:3" x14ac:dyDescent="0.3">
      <c r="A1393" s="3" t="s">
        <v>1453</v>
      </c>
      <c r="B1393">
        <v>150.44</v>
      </c>
      <c r="C1393">
        <v>145.93</v>
      </c>
    </row>
    <row r="1394" spans="1:3" x14ac:dyDescent="0.3">
      <c r="A1394" s="3" t="s">
        <v>1454</v>
      </c>
      <c r="B1394">
        <v>10547.82</v>
      </c>
      <c r="C1394">
        <v>9493.0400000000009</v>
      </c>
    </row>
    <row r="1395" spans="1:3" x14ac:dyDescent="0.3">
      <c r="A1395" s="3" t="s">
        <v>1455</v>
      </c>
      <c r="B1395">
        <v>590.20000000000005</v>
      </c>
      <c r="C1395">
        <v>501.67</v>
      </c>
    </row>
    <row r="1396" spans="1:3" x14ac:dyDescent="0.3">
      <c r="A1396" s="3" t="s">
        <v>1456</v>
      </c>
      <c r="B1396">
        <v>1997.79</v>
      </c>
      <c r="C1396">
        <v>1618.21</v>
      </c>
    </row>
    <row r="1397" spans="1:3" x14ac:dyDescent="0.3">
      <c r="A1397" s="3" t="s">
        <v>1457</v>
      </c>
      <c r="B1397">
        <v>21215.7</v>
      </c>
      <c r="C1397">
        <v>19942.759999999998</v>
      </c>
    </row>
    <row r="1398" spans="1:3" x14ac:dyDescent="0.3">
      <c r="A1398" s="3" t="s">
        <v>1458</v>
      </c>
      <c r="B1398">
        <v>10124.44</v>
      </c>
      <c r="C1398">
        <v>8099.55</v>
      </c>
    </row>
    <row r="1399" spans="1:3" x14ac:dyDescent="0.3">
      <c r="A1399" s="3" t="s">
        <v>1459</v>
      </c>
      <c r="B1399">
        <v>6713.49</v>
      </c>
      <c r="C1399">
        <v>5505.06</v>
      </c>
    </row>
    <row r="1400" spans="1:3" x14ac:dyDescent="0.3">
      <c r="A1400" s="3" t="s">
        <v>1460</v>
      </c>
      <c r="B1400">
        <v>1385.9</v>
      </c>
      <c r="C1400">
        <v>1330.46</v>
      </c>
    </row>
    <row r="1401" spans="1:3" x14ac:dyDescent="0.3">
      <c r="A1401" s="3" t="s">
        <v>1461</v>
      </c>
      <c r="B1401">
        <v>4857.24</v>
      </c>
      <c r="C1401">
        <v>4080.08</v>
      </c>
    </row>
    <row r="1402" spans="1:3" x14ac:dyDescent="0.3">
      <c r="A1402" s="3" t="s">
        <v>1462</v>
      </c>
      <c r="B1402">
        <v>7517.1</v>
      </c>
      <c r="C1402">
        <v>6765.39</v>
      </c>
    </row>
    <row r="1403" spans="1:3" x14ac:dyDescent="0.3">
      <c r="A1403" s="3" t="s">
        <v>1463</v>
      </c>
      <c r="B1403">
        <v>717</v>
      </c>
      <c r="C1403">
        <v>559.26</v>
      </c>
    </row>
    <row r="1404" spans="1:3" x14ac:dyDescent="0.3">
      <c r="A1404" s="3" t="s">
        <v>1464</v>
      </c>
      <c r="B1404">
        <v>4596.8</v>
      </c>
      <c r="C1404">
        <v>4412.93</v>
      </c>
    </row>
    <row r="1405" spans="1:3" x14ac:dyDescent="0.3">
      <c r="A1405" s="3" t="s">
        <v>1465</v>
      </c>
      <c r="B1405">
        <v>2874.17</v>
      </c>
      <c r="C1405">
        <v>2701.72</v>
      </c>
    </row>
    <row r="1406" spans="1:3" x14ac:dyDescent="0.3">
      <c r="A1406" s="3" t="s">
        <v>1466</v>
      </c>
      <c r="B1406">
        <v>11775.3</v>
      </c>
      <c r="C1406">
        <v>11657.55</v>
      </c>
    </row>
    <row r="1407" spans="1:3" x14ac:dyDescent="0.3">
      <c r="A1407" s="3" t="s">
        <v>1467</v>
      </c>
      <c r="B1407">
        <v>22274.25</v>
      </c>
      <c r="C1407">
        <v>18710.37</v>
      </c>
    </row>
    <row r="1408" spans="1:3" x14ac:dyDescent="0.3">
      <c r="A1408" s="3" t="s">
        <v>1468</v>
      </c>
      <c r="B1408">
        <v>1257.3999999999999</v>
      </c>
      <c r="C1408">
        <v>1232.25</v>
      </c>
    </row>
    <row r="1409" spans="1:3" x14ac:dyDescent="0.3">
      <c r="A1409" s="3" t="s">
        <v>1469</v>
      </c>
      <c r="B1409">
        <v>13143.28</v>
      </c>
      <c r="C1409">
        <v>9857.4599999999991</v>
      </c>
    </row>
    <row r="1410" spans="1:3" x14ac:dyDescent="0.3">
      <c r="A1410" s="3" t="s">
        <v>1470</v>
      </c>
      <c r="B1410">
        <v>7967.44</v>
      </c>
      <c r="C1410">
        <v>6214.6</v>
      </c>
    </row>
    <row r="1411" spans="1:3" x14ac:dyDescent="0.3">
      <c r="A1411" s="3" t="s">
        <v>1471</v>
      </c>
      <c r="B1411">
        <v>15968.45</v>
      </c>
      <c r="C1411">
        <v>15010.34</v>
      </c>
    </row>
    <row r="1412" spans="1:3" x14ac:dyDescent="0.3">
      <c r="A1412" s="3" t="s">
        <v>1472</v>
      </c>
      <c r="B1412">
        <v>5186.05</v>
      </c>
      <c r="C1412">
        <v>3941.4</v>
      </c>
    </row>
    <row r="1413" spans="1:3" x14ac:dyDescent="0.3">
      <c r="A1413" s="3" t="s">
        <v>1473</v>
      </c>
      <c r="B1413">
        <v>7729.48</v>
      </c>
      <c r="C1413">
        <v>6028.99</v>
      </c>
    </row>
    <row r="1414" spans="1:3" x14ac:dyDescent="0.3">
      <c r="A1414" s="3" t="s">
        <v>1474</v>
      </c>
      <c r="B1414">
        <v>4748.7</v>
      </c>
      <c r="C1414">
        <v>3893.93</v>
      </c>
    </row>
    <row r="1415" spans="1:3" x14ac:dyDescent="0.3">
      <c r="A1415" s="3" t="s">
        <v>1475</v>
      </c>
      <c r="B1415">
        <v>9893.1200000000008</v>
      </c>
      <c r="C1415">
        <v>9200.6</v>
      </c>
    </row>
    <row r="1416" spans="1:3" x14ac:dyDescent="0.3">
      <c r="A1416" s="3" t="s">
        <v>1476</v>
      </c>
      <c r="B1416">
        <v>4835.92</v>
      </c>
      <c r="C1416">
        <v>3868.74</v>
      </c>
    </row>
    <row r="1417" spans="1:3" x14ac:dyDescent="0.3">
      <c r="A1417" s="3" t="s">
        <v>1477</v>
      </c>
      <c r="B1417">
        <v>7813.4400000000005</v>
      </c>
      <c r="C1417">
        <v>6953.96</v>
      </c>
    </row>
    <row r="1418" spans="1:3" x14ac:dyDescent="0.3">
      <c r="A1418" s="3" t="s">
        <v>1478</v>
      </c>
      <c r="B1418">
        <v>2055.84</v>
      </c>
      <c r="C1418">
        <v>1953.05</v>
      </c>
    </row>
    <row r="1419" spans="1:3" x14ac:dyDescent="0.3">
      <c r="A1419" s="3" t="s">
        <v>1479</v>
      </c>
      <c r="B1419">
        <v>2173.11</v>
      </c>
      <c r="C1419">
        <v>2129.65</v>
      </c>
    </row>
    <row r="1420" spans="1:3" x14ac:dyDescent="0.3">
      <c r="A1420" s="3" t="s">
        <v>1480</v>
      </c>
      <c r="B1420">
        <v>18129.5</v>
      </c>
      <c r="C1420">
        <v>16860.43</v>
      </c>
    </row>
    <row r="1421" spans="1:3" x14ac:dyDescent="0.3">
      <c r="A1421" s="3" t="s">
        <v>1481</v>
      </c>
      <c r="B1421">
        <v>424.94</v>
      </c>
      <c r="C1421">
        <v>361.2</v>
      </c>
    </row>
    <row r="1422" spans="1:3" x14ac:dyDescent="0.3">
      <c r="A1422" s="3" t="s">
        <v>1482</v>
      </c>
      <c r="B1422">
        <v>1093.54</v>
      </c>
      <c r="C1422">
        <v>885.77</v>
      </c>
    </row>
    <row r="1423" spans="1:3" x14ac:dyDescent="0.3">
      <c r="A1423" s="3" t="s">
        <v>1483</v>
      </c>
      <c r="B1423">
        <v>4558.25</v>
      </c>
      <c r="C1423">
        <v>4375.92</v>
      </c>
    </row>
    <row r="1424" spans="1:3" x14ac:dyDescent="0.3">
      <c r="A1424" s="3" t="s">
        <v>1484</v>
      </c>
      <c r="B1424">
        <v>9144.84</v>
      </c>
      <c r="C1424">
        <v>8596.15</v>
      </c>
    </row>
    <row r="1425" spans="1:3" x14ac:dyDescent="0.3">
      <c r="A1425" s="3" t="s">
        <v>1485</v>
      </c>
      <c r="B1425">
        <v>2752.2</v>
      </c>
      <c r="C1425">
        <v>2559.5500000000002</v>
      </c>
    </row>
    <row r="1426" spans="1:3" x14ac:dyDescent="0.3">
      <c r="A1426" s="3" t="s">
        <v>1486</v>
      </c>
      <c r="B1426">
        <v>15583.150000000001</v>
      </c>
      <c r="C1426">
        <v>12310.69</v>
      </c>
    </row>
    <row r="1427" spans="1:3" x14ac:dyDescent="0.3">
      <c r="A1427" s="3" t="s">
        <v>1487</v>
      </c>
      <c r="B1427">
        <v>3279.28</v>
      </c>
      <c r="C1427">
        <v>2951.35</v>
      </c>
    </row>
    <row r="1428" spans="1:3" x14ac:dyDescent="0.3">
      <c r="A1428" s="3" t="s">
        <v>1488</v>
      </c>
      <c r="B1428">
        <v>2316</v>
      </c>
      <c r="C1428">
        <v>1852.8</v>
      </c>
    </row>
    <row r="1429" spans="1:3" x14ac:dyDescent="0.3">
      <c r="A1429" s="3" t="s">
        <v>1489</v>
      </c>
      <c r="B1429">
        <v>2243.08</v>
      </c>
      <c r="C1429">
        <v>2041.2</v>
      </c>
    </row>
    <row r="1430" spans="1:3" x14ac:dyDescent="0.3">
      <c r="A1430" s="3" t="s">
        <v>1490</v>
      </c>
      <c r="B1430">
        <v>16302.7</v>
      </c>
      <c r="C1430">
        <v>13857.3</v>
      </c>
    </row>
    <row r="1431" spans="1:3" x14ac:dyDescent="0.3">
      <c r="A1431" s="3" t="s">
        <v>1491</v>
      </c>
      <c r="B1431">
        <v>1105.3</v>
      </c>
      <c r="C1431">
        <v>917.4</v>
      </c>
    </row>
    <row r="1432" spans="1:3" x14ac:dyDescent="0.3">
      <c r="A1432" s="3" t="s">
        <v>1492</v>
      </c>
      <c r="B1432">
        <v>5858.88</v>
      </c>
      <c r="C1432">
        <v>4511.34</v>
      </c>
    </row>
    <row r="1433" spans="1:3" x14ac:dyDescent="0.3">
      <c r="A1433" s="3" t="s">
        <v>1493</v>
      </c>
      <c r="B1433">
        <v>2905.78</v>
      </c>
      <c r="C1433">
        <v>2324.62</v>
      </c>
    </row>
    <row r="1434" spans="1:3" x14ac:dyDescent="0.3">
      <c r="A1434" s="3" t="s">
        <v>1494</v>
      </c>
      <c r="B1434">
        <v>6105.82</v>
      </c>
      <c r="C1434">
        <v>5983.7</v>
      </c>
    </row>
    <row r="1435" spans="1:3" x14ac:dyDescent="0.3">
      <c r="A1435" s="3" t="s">
        <v>1495</v>
      </c>
      <c r="B1435">
        <v>1696.64</v>
      </c>
      <c r="C1435">
        <v>1306.4100000000001</v>
      </c>
    </row>
    <row r="1436" spans="1:3" x14ac:dyDescent="0.3">
      <c r="A1436" s="3" t="s">
        <v>1496</v>
      </c>
      <c r="B1436">
        <v>22423.55</v>
      </c>
      <c r="C1436">
        <v>20181.189999999999</v>
      </c>
    </row>
    <row r="1437" spans="1:3" x14ac:dyDescent="0.3">
      <c r="A1437" s="3" t="s">
        <v>1497</v>
      </c>
      <c r="B1437">
        <v>7097.37</v>
      </c>
      <c r="C1437">
        <v>6316.66</v>
      </c>
    </row>
    <row r="1438" spans="1:3" x14ac:dyDescent="0.3">
      <c r="A1438" s="3" t="s">
        <v>1498</v>
      </c>
      <c r="B1438">
        <v>1507.29</v>
      </c>
      <c r="C1438">
        <v>1311.34</v>
      </c>
    </row>
    <row r="1439" spans="1:3" x14ac:dyDescent="0.3">
      <c r="A1439" s="3" t="s">
        <v>1499</v>
      </c>
      <c r="B1439">
        <v>18099.7</v>
      </c>
      <c r="C1439">
        <v>14660.76</v>
      </c>
    </row>
    <row r="1440" spans="1:3" x14ac:dyDescent="0.3">
      <c r="A1440" s="3" t="s">
        <v>1500</v>
      </c>
      <c r="B1440">
        <v>24870.5</v>
      </c>
      <c r="C1440">
        <v>19647.689999999999</v>
      </c>
    </row>
    <row r="1441" spans="1:3" x14ac:dyDescent="0.3">
      <c r="A1441" s="3" t="s">
        <v>1501</v>
      </c>
      <c r="B1441">
        <v>7553.06</v>
      </c>
      <c r="C1441">
        <v>7175.41</v>
      </c>
    </row>
    <row r="1442" spans="1:3" x14ac:dyDescent="0.3">
      <c r="A1442" s="3" t="s">
        <v>1502</v>
      </c>
      <c r="B1442">
        <v>360.5</v>
      </c>
      <c r="C1442">
        <v>338.87</v>
      </c>
    </row>
    <row r="1443" spans="1:3" x14ac:dyDescent="0.3">
      <c r="A1443" s="3" t="s">
        <v>1503</v>
      </c>
      <c r="B1443">
        <v>4274.84</v>
      </c>
      <c r="C1443">
        <v>4232.09</v>
      </c>
    </row>
    <row r="1444" spans="1:3" x14ac:dyDescent="0.3">
      <c r="A1444" s="3" t="s">
        <v>1504</v>
      </c>
      <c r="B1444">
        <v>1931.24</v>
      </c>
      <c r="C1444">
        <v>1796.05</v>
      </c>
    </row>
    <row r="1445" spans="1:3" x14ac:dyDescent="0.3">
      <c r="A1445" s="3" t="s">
        <v>1505</v>
      </c>
      <c r="B1445">
        <v>13853.189999999999</v>
      </c>
      <c r="C1445">
        <v>13299.06</v>
      </c>
    </row>
    <row r="1446" spans="1:3" x14ac:dyDescent="0.3">
      <c r="A1446" s="3" t="s">
        <v>1506</v>
      </c>
      <c r="B1446">
        <v>6380.62</v>
      </c>
      <c r="C1446">
        <v>5806.36</v>
      </c>
    </row>
    <row r="1447" spans="1:3" x14ac:dyDescent="0.3">
      <c r="A1447" s="3" t="s">
        <v>1507</v>
      </c>
      <c r="B1447">
        <v>5709.12</v>
      </c>
      <c r="C1447">
        <v>4567.3</v>
      </c>
    </row>
    <row r="1448" spans="1:3" x14ac:dyDescent="0.3">
      <c r="A1448" s="3" t="s">
        <v>1508</v>
      </c>
      <c r="B1448">
        <v>18352.3</v>
      </c>
      <c r="C1448">
        <v>15782.98</v>
      </c>
    </row>
    <row r="1449" spans="1:3" x14ac:dyDescent="0.3">
      <c r="A1449" s="3" t="s">
        <v>1509</v>
      </c>
      <c r="B1449">
        <v>7668.66</v>
      </c>
      <c r="C1449">
        <v>7285.23</v>
      </c>
    </row>
    <row r="1450" spans="1:3" x14ac:dyDescent="0.3">
      <c r="A1450" s="3" t="s">
        <v>1510</v>
      </c>
      <c r="B1450">
        <v>2106.04</v>
      </c>
      <c r="C1450">
        <v>1811.19</v>
      </c>
    </row>
    <row r="1451" spans="1:3" x14ac:dyDescent="0.3">
      <c r="A1451" s="3" t="s">
        <v>1511</v>
      </c>
      <c r="B1451">
        <v>8616.64</v>
      </c>
      <c r="C1451">
        <v>8013.48</v>
      </c>
    </row>
    <row r="1452" spans="1:3" x14ac:dyDescent="0.3">
      <c r="A1452" s="3" t="s">
        <v>1512</v>
      </c>
      <c r="B1452">
        <v>16309.12</v>
      </c>
      <c r="C1452">
        <v>14841.3</v>
      </c>
    </row>
    <row r="1453" spans="1:3" x14ac:dyDescent="0.3">
      <c r="A1453" s="3" t="s">
        <v>1513</v>
      </c>
      <c r="B1453">
        <v>13241.199999999999</v>
      </c>
      <c r="C1453">
        <v>12314.32</v>
      </c>
    </row>
    <row r="1454" spans="1:3" x14ac:dyDescent="0.3">
      <c r="A1454" s="3" t="s">
        <v>1514</v>
      </c>
      <c r="B1454">
        <v>7863.95</v>
      </c>
      <c r="C1454">
        <v>5976.6</v>
      </c>
    </row>
    <row r="1455" spans="1:3" x14ac:dyDescent="0.3">
      <c r="A1455" s="3" t="s">
        <v>1515</v>
      </c>
      <c r="B1455">
        <v>8475.98</v>
      </c>
      <c r="C1455">
        <v>8052.18</v>
      </c>
    </row>
    <row r="1456" spans="1:3" x14ac:dyDescent="0.3">
      <c r="A1456" s="3" t="s">
        <v>1516</v>
      </c>
      <c r="B1456">
        <v>8614.7000000000007</v>
      </c>
      <c r="C1456">
        <v>8442.41</v>
      </c>
    </row>
    <row r="1457" spans="1:3" x14ac:dyDescent="0.3">
      <c r="A1457" s="3" t="s">
        <v>1517</v>
      </c>
      <c r="B1457">
        <v>3419.32</v>
      </c>
      <c r="C1457">
        <v>3009</v>
      </c>
    </row>
    <row r="1458" spans="1:3" x14ac:dyDescent="0.3">
      <c r="A1458" s="3" t="s">
        <v>1518</v>
      </c>
      <c r="B1458">
        <v>11933.08</v>
      </c>
      <c r="C1458">
        <v>10739.77</v>
      </c>
    </row>
    <row r="1459" spans="1:3" x14ac:dyDescent="0.3">
      <c r="A1459" s="3" t="s">
        <v>1519</v>
      </c>
      <c r="B1459">
        <v>9732.75</v>
      </c>
      <c r="C1459">
        <v>9538.09</v>
      </c>
    </row>
    <row r="1460" spans="1:3" x14ac:dyDescent="0.3">
      <c r="A1460" s="3" t="s">
        <v>1520</v>
      </c>
      <c r="B1460">
        <v>4678.43</v>
      </c>
      <c r="C1460">
        <v>3742.74</v>
      </c>
    </row>
    <row r="1461" spans="1:3" x14ac:dyDescent="0.3">
      <c r="A1461" s="3" t="s">
        <v>1521</v>
      </c>
      <c r="B1461">
        <v>14760.420000000002</v>
      </c>
      <c r="C1461">
        <v>13431.98</v>
      </c>
    </row>
    <row r="1462" spans="1:3" x14ac:dyDescent="0.3">
      <c r="A1462" s="3" t="s">
        <v>1522</v>
      </c>
      <c r="B1462">
        <v>290.82</v>
      </c>
      <c r="C1462">
        <v>247.2</v>
      </c>
    </row>
    <row r="1463" spans="1:3" x14ac:dyDescent="0.3">
      <c r="A1463" s="3" t="s">
        <v>1523</v>
      </c>
      <c r="B1463">
        <v>9022.5300000000007</v>
      </c>
      <c r="C1463">
        <v>7669.15</v>
      </c>
    </row>
    <row r="1464" spans="1:3" x14ac:dyDescent="0.3">
      <c r="A1464" s="3" t="s">
        <v>1524</v>
      </c>
      <c r="B1464">
        <v>2613.69</v>
      </c>
      <c r="C1464">
        <v>2117.09</v>
      </c>
    </row>
    <row r="1465" spans="1:3" x14ac:dyDescent="0.3">
      <c r="A1465" s="3" t="s">
        <v>1525</v>
      </c>
      <c r="B1465">
        <v>7010.1</v>
      </c>
      <c r="C1465">
        <v>5608.08</v>
      </c>
    </row>
    <row r="1466" spans="1:3" x14ac:dyDescent="0.3">
      <c r="A1466" s="3" t="s">
        <v>1526</v>
      </c>
      <c r="B1466">
        <v>3395.04</v>
      </c>
      <c r="C1466">
        <v>2987.64</v>
      </c>
    </row>
    <row r="1467" spans="1:3" x14ac:dyDescent="0.3">
      <c r="A1467" s="3" t="s">
        <v>1527</v>
      </c>
      <c r="B1467">
        <v>1663.4</v>
      </c>
      <c r="C1467">
        <v>1630.13</v>
      </c>
    </row>
    <row r="1468" spans="1:3" x14ac:dyDescent="0.3">
      <c r="A1468" s="3" t="s">
        <v>1528</v>
      </c>
      <c r="B1468">
        <v>18369.8</v>
      </c>
      <c r="C1468">
        <v>16900.22</v>
      </c>
    </row>
    <row r="1469" spans="1:3" x14ac:dyDescent="0.3">
      <c r="A1469" s="3" t="s">
        <v>1529</v>
      </c>
      <c r="B1469">
        <v>1271.01</v>
      </c>
      <c r="C1469">
        <v>1258.3</v>
      </c>
    </row>
    <row r="1470" spans="1:3" x14ac:dyDescent="0.3">
      <c r="A1470" s="3" t="s">
        <v>1530</v>
      </c>
      <c r="B1470">
        <v>8194.66</v>
      </c>
      <c r="C1470">
        <v>6637.67</v>
      </c>
    </row>
    <row r="1471" spans="1:3" x14ac:dyDescent="0.3">
      <c r="A1471" s="3" t="s">
        <v>1531</v>
      </c>
      <c r="B1471">
        <v>2227.04</v>
      </c>
      <c r="C1471">
        <v>1737.09</v>
      </c>
    </row>
    <row r="1472" spans="1:3" x14ac:dyDescent="0.3">
      <c r="A1472" s="3" t="s">
        <v>1532</v>
      </c>
      <c r="B1472">
        <v>13637.400000000001</v>
      </c>
      <c r="C1472">
        <v>11182.67</v>
      </c>
    </row>
    <row r="1473" spans="1:3" x14ac:dyDescent="0.3">
      <c r="A1473" s="3" t="s">
        <v>1533</v>
      </c>
      <c r="B1473">
        <v>612.53</v>
      </c>
      <c r="C1473">
        <v>496.15</v>
      </c>
    </row>
    <row r="1474" spans="1:3" x14ac:dyDescent="0.3">
      <c r="A1474" s="3" t="s">
        <v>1534</v>
      </c>
      <c r="B1474">
        <v>15505.35</v>
      </c>
      <c r="C1474">
        <v>13179.55</v>
      </c>
    </row>
    <row r="1475" spans="1:3" x14ac:dyDescent="0.3">
      <c r="A1475" s="3" t="s">
        <v>1535</v>
      </c>
      <c r="B1475">
        <v>5189.3099999999995</v>
      </c>
      <c r="C1475">
        <v>4670.38</v>
      </c>
    </row>
    <row r="1476" spans="1:3" x14ac:dyDescent="0.3">
      <c r="A1476" s="3" t="s">
        <v>1536</v>
      </c>
      <c r="B1476">
        <v>12571.59</v>
      </c>
      <c r="C1476">
        <v>11817.29</v>
      </c>
    </row>
    <row r="1477" spans="1:3" x14ac:dyDescent="0.3">
      <c r="A1477" s="3" t="s">
        <v>1537</v>
      </c>
      <c r="B1477">
        <v>363</v>
      </c>
      <c r="C1477">
        <v>341.22</v>
      </c>
    </row>
    <row r="1478" spans="1:3" x14ac:dyDescent="0.3">
      <c r="A1478" s="3" t="s">
        <v>1538</v>
      </c>
      <c r="B1478">
        <v>20453.399999999998</v>
      </c>
      <c r="C1478">
        <v>17589.919999999998</v>
      </c>
    </row>
    <row r="1479" spans="1:3" x14ac:dyDescent="0.3">
      <c r="A1479" s="3" t="s">
        <v>1539</v>
      </c>
      <c r="B1479">
        <v>16701.55</v>
      </c>
      <c r="C1479">
        <v>15532.44</v>
      </c>
    </row>
    <row r="1480" spans="1:3" x14ac:dyDescent="0.3">
      <c r="A1480" s="3" t="s">
        <v>1540</v>
      </c>
      <c r="B1480">
        <v>339.28</v>
      </c>
      <c r="C1480">
        <v>301.95999999999998</v>
      </c>
    </row>
    <row r="1481" spans="1:3" x14ac:dyDescent="0.3">
      <c r="A1481" s="3" t="s">
        <v>1541</v>
      </c>
      <c r="B1481">
        <v>10175.61</v>
      </c>
      <c r="C1481">
        <v>9158.0499999999993</v>
      </c>
    </row>
    <row r="1482" spans="1:3" x14ac:dyDescent="0.3">
      <c r="A1482" s="3" t="s">
        <v>1542</v>
      </c>
      <c r="B1482">
        <v>16156.05</v>
      </c>
      <c r="C1482">
        <v>15832.93</v>
      </c>
    </row>
    <row r="1483" spans="1:3" x14ac:dyDescent="0.3">
      <c r="A1483" s="3" t="s">
        <v>1543</v>
      </c>
      <c r="B1483">
        <v>3848.01</v>
      </c>
      <c r="C1483">
        <v>3540.17</v>
      </c>
    </row>
    <row r="1484" spans="1:3" x14ac:dyDescent="0.3">
      <c r="A1484" s="3" t="s">
        <v>1544</v>
      </c>
      <c r="B1484">
        <v>2893.05</v>
      </c>
      <c r="C1484">
        <v>2314.44</v>
      </c>
    </row>
    <row r="1485" spans="1:3" x14ac:dyDescent="0.3">
      <c r="A1485" s="3" t="s">
        <v>1545</v>
      </c>
      <c r="B1485">
        <v>2657.0099999999998</v>
      </c>
      <c r="C1485">
        <v>2125.61</v>
      </c>
    </row>
    <row r="1486" spans="1:3" x14ac:dyDescent="0.3">
      <c r="A1486" s="3" t="s">
        <v>1546</v>
      </c>
      <c r="B1486">
        <v>4055.65</v>
      </c>
      <c r="C1486">
        <v>3285.08</v>
      </c>
    </row>
    <row r="1487" spans="1:3" x14ac:dyDescent="0.3">
      <c r="A1487" s="3" t="s">
        <v>1547</v>
      </c>
      <c r="B1487">
        <v>8378.2000000000007</v>
      </c>
      <c r="C1487">
        <v>6451.21</v>
      </c>
    </row>
    <row r="1488" spans="1:3" x14ac:dyDescent="0.3">
      <c r="A1488" s="3" t="s">
        <v>1548</v>
      </c>
      <c r="B1488">
        <v>236.48</v>
      </c>
      <c r="C1488">
        <v>215.2</v>
      </c>
    </row>
    <row r="1489" spans="1:3" x14ac:dyDescent="0.3">
      <c r="A1489" s="3" t="s">
        <v>1549</v>
      </c>
      <c r="B1489">
        <v>8461.6200000000008</v>
      </c>
      <c r="C1489">
        <v>7192.38</v>
      </c>
    </row>
    <row r="1490" spans="1:3" x14ac:dyDescent="0.3">
      <c r="A1490" s="3" t="s">
        <v>1550</v>
      </c>
      <c r="B1490">
        <v>2060.37</v>
      </c>
      <c r="C1490">
        <v>1648.3</v>
      </c>
    </row>
    <row r="1491" spans="1:3" x14ac:dyDescent="0.3">
      <c r="A1491" s="3" t="s">
        <v>1551</v>
      </c>
      <c r="B1491">
        <v>4701.34</v>
      </c>
      <c r="C1491">
        <v>3902.11</v>
      </c>
    </row>
    <row r="1492" spans="1:3" x14ac:dyDescent="0.3">
      <c r="A1492" s="3" t="s">
        <v>1552</v>
      </c>
      <c r="B1492">
        <v>9412.75</v>
      </c>
      <c r="C1492">
        <v>8283.2199999999993</v>
      </c>
    </row>
    <row r="1493" spans="1:3" x14ac:dyDescent="0.3">
      <c r="A1493" s="3" t="s">
        <v>1553</v>
      </c>
      <c r="B1493">
        <v>4360.57</v>
      </c>
      <c r="C1493">
        <v>3357.64</v>
      </c>
    </row>
    <row r="1494" spans="1:3" x14ac:dyDescent="0.3">
      <c r="A1494" s="3" t="s">
        <v>1554</v>
      </c>
      <c r="B1494">
        <v>5848.84</v>
      </c>
      <c r="C1494">
        <v>4971.51</v>
      </c>
    </row>
    <row r="1495" spans="1:3" x14ac:dyDescent="0.3">
      <c r="A1495" s="3" t="s">
        <v>1555</v>
      </c>
      <c r="B1495">
        <v>7781.5499999999993</v>
      </c>
      <c r="C1495">
        <v>6692.13</v>
      </c>
    </row>
    <row r="1496" spans="1:3" x14ac:dyDescent="0.3">
      <c r="A1496" s="3" t="s">
        <v>1556</v>
      </c>
      <c r="B1496">
        <v>4255.0199999999995</v>
      </c>
      <c r="C1496">
        <v>4212.47</v>
      </c>
    </row>
    <row r="1497" spans="1:3" x14ac:dyDescent="0.3">
      <c r="A1497" s="3" t="s">
        <v>1557</v>
      </c>
      <c r="B1497">
        <v>16266.2</v>
      </c>
      <c r="C1497">
        <v>14639.58</v>
      </c>
    </row>
    <row r="1498" spans="1:3" x14ac:dyDescent="0.3">
      <c r="A1498" s="3" t="s">
        <v>1558</v>
      </c>
      <c r="B1498">
        <v>6555.16</v>
      </c>
      <c r="C1498">
        <v>5637.44</v>
      </c>
    </row>
    <row r="1499" spans="1:3" x14ac:dyDescent="0.3">
      <c r="A1499" s="3" t="s">
        <v>1559</v>
      </c>
      <c r="B1499">
        <v>3438.91</v>
      </c>
      <c r="C1499">
        <v>2682.35</v>
      </c>
    </row>
    <row r="1500" spans="1:3" x14ac:dyDescent="0.3">
      <c r="A1500" s="3" t="s">
        <v>1560</v>
      </c>
      <c r="B1500">
        <v>4172.4399999999996</v>
      </c>
      <c r="C1500">
        <v>3630.02</v>
      </c>
    </row>
    <row r="1501" spans="1:3" x14ac:dyDescent="0.3">
      <c r="A1501" s="3" t="s">
        <v>1561</v>
      </c>
      <c r="B1501">
        <v>6240.58</v>
      </c>
      <c r="C1501">
        <v>4867.6499999999996</v>
      </c>
    </row>
    <row r="1502" spans="1:3" x14ac:dyDescent="0.3">
      <c r="A1502" s="3" t="s">
        <v>1562</v>
      </c>
      <c r="B1502">
        <v>5183.55</v>
      </c>
      <c r="C1502">
        <v>4872.54</v>
      </c>
    </row>
    <row r="1503" spans="1:3" x14ac:dyDescent="0.3">
      <c r="A1503" s="3" t="s">
        <v>1567</v>
      </c>
      <c r="B1503">
        <v>11390182.199999979</v>
      </c>
      <c r="C1503">
        <v>9980221.2800000198</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97CB-8195-4BC1-8073-5F6B56B42795}">
  <dimension ref="A3:B9"/>
  <sheetViews>
    <sheetView workbookViewId="0">
      <selection activeCell="B3" sqref="B3"/>
    </sheetView>
  </sheetViews>
  <sheetFormatPr defaultRowHeight="14.4" x14ac:dyDescent="0.3"/>
  <cols>
    <col min="1" max="1" width="12.44140625" bestFit="1" customWidth="1"/>
    <col min="2" max="2" width="14.77734375" bestFit="1" customWidth="1"/>
  </cols>
  <sheetData>
    <row r="3" spans="1:2" x14ac:dyDescent="0.3">
      <c r="A3" s="2" t="s">
        <v>1566</v>
      </c>
      <c r="B3" t="s">
        <v>1572</v>
      </c>
    </row>
    <row r="4" spans="1:2" x14ac:dyDescent="0.3">
      <c r="A4" s="3" t="s">
        <v>49</v>
      </c>
      <c r="B4">
        <v>1954015.7199999997</v>
      </c>
    </row>
    <row r="5" spans="1:2" x14ac:dyDescent="0.3">
      <c r="A5" s="3" t="s">
        <v>61</v>
      </c>
      <c r="B5">
        <v>1802015.0299999991</v>
      </c>
    </row>
    <row r="6" spans="1:2" x14ac:dyDescent="0.3">
      <c r="A6" s="3" t="s">
        <v>17</v>
      </c>
      <c r="B6">
        <v>2058812.6999999995</v>
      </c>
    </row>
    <row r="7" spans="1:2" x14ac:dyDescent="0.3">
      <c r="A7" s="3" t="s">
        <v>27</v>
      </c>
      <c r="B7">
        <v>1975775.7900000007</v>
      </c>
    </row>
    <row r="8" spans="1:2" x14ac:dyDescent="0.3">
      <c r="A8" s="3" t="s">
        <v>99</v>
      </c>
      <c r="B8">
        <v>2189602.0399999986</v>
      </c>
    </row>
    <row r="9" spans="1:2" x14ac:dyDescent="0.3">
      <c r="A9" s="3" t="s">
        <v>1567</v>
      </c>
      <c r="B9">
        <v>9980221.2799999975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D78A1-F4E6-4852-9E00-001DFBE5F1AD}">
  <dimension ref="A3:C14"/>
  <sheetViews>
    <sheetView workbookViewId="0">
      <selection activeCell="C1" sqref="C1"/>
    </sheetView>
  </sheetViews>
  <sheetFormatPr defaultRowHeight="14.4" x14ac:dyDescent="0.3"/>
  <cols>
    <col min="1" max="1" width="12.44140625" bestFit="1" customWidth="1"/>
    <col min="2" max="2" width="18.5546875" bestFit="1" customWidth="1"/>
    <col min="3" max="3" width="16.33203125" bestFit="1" customWidth="1"/>
  </cols>
  <sheetData>
    <row r="3" spans="1:3" x14ac:dyDescent="0.3">
      <c r="A3" s="2" t="s">
        <v>1566</v>
      </c>
      <c r="B3" t="s">
        <v>1571</v>
      </c>
      <c r="C3" t="s">
        <v>1574</v>
      </c>
    </row>
    <row r="4" spans="1:3" x14ac:dyDescent="0.3">
      <c r="A4" s="3" t="s">
        <v>50</v>
      </c>
      <c r="B4">
        <v>645482.6100000001</v>
      </c>
      <c r="C4" s="4">
        <v>0.11656525703672943</v>
      </c>
    </row>
    <row r="5" spans="1:3" x14ac:dyDescent="0.3">
      <c r="A5" s="3" t="s">
        <v>87</v>
      </c>
      <c r="B5">
        <v>499641.51999999996</v>
      </c>
      <c r="C5" s="4">
        <v>9.0228367585336144E-2</v>
      </c>
    </row>
    <row r="6" spans="1:3" x14ac:dyDescent="0.3">
      <c r="A6" s="3" t="s">
        <v>111</v>
      </c>
      <c r="B6">
        <v>608090.68000000017</v>
      </c>
      <c r="C6" s="4">
        <v>0.10981279017856049</v>
      </c>
    </row>
    <row r="7" spans="1:3" x14ac:dyDescent="0.3">
      <c r="A7" s="3" t="s">
        <v>32</v>
      </c>
      <c r="B7">
        <v>602699.4800000001</v>
      </c>
      <c r="C7" s="4">
        <v>0.10883921381259701</v>
      </c>
    </row>
    <row r="8" spans="1:3" x14ac:dyDescent="0.3">
      <c r="A8" s="3" t="s">
        <v>120</v>
      </c>
      <c r="B8">
        <v>527932.66</v>
      </c>
      <c r="C8" s="4">
        <v>9.5337357285247823E-2</v>
      </c>
    </row>
    <row r="9" spans="1:3" x14ac:dyDescent="0.3">
      <c r="A9" s="3" t="s">
        <v>44</v>
      </c>
      <c r="B9">
        <v>489792.31999999995</v>
      </c>
      <c r="C9" s="4">
        <v>8.8449737902956072E-2</v>
      </c>
    </row>
    <row r="10" spans="1:3" x14ac:dyDescent="0.3">
      <c r="A10" s="3" t="s">
        <v>28</v>
      </c>
      <c r="B10">
        <v>519384.56999999983</v>
      </c>
      <c r="C10" s="4">
        <v>9.379369012429499E-2</v>
      </c>
    </row>
    <row r="11" spans="1:3" x14ac:dyDescent="0.3">
      <c r="A11" s="3" t="s">
        <v>100</v>
      </c>
      <c r="B11">
        <v>613757.52999999968</v>
      </c>
      <c r="C11" s="4">
        <v>0.11083614513283034</v>
      </c>
    </row>
    <row r="12" spans="1:3" x14ac:dyDescent="0.3">
      <c r="A12" s="3" t="s">
        <v>73</v>
      </c>
      <c r="B12">
        <v>534772.50000000012</v>
      </c>
      <c r="C12" s="4">
        <v>9.6572538055942958E-2</v>
      </c>
    </row>
    <row r="13" spans="1:3" x14ac:dyDescent="0.3">
      <c r="A13" s="3" t="s">
        <v>62</v>
      </c>
      <c r="B13">
        <v>495967.56999999989</v>
      </c>
      <c r="C13" s="4">
        <v>8.9564902885504644E-2</v>
      </c>
    </row>
    <row r="14" spans="1:3" x14ac:dyDescent="0.3">
      <c r="A14" s="3" t="s">
        <v>1567</v>
      </c>
      <c r="B14">
        <v>5537521.4400000004</v>
      </c>
      <c r="C14"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4EA8-A71D-4011-A8DA-16348ADD412D}">
  <dimension ref="A3:B6"/>
  <sheetViews>
    <sheetView workbookViewId="0">
      <selection activeCell="A3" sqref="A3"/>
    </sheetView>
  </sheetViews>
  <sheetFormatPr defaultRowHeight="14.4" x14ac:dyDescent="0.3"/>
  <cols>
    <col min="1" max="1" width="12.44140625" bestFit="1" customWidth="1"/>
    <col min="2" max="2" width="21.44140625" bestFit="1" customWidth="1"/>
  </cols>
  <sheetData>
    <row r="3" spans="1:2" x14ac:dyDescent="0.3">
      <c r="A3" s="2" t="s">
        <v>1566</v>
      </c>
      <c r="B3" t="s">
        <v>1573</v>
      </c>
    </row>
    <row r="4" spans="1:2" x14ac:dyDescent="0.3">
      <c r="A4" s="3" t="s">
        <v>29</v>
      </c>
      <c r="B4">
        <v>7014.593770491806</v>
      </c>
    </row>
    <row r="5" spans="1:2" x14ac:dyDescent="0.3">
      <c r="A5" s="3" t="s">
        <v>34</v>
      </c>
      <c r="B5">
        <v>6557.4564173228364</v>
      </c>
    </row>
    <row r="6" spans="1:2" x14ac:dyDescent="0.3">
      <c r="A6" s="3" t="s">
        <v>20</v>
      </c>
      <c r="B6">
        <v>6400.6183730158691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65F6E-6D5B-4412-A156-8EC432C1FD3E}">
  <dimension ref="A3:B8"/>
  <sheetViews>
    <sheetView workbookViewId="0">
      <selection activeCell="B4" sqref="B4"/>
    </sheetView>
  </sheetViews>
  <sheetFormatPr defaultRowHeight="14.4" x14ac:dyDescent="0.3"/>
  <cols>
    <col min="1" max="1" width="12.44140625" bestFit="1" customWidth="1"/>
    <col min="2" max="2" width="18.6640625" bestFit="1" customWidth="1"/>
  </cols>
  <sheetData>
    <row r="3" spans="1:2" x14ac:dyDescent="0.3">
      <c r="A3" s="2" t="s">
        <v>1566</v>
      </c>
      <c r="B3" t="s">
        <v>1575</v>
      </c>
    </row>
    <row r="4" spans="1:2" x14ac:dyDescent="0.3">
      <c r="A4" s="3" t="s">
        <v>49</v>
      </c>
      <c r="B4">
        <v>39.409999999999982</v>
      </c>
    </row>
    <row r="5" spans="1:2" x14ac:dyDescent="0.3">
      <c r="A5" s="3" t="s">
        <v>27</v>
      </c>
      <c r="B5">
        <v>38.910000000000011</v>
      </c>
    </row>
    <row r="6" spans="1:2" x14ac:dyDescent="0.3">
      <c r="A6" s="3" t="s">
        <v>17</v>
      </c>
      <c r="B6">
        <v>38.409999999999997</v>
      </c>
    </row>
    <row r="7" spans="1:2" x14ac:dyDescent="0.3">
      <c r="A7" s="3" t="s">
        <v>99</v>
      </c>
      <c r="B7">
        <v>37.910000000000004</v>
      </c>
    </row>
    <row r="8" spans="1:2" x14ac:dyDescent="0.3">
      <c r="A8" s="3" t="s">
        <v>61</v>
      </c>
      <c r="B8">
        <v>33.89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7294-E74B-43DB-9372-4EDF85FC7D53}">
  <dimension ref="A3:B1140"/>
  <sheetViews>
    <sheetView workbookViewId="0">
      <selection activeCell="B5" sqref="B5"/>
    </sheetView>
  </sheetViews>
  <sheetFormatPr defaultRowHeight="14.4" x14ac:dyDescent="0.3"/>
  <cols>
    <col min="1" max="1" width="15.109375" bestFit="1" customWidth="1"/>
    <col min="2" max="2" width="15.5546875" bestFit="1" customWidth="1"/>
    <col min="3" max="3" width="10.5546875" bestFit="1" customWidth="1"/>
    <col min="4" max="5" width="8.5546875" bestFit="1" customWidth="1"/>
    <col min="6" max="6" width="10.5546875" bestFit="1" customWidth="1"/>
  </cols>
  <sheetData>
    <row r="3" spans="1:2" x14ac:dyDescent="0.3">
      <c r="A3" s="2" t="s">
        <v>1577</v>
      </c>
      <c r="B3" s="2" t="s">
        <v>1576</v>
      </c>
    </row>
    <row r="4" spans="1:2" x14ac:dyDescent="0.3">
      <c r="A4" s="2" t="s">
        <v>1566</v>
      </c>
      <c r="B4" t="s">
        <v>22</v>
      </c>
    </row>
    <row r="5" spans="1:2" x14ac:dyDescent="0.3">
      <c r="A5" s="3" t="s">
        <v>14</v>
      </c>
      <c r="B5" s="4">
        <v>8.8028169014084509E-4</v>
      </c>
    </row>
    <row r="6" spans="1:2" x14ac:dyDescent="0.3">
      <c r="A6" s="3" t="s">
        <v>23</v>
      </c>
      <c r="B6" s="4">
        <v>8.8028169014084509E-4</v>
      </c>
    </row>
    <row r="7" spans="1:2" x14ac:dyDescent="0.3">
      <c r="A7" s="3" t="s">
        <v>26</v>
      </c>
      <c r="B7" s="4">
        <v>8.8028169014084509E-4</v>
      </c>
    </row>
    <row r="8" spans="1:2" x14ac:dyDescent="0.3">
      <c r="A8" s="3" t="s">
        <v>31</v>
      </c>
      <c r="B8" s="4">
        <v>8.8028169014084509E-4</v>
      </c>
    </row>
    <row r="9" spans="1:2" x14ac:dyDescent="0.3">
      <c r="A9" s="3" t="s">
        <v>38</v>
      </c>
      <c r="B9" s="4">
        <v>8.8028169014084509E-4</v>
      </c>
    </row>
    <row r="10" spans="1:2" x14ac:dyDescent="0.3">
      <c r="A10" s="3" t="s">
        <v>42</v>
      </c>
      <c r="B10" s="4">
        <v>8.8028169014084509E-4</v>
      </c>
    </row>
    <row r="11" spans="1:2" x14ac:dyDescent="0.3">
      <c r="A11" s="3" t="s">
        <v>45</v>
      </c>
      <c r="B11" s="4">
        <v>8.8028169014084509E-4</v>
      </c>
    </row>
    <row r="12" spans="1:2" x14ac:dyDescent="0.3">
      <c r="A12" s="3" t="s">
        <v>51</v>
      </c>
      <c r="B12" s="4">
        <v>8.8028169014084509E-4</v>
      </c>
    </row>
    <row r="13" spans="1:2" x14ac:dyDescent="0.3">
      <c r="A13" s="3" t="s">
        <v>55</v>
      </c>
      <c r="B13" s="4">
        <v>8.8028169014084509E-4</v>
      </c>
    </row>
    <row r="14" spans="1:2" x14ac:dyDescent="0.3">
      <c r="A14" s="3" t="s">
        <v>60</v>
      </c>
      <c r="B14" s="4">
        <v>8.8028169014084509E-4</v>
      </c>
    </row>
    <row r="15" spans="1:2" x14ac:dyDescent="0.3">
      <c r="A15" s="3" t="s">
        <v>63</v>
      </c>
      <c r="B15" s="4">
        <v>8.8028169014084509E-4</v>
      </c>
    </row>
    <row r="16" spans="1:2" x14ac:dyDescent="0.3">
      <c r="A16" s="3" t="s">
        <v>65</v>
      </c>
      <c r="B16" s="4">
        <v>8.8028169014084509E-4</v>
      </c>
    </row>
    <row r="17" spans="1:2" x14ac:dyDescent="0.3">
      <c r="A17" s="3" t="s">
        <v>69</v>
      </c>
      <c r="B17" s="4">
        <v>8.8028169014084509E-4</v>
      </c>
    </row>
    <row r="18" spans="1:2" x14ac:dyDescent="0.3">
      <c r="A18" s="3" t="s">
        <v>70</v>
      </c>
      <c r="B18" s="4">
        <v>8.8028169014084509E-4</v>
      </c>
    </row>
    <row r="19" spans="1:2" x14ac:dyDescent="0.3">
      <c r="A19" s="3" t="s">
        <v>71</v>
      </c>
      <c r="B19" s="4">
        <v>8.8028169014084509E-4</v>
      </c>
    </row>
    <row r="20" spans="1:2" x14ac:dyDescent="0.3">
      <c r="A20" s="3" t="s">
        <v>74</v>
      </c>
      <c r="B20" s="4">
        <v>8.8028169014084509E-4</v>
      </c>
    </row>
    <row r="21" spans="1:2" x14ac:dyDescent="0.3">
      <c r="A21" s="3" t="s">
        <v>76</v>
      </c>
      <c r="B21" s="4">
        <v>8.8028169014084509E-4</v>
      </c>
    </row>
    <row r="22" spans="1:2" x14ac:dyDescent="0.3">
      <c r="A22" s="3" t="s">
        <v>77</v>
      </c>
      <c r="B22" s="4">
        <v>8.8028169014084509E-4</v>
      </c>
    </row>
    <row r="23" spans="1:2" x14ac:dyDescent="0.3">
      <c r="A23" s="3" t="s">
        <v>78</v>
      </c>
      <c r="B23" s="4">
        <v>8.8028169014084509E-4</v>
      </c>
    </row>
    <row r="24" spans="1:2" x14ac:dyDescent="0.3">
      <c r="A24" s="3" t="s">
        <v>80</v>
      </c>
      <c r="B24" s="4">
        <v>8.8028169014084509E-4</v>
      </c>
    </row>
    <row r="25" spans="1:2" x14ac:dyDescent="0.3">
      <c r="A25" s="3" t="s">
        <v>81</v>
      </c>
      <c r="B25" s="4">
        <v>8.8028169014084509E-4</v>
      </c>
    </row>
    <row r="26" spans="1:2" x14ac:dyDescent="0.3">
      <c r="A26" s="3" t="s">
        <v>82</v>
      </c>
      <c r="B26" s="4">
        <v>8.8028169014084509E-4</v>
      </c>
    </row>
    <row r="27" spans="1:2" x14ac:dyDescent="0.3">
      <c r="A27" s="3" t="s">
        <v>83</v>
      </c>
      <c r="B27" s="4">
        <v>8.8028169014084509E-4</v>
      </c>
    </row>
    <row r="28" spans="1:2" x14ac:dyDescent="0.3">
      <c r="A28" s="3" t="s">
        <v>84</v>
      </c>
      <c r="B28" s="4">
        <v>8.8028169014084509E-4</v>
      </c>
    </row>
    <row r="29" spans="1:2" x14ac:dyDescent="0.3">
      <c r="A29" s="3" t="s">
        <v>85</v>
      </c>
      <c r="B29" s="4">
        <v>8.8028169014084509E-4</v>
      </c>
    </row>
    <row r="30" spans="1:2" x14ac:dyDescent="0.3">
      <c r="A30" s="3" t="s">
        <v>89</v>
      </c>
      <c r="B30" s="4">
        <v>8.8028169014084509E-4</v>
      </c>
    </row>
    <row r="31" spans="1:2" x14ac:dyDescent="0.3">
      <c r="A31" s="3" t="s">
        <v>91</v>
      </c>
      <c r="B31" s="4">
        <v>8.8028169014084509E-4</v>
      </c>
    </row>
    <row r="32" spans="1:2" x14ac:dyDescent="0.3">
      <c r="A32" s="3" t="s">
        <v>93</v>
      </c>
      <c r="B32" s="4">
        <v>8.8028169014084509E-4</v>
      </c>
    </row>
    <row r="33" spans="1:2" x14ac:dyDescent="0.3">
      <c r="A33" s="3" t="s">
        <v>95</v>
      </c>
      <c r="B33" s="4">
        <v>8.8028169014084509E-4</v>
      </c>
    </row>
    <row r="34" spans="1:2" x14ac:dyDescent="0.3">
      <c r="A34" s="3" t="s">
        <v>96</v>
      </c>
      <c r="B34" s="4">
        <v>8.8028169014084509E-4</v>
      </c>
    </row>
    <row r="35" spans="1:2" x14ac:dyDescent="0.3">
      <c r="A35" s="3" t="s">
        <v>97</v>
      </c>
      <c r="B35" s="4">
        <v>8.8028169014084509E-4</v>
      </c>
    </row>
    <row r="36" spans="1:2" x14ac:dyDescent="0.3">
      <c r="A36" s="3" t="s">
        <v>98</v>
      </c>
      <c r="B36" s="4">
        <v>8.8028169014084509E-4</v>
      </c>
    </row>
    <row r="37" spans="1:2" x14ac:dyDescent="0.3">
      <c r="A37" s="3" t="s">
        <v>101</v>
      </c>
      <c r="B37" s="4">
        <v>8.8028169014084509E-4</v>
      </c>
    </row>
    <row r="38" spans="1:2" x14ac:dyDescent="0.3">
      <c r="A38" s="3" t="s">
        <v>102</v>
      </c>
      <c r="B38" s="4">
        <v>8.8028169014084509E-4</v>
      </c>
    </row>
    <row r="39" spans="1:2" x14ac:dyDescent="0.3">
      <c r="A39" s="3" t="s">
        <v>103</v>
      </c>
      <c r="B39" s="4">
        <v>8.8028169014084509E-4</v>
      </c>
    </row>
    <row r="40" spans="1:2" x14ac:dyDescent="0.3">
      <c r="A40" s="3" t="s">
        <v>104</v>
      </c>
      <c r="B40" s="4">
        <v>8.8028169014084509E-4</v>
      </c>
    </row>
    <row r="41" spans="1:2" x14ac:dyDescent="0.3">
      <c r="A41" s="3" t="s">
        <v>108</v>
      </c>
      <c r="B41" s="4">
        <v>8.8028169014084509E-4</v>
      </c>
    </row>
    <row r="42" spans="1:2" x14ac:dyDescent="0.3">
      <c r="A42" s="3" t="s">
        <v>109</v>
      </c>
      <c r="B42" s="4">
        <v>8.8028169014084509E-4</v>
      </c>
    </row>
    <row r="43" spans="1:2" x14ac:dyDescent="0.3">
      <c r="A43" s="3" t="s">
        <v>110</v>
      </c>
      <c r="B43" s="4">
        <v>8.8028169014084509E-4</v>
      </c>
    </row>
    <row r="44" spans="1:2" x14ac:dyDescent="0.3">
      <c r="A44" s="3" t="s">
        <v>113</v>
      </c>
      <c r="B44" s="4">
        <v>8.8028169014084509E-4</v>
      </c>
    </row>
    <row r="45" spans="1:2" x14ac:dyDescent="0.3">
      <c r="A45" s="3" t="s">
        <v>114</v>
      </c>
      <c r="B45" s="4">
        <v>8.8028169014084509E-4</v>
      </c>
    </row>
    <row r="46" spans="1:2" x14ac:dyDescent="0.3">
      <c r="A46" s="3" t="s">
        <v>116</v>
      </c>
      <c r="B46" s="4">
        <v>8.8028169014084509E-4</v>
      </c>
    </row>
    <row r="47" spans="1:2" x14ac:dyDescent="0.3">
      <c r="A47" s="3" t="s">
        <v>118</v>
      </c>
      <c r="B47" s="4">
        <v>8.8028169014084509E-4</v>
      </c>
    </row>
    <row r="48" spans="1:2" x14ac:dyDescent="0.3">
      <c r="A48" s="3" t="s">
        <v>119</v>
      </c>
      <c r="B48" s="4">
        <v>8.8028169014084509E-4</v>
      </c>
    </row>
    <row r="49" spans="1:2" x14ac:dyDescent="0.3">
      <c r="A49" s="3" t="s">
        <v>121</v>
      </c>
      <c r="B49" s="4">
        <v>8.8028169014084509E-4</v>
      </c>
    </row>
    <row r="50" spans="1:2" x14ac:dyDescent="0.3">
      <c r="A50" s="3" t="s">
        <v>123</v>
      </c>
      <c r="B50" s="4">
        <v>8.8028169014084509E-4</v>
      </c>
    </row>
    <row r="51" spans="1:2" x14ac:dyDescent="0.3">
      <c r="A51" s="3" t="s">
        <v>124</v>
      </c>
      <c r="B51" s="4">
        <v>8.8028169014084509E-4</v>
      </c>
    </row>
    <row r="52" spans="1:2" x14ac:dyDescent="0.3">
      <c r="A52" s="3" t="s">
        <v>125</v>
      </c>
      <c r="B52" s="4">
        <v>8.8028169014084509E-4</v>
      </c>
    </row>
    <row r="53" spans="1:2" x14ac:dyDescent="0.3">
      <c r="A53" s="3" t="s">
        <v>126</v>
      </c>
      <c r="B53" s="4">
        <v>8.8028169014084509E-4</v>
      </c>
    </row>
    <row r="54" spans="1:2" x14ac:dyDescent="0.3">
      <c r="A54" s="3" t="s">
        <v>127</v>
      </c>
      <c r="B54" s="4">
        <v>8.8028169014084509E-4</v>
      </c>
    </row>
    <row r="55" spans="1:2" x14ac:dyDescent="0.3">
      <c r="A55" s="3" t="s">
        <v>128</v>
      </c>
      <c r="B55" s="4">
        <v>8.8028169014084509E-4</v>
      </c>
    </row>
    <row r="56" spans="1:2" x14ac:dyDescent="0.3">
      <c r="A56" s="3" t="s">
        <v>129</v>
      </c>
      <c r="B56" s="4">
        <v>8.8028169014084509E-4</v>
      </c>
    </row>
    <row r="57" spans="1:2" x14ac:dyDescent="0.3">
      <c r="A57" s="3" t="s">
        <v>132</v>
      </c>
      <c r="B57" s="4">
        <v>8.8028169014084509E-4</v>
      </c>
    </row>
    <row r="58" spans="1:2" x14ac:dyDescent="0.3">
      <c r="A58" s="3" t="s">
        <v>134</v>
      </c>
      <c r="B58" s="4">
        <v>8.8028169014084509E-4</v>
      </c>
    </row>
    <row r="59" spans="1:2" x14ac:dyDescent="0.3">
      <c r="A59" s="3" t="s">
        <v>135</v>
      </c>
      <c r="B59" s="4">
        <v>8.8028169014084509E-4</v>
      </c>
    </row>
    <row r="60" spans="1:2" x14ac:dyDescent="0.3">
      <c r="A60" s="3" t="s">
        <v>136</v>
      </c>
      <c r="B60" s="4">
        <v>8.8028169014084509E-4</v>
      </c>
    </row>
    <row r="61" spans="1:2" x14ac:dyDescent="0.3">
      <c r="A61" s="3" t="s">
        <v>137</v>
      </c>
      <c r="B61" s="4">
        <v>8.8028169014084509E-4</v>
      </c>
    </row>
    <row r="62" spans="1:2" x14ac:dyDescent="0.3">
      <c r="A62" s="3" t="s">
        <v>139</v>
      </c>
      <c r="B62" s="4">
        <v>8.8028169014084509E-4</v>
      </c>
    </row>
    <row r="63" spans="1:2" x14ac:dyDescent="0.3">
      <c r="A63" s="3" t="s">
        <v>140</v>
      </c>
      <c r="B63" s="4">
        <v>8.8028169014084509E-4</v>
      </c>
    </row>
    <row r="64" spans="1:2" x14ac:dyDescent="0.3">
      <c r="A64" s="3" t="s">
        <v>143</v>
      </c>
      <c r="B64" s="4">
        <v>8.8028169014084509E-4</v>
      </c>
    </row>
    <row r="65" spans="1:2" x14ac:dyDescent="0.3">
      <c r="A65" s="3" t="s">
        <v>144</v>
      </c>
      <c r="B65" s="4">
        <v>8.8028169014084509E-4</v>
      </c>
    </row>
    <row r="66" spans="1:2" x14ac:dyDescent="0.3">
      <c r="A66" s="3" t="s">
        <v>145</v>
      </c>
      <c r="B66" s="4">
        <v>8.8028169014084509E-4</v>
      </c>
    </row>
    <row r="67" spans="1:2" x14ac:dyDescent="0.3">
      <c r="A67" s="3" t="s">
        <v>148</v>
      </c>
      <c r="B67" s="4">
        <v>8.8028169014084509E-4</v>
      </c>
    </row>
    <row r="68" spans="1:2" x14ac:dyDescent="0.3">
      <c r="A68" s="3" t="s">
        <v>149</v>
      </c>
      <c r="B68" s="4">
        <v>8.8028169014084509E-4</v>
      </c>
    </row>
    <row r="69" spans="1:2" x14ac:dyDescent="0.3">
      <c r="A69" s="3" t="s">
        <v>150</v>
      </c>
      <c r="B69" s="4">
        <v>8.8028169014084509E-4</v>
      </c>
    </row>
    <row r="70" spans="1:2" x14ac:dyDescent="0.3">
      <c r="A70" s="3" t="s">
        <v>154</v>
      </c>
      <c r="B70" s="4">
        <v>8.8028169014084509E-4</v>
      </c>
    </row>
    <row r="71" spans="1:2" x14ac:dyDescent="0.3">
      <c r="A71" s="3" t="s">
        <v>155</v>
      </c>
      <c r="B71" s="4">
        <v>8.8028169014084509E-4</v>
      </c>
    </row>
    <row r="72" spans="1:2" x14ac:dyDescent="0.3">
      <c r="A72" s="3" t="s">
        <v>156</v>
      </c>
      <c r="B72" s="4">
        <v>8.8028169014084509E-4</v>
      </c>
    </row>
    <row r="73" spans="1:2" x14ac:dyDescent="0.3">
      <c r="A73" s="3" t="s">
        <v>157</v>
      </c>
      <c r="B73" s="4">
        <v>8.8028169014084509E-4</v>
      </c>
    </row>
    <row r="74" spans="1:2" x14ac:dyDescent="0.3">
      <c r="A74" s="3" t="s">
        <v>159</v>
      </c>
      <c r="B74" s="4">
        <v>8.8028169014084509E-4</v>
      </c>
    </row>
    <row r="75" spans="1:2" x14ac:dyDescent="0.3">
      <c r="A75" s="3" t="s">
        <v>160</v>
      </c>
      <c r="B75" s="4">
        <v>8.8028169014084509E-4</v>
      </c>
    </row>
    <row r="76" spans="1:2" x14ac:dyDescent="0.3">
      <c r="A76" s="3" t="s">
        <v>163</v>
      </c>
      <c r="B76" s="4">
        <v>8.8028169014084509E-4</v>
      </c>
    </row>
    <row r="77" spans="1:2" x14ac:dyDescent="0.3">
      <c r="A77" s="3" t="s">
        <v>164</v>
      </c>
      <c r="B77" s="4">
        <v>8.8028169014084509E-4</v>
      </c>
    </row>
    <row r="78" spans="1:2" x14ac:dyDescent="0.3">
      <c r="A78" s="3" t="s">
        <v>165</v>
      </c>
      <c r="B78" s="4">
        <v>8.8028169014084509E-4</v>
      </c>
    </row>
    <row r="79" spans="1:2" x14ac:dyDescent="0.3">
      <c r="A79" s="3" t="s">
        <v>166</v>
      </c>
      <c r="B79" s="4">
        <v>8.8028169014084509E-4</v>
      </c>
    </row>
    <row r="80" spans="1:2" x14ac:dyDescent="0.3">
      <c r="A80" s="3" t="s">
        <v>167</v>
      </c>
      <c r="B80" s="4">
        <v>8.8028169014084509E-4</v>
      </c>
    </row>
    <row r="81" spans="1:2" x14ac:dyDescent="0.3">
      <c r="A81" s="3" t="s">
        <v>168</v>
      </c>
      <c r="B81" s="4">
        <v>8.8028169014084509E-4</v>
      </c>
    </row>
    <row r="82" spans="1:2" x14ac:dyDescent="0.3">
      <c r="A82" s="3" t="s">
        <v>169</v>
      </c>
      <c r="B82" s="4">
        <v>8.8028169014084509E-4</v>
      </c>
    </row>
    <row r="83" spans="1:2" x14ac:dyDescent="0.3">
      <c r="A83" s="3" t="s">
        <v>171</v>
      </c>
      <c r="B83" s="4">
        <v>8.8028169014084509E-4</v>
      </c>
    </row>
    <row r="84" spans="1:2" x14ac:dyDescent="0.3">
      <c r="A84" s="3" t="s">
        <v>173</v>
      </c>
      <c r="B84" s="4">
        <v>8.8028169014084509E-4</v>
      </c>
    </row>
    <row r="85" spans="1:2" x14ac:dyDescent="0.3">
      <c r="A85" s="3" t="s">
        <v>174</v>
      </c>
      <c r="B85" s="4">
        <v>8.8028169014084509E-4</v>
      </c>
    </row>
    <row r="86" spans="1:2" x14ac:dyDescent="0.3">
      <c r="A86" s="3" t="s">
        <v>175</v>
      </c>
      <c r="B86" s="4">
        <v>8.8028169014084509E-4</v>
      </c>
    </row>
    <row r="87" spans="1:2" x14ac:dyDescent="0.3">
      <c r="A87" s="3" t="s">
        <v>176</v>
      </c>
      <c r="B87" s="4">
        <v>8.8028169014084509E-4</v>
      </c>
    </row>
    <row r="88" spans="1:2" x14ac:dyDescent="0.3">
      <c r="A88" s="3" t="s">
        <v>177</v>
      </c>
      <c r="B88" s="4">
        <v>8.8028169014084509E-4</v>
      </c>
    </row>
    <row r="89" spans="1:2" x14ac:dyDescent="0.3">
      <c r="A89" s="3" t="s">
        <v>178</v>
      </c>
      <c r="B89" s="4">
        <v>8.8028169014084509E-4</v>
      </c>
    </row>
    <row r="90" spans="1:2" x14ac:dyDescent="0.3">
      <c r="A90" s="3" t="s">
        <v>179</v>
      </c>
      <c r="B90" s="4">
        <v>8.8028169014084509E-4</v>
      </c>
    </row>
    <row r="91" spans="1:2" x14ac:dyDescent="0.3">
      <c r="A91" s="3" t="s">
        <v>180</v>
      </c>
      <c r="B91" s="4">
        <v>8.8028169014084509E-4</v>
      </c>
    </row>
    <row r="92" spans="1:2" x14ac:dyDescent="0.3">
      <c r="A92" s="3" t="s">
        <v>181</v>
      </c>
      <c r="B92" s="4">
        <v>8.8028169014084509E-4</v>
      </c>
    </row>
    <row r="93" spans="1:2" x14ac:dyDescent="0.3">
      <c r="A93" s="3" t="s">
        <v>182</v>
      </c>
      <c r="B93" s="4">
        <v>8.8028169014084509E-4</v>
      </c>
    </row>
    <row r="94" spans="1:2" x14ac:dyDescent="0.3">
      <c r="A94" s="3" t="s">
        <v>183</v>
      </c>
      <c r="B94" s="4">
        <v>8.8028169014084509E-4</v>
      </c>
    </row>
    <row r="95" spans="1:2" x14ac:dyDescent="0.3">
      <c r="A95" s="3" t="s">
        <v>184</v>
      </c>
      <c r="B95" s="4">
        <v>8.8028169014084509E-4</v>
      </c>
    </row>
    <row r="96" spans="1:2" x14ac:dyDescent="0.3">
      <c r="A96" s="3" t="s">
        <v>185</v>
      </c>
      <c r="B96" s="4">
        <v>8.8028169014084509E-4</v>
      </c>
    </row>
    <row r="97" spans="1:2" x14ac:dyDescent="0.3">
      <c r="A97" s="3" t="s">
        <v>186</v>
      </c>
      <c r="B97" s="4">
        <v>8.8028169014084509E-4</v>
      </c>
    </row>
    <row r="98" spans="1:2" x14ac:dyDescent="0.3">
      <c r="A98" s="3" t="s">
        <v>187</v>
      </c>
      <c r="B98" s="4">
        <v>8.8028169014084509E-4</v>
      </c>
    </row>
    <row r="99" spans="1:2" x14ac:dyDescent="0.3">
      <c r="A99" s="3" t="s">
        <v>188</v>
      </c>
      <c r="B99" s="4">
        <v>8.8028169014084509E-4</v>
      </c>
    </row>
    <row r="100" spans="1:2" x14ac:dyDescent="0.3">
      <c r="A100" s="3" t="s">
        <v>189</v>
      </c>
      <c r="B100" s="4">
        <v>8.8028169014084509E-4</v>
      </c>
    </row>
    <row r="101" spans="1:2" x14ac:dyDescent="0.3">
      <c r="A101" s="3" t="s">
        <v>192</v>
      </c>
      <c r="B101" s="4">
        <v>8.8028169014084509E-4</v>
      </c>
    </row>
    <row r="102" spans="1:2" x14ac:dyDescent="0.3">
      <c r="A102" s="3" t="s">
        <v>193</v>
      </c>
      <c r="B102" s="4">
        <v>8.8028169014084509E-4</v>
      </c>
    </row>
    <row r="103" spans="1:2" x14ac:dyDescent="0.3">
      <c r="A103" s="3" t="s">
        <v>194</v>
      </c>
      <c r="B103" s="4">
        <v>8.8028169014084509E-4</v>
      </c>
    </row>
    <row r="104" spans="1:2" x14ac:dyDescent="0.3">
      <c r="A104" s="3" t="s">
        <v>195</v>
      </c>
      <c r="B104" s="4">
        <v>8.8028169014084509E-4</v>
      </c>
    </row>
    <row r="105" spans="1:2" x14ac:dyDescent="0.3">
      <c r="A105" s="3" t="s">
        <v>197</v>
      </c>
      <c r="B105" s="4">
        <v>8.8028169014084509E-4</v>
      </c>
    </row>
    <row r="106" spans="1:2" x14ac:dyDescent="0.3">
      <c r="A106" s="3" t="s">
        <v>198</v>
      </c>
      <c r="B106" s="4">
        <v>8.8028169014084509E-4</v>
      </c>
    </row>
    <row r="107" spans="1:2" x14ac:dyDescent="0.3">
      <c r="A107" s="3" t="s">
        <v>200</v>
      </c>
      <c r="B107" s="4">
        <v>8.8028169014084509E-4</v>
      </c>
    </row>
    <row r="108" spans="1:2" x14ac:dyDescent="0.3">
      <c r="A108" s="3" t="s">
        <v>201</v>
      </c>
      <c r="B108" s="4">
        <v>8.8028169014084509E-4</v>
      </c>
    </row>
    <row r="109" spans="1:2" x14ac:dyDescent="0.3">
      <c r="A109" s="3" t="s">
        <v>202</v>
      </c>
      <c r="B109" s="4">
        <v>8.8028169014084509E-4</v>
      </c>
    </row>
    <row r="110" spans="1:2" x14ac:dyDescent="0.3">
      <c r="A110" s="3" t="s">
        <v>203</v>
      </c>
      <c r="B110" s="4">
        <v>8.8028169014084509E-4</v>
      </c>
    </row>
    <row r="111" spans="1:2" x14ac:dyDescent="0.3">
      <c r="A111" s="3" t="s">
        <v>204</v>
      </c>
      <c r="B111" s="4">
        <v>8.8028169014084509E-4</v>
      </c>
    </row>
    <row r="112" spans="1:2" x14ac:dyDescent="0.3">
      <c r="A112" s="3" t="s">
        <v>206</v>
      </c>
      <c r="B112" s="4">
        <v>8.8028169014084509E-4</v>
      </c>
    </row>
    <row r="113" spans="1:2" x14ac:dyDescent="0.3">
      <c r="A113" s="3" t="s">
        <v>208</v>
      </c>
      <c r="B113" s="4">
        <v>8.8028169014084509E-4</v>
      </c>
    </row>
    <row r="114" spans="1:2" x14ac:dyDescent="0.3">
      <c r="A114" s="3" t="s">
        <v>209</v>
      </c>
      <c r="B114" s="4">
        <v>8.8028169014084509E-4</v>
      </c>
    </row>
    <row r="115" spans="1:2" x14ac:dyDescent="0.3">
      <c r="A115" s="3" t="s">
        <v>210</v>
      </c>
      <c r="B115" s="4">
        <v>8.8028169014084509E-4</v>
      </c>
    </row>
    <row r="116" spans="1:2" x14ac:dyDescent="0.3">
      <c r="A116" s="3" t="s">
        <v>211</v>
      </c>
      <c r="B116" s="4">
        <v>8.8028169014084509E-4</v>
      </c>
    </row>
    <row r="117" spans="1:2" x14ac:dyDescent="0.3">
      <c r="A117" s="3" t="s">
        <v>214</v>
      </c>
      <c r="B117" s="4">
        <v>8.8028169014084509E-4</v>
      </c>
    </row>
    <row r="118" spans="1:2" x14ac:dyDescent="0.3">
      <c r="A118" s="3" t="s">
        <v>217</v>
      </c>
      <c r="B118" s="4">
        <v>8.8028169014084509E-4</v>
      </c>
    </row>
    <row r="119" spans="1:2" x14ac:dyDescent="0.3">
      <c r="A119" s="3" t="s">
        <v>218</v>
      </c>
      <c r="B119" s="4">
        <v>8.8028169014084509E-4</v>
      </c>
    </row>
    <row r="120" spans="1:2" x14ac:dyDescent="0.3">
      <c r="A120" s="3" t="s">
        <v>219</v>
      </c>
      <c r="B120" s="4">
        <v>8.8028169014084509E-4</v>
      </c>
    </row>
    <row r="121" spans="1:2" x14ac:dyDescent="0.3">
      <c r="A121" s="3" t="s">
        <v>220</v>
      </c>
      <c r="B121" s="4">
        <v>8.8028169014084509E-4</v>
      </c>
    </row>
    <row r="122" spans="1:2" x14ac:dyDescent="0.3">
      <c r="A122" s="3" t="s">
        <v>221</v>
      </c>
      <c r="B122" s="4">
        <v>8.8028169014084509E-4</v>
      </c>
    </row>
    <row r="123" spans="1:2" x14ac:dyDescent="0.3">
      <c r="A123" s="3" t="s">
        <v>222</v>
      </c>
      <c r="B123" s="4">
        <v>8.8028169014084509E-4</v>
      </c>
    </row>
    <row r="124" spans="1:2" x14ac:dyDescent="0.3">
      <c r="A124" s="3" t="s">
        <v>223</v>
      </c>
      <c r="B124" s="4">
        <v>8.8028169014084509E-4</v>
      </c>
    </row>
    <row r="125" spans="1:2" x14ac:dyDescent="0.3">
      <c r="A125" s="3" t="s">
        <v>224</v>
      </c>
      <c r="B125" s="4">
        <v>8.8028169014084509E-4</v>
      </c>
    </row>
    <row r="126" spans="1:2" x14ac:dyDescent="0.3">
      <c r="A126" s="3" t="s">
        <v>226</v>
      </c>
      <c r="B126" s="4">
        <v>8.8028169014084509E-4</v>
      </c>
    </row>
    <row r="127" spans="1:2" x14ac:dyDescent="0.3">
      <c r="A127" s="3" t="s">
        <v>227</v>
      </c>
      <c r="B127" s="4">
        <v>8.8028169014084509E-4</v>
      </c>
    </row>
    <row r="128" spans="1:2" x14ac:dyDescent="0.3">
      <c r="A128" s="3" t="s">
        <v>229</v>
      </c>
      <c r="B128" s="4">
        <v>8.8028169014084509E-4</v>
      </c>
    </row>
    <row r="129" spans="1:2" x14ac:dyDescent="0.3">
      <c r="A129" s="3" t="s">
        <v>230</v>
      </c>
      <c r="B129" s="4">
        <v>8.8028169014084509E-4</v>
      </c>
    </row>
    <row r="130" spans="1:2" x14ac:dyDescent="0.3">
      <c r="A130" s="3" t="s">
        <v>231</v>
      </c>
      <c r="B130" s="4">
        <v>8.8028169014084509E-4</v>
      </c>
    </row>
    <row r="131" spans="1:2" x14ac:dyDescent="0.3">
      <c r="A131" s="3" t="s">
        <v>232</v>
      </c>
      <c r="B131" s="4">
        <v>8.8028169014084509E-4</v>
      </c>
    </row>
    <row r="132" spans="1:2" x14ac:dyDescent="0.3">
      <c r="A132" s="3" t="s">
        <v>233</v>
      </c>
      <c r="B132" s="4">
        <v>8.8028169014084509E-4</v>
      </c>
    </row>
    <row r="133" spans="1:2" x14ac:dyDescent="0.3">
      <c r="A133" s="3" t="s">
        <v>235</v>
      </c>
      <c r="B133" s="4">
        <v>8.8028169014084509E-4</v>
      </c>
    </row>
    <row r="134" spans="1:2" x14ac:dyDescent="0.3">
      <c r="A134" s="3" t="s">
        <v>237</v>
      </c>
      <c r="B134" s="4">
        <v>8.8028169014084509E-4</v>
      </c>
    </row>
    <row r="135" spans="1:2" x14ac:dyDescent="0.3">
      <c r="A135" s="3" t="s">
        <v>238</v>
      </c>
      <c r="B135" s="4">
        <v>8.8028169014084509E-4</v>
      </c>
    </row>
    <row r="136" spans="1:2" x14ac:dyDescent="0.3">
      <c r="A136" s="3" t="s">
        <v>239</v>
      </c>
      <c r="B136" s="4">
        <v>8.8028169014084509E-4</v>
      </c>
    </row>
    <row r="137" spans="1:2" x14ac:dyDescent="0.3">
      <c r="A137" s="3" t="s">
        <v>241</v>
      </c>
      <c r="B137" s="4">
        <v>8.8028169014084509E-4</v>
      </c>
    </row>
    <row r="138" spans="1:2" x14ac:dyDescent="0.3">
      <c r="A138" s="3" t="s">
        <v>243</v>
      </c>
      <c r="B138" s="4">
        <v>8.8028169014084509E-4</v>
      </c>
    </row>
    <row r="139" spans="1:2" x14ac:dyDescent="0.3">
      <c r="A139" s="3" t="s">
        <v>244</v>
      </c>
      <c r="B139" s="4">
        <v>8.8028169014084509E-4</v>
      </c>
    </row>
    <row r="140" spans="1:2" x14ac:dyDescent="0.3">
      <c r="A140" s="3" t="s">
        <v>245</v>
      </c>
      <c r="B140" s="4">
        <v>8.8028169014084509E-4</v>
      </c>
    </row>
    <row r="141" spans="1:2" x14ac:dyDescent="0.3">
      <c r="A141" s="3" t="s">
        <v>248</v>
      </c>
      <c r="B141" s="4">
        <v>8.8028169014084509E-4</v>
      </c>
    </row>
    <row r="142" spans="1:2" x14ac:dyDescent="0.3">
      <c r="A142" s="3" t="s">
        <v>249</v>
      </c>
      <c r="B142" s="4">
        <v>8.8028169014084509E-4</v>
      </c>
    </row>
    <row r="143" spans="1:2" x14ac:dyDescent="0.3">
      <c r="A143" s="3" t="s">
        <v>251</v>
      </c>
      <c r="B143" s="4">
        <v>8.8028169014084509E-4</v>
      </c>
    </row>
    <row r="144" spans="1:2" x14ac:dyDescent="0.3">
      <c r="A144" s="3" t="s">
        <v>252</v>
      </c>
      <c r="B144" s="4">
        <v>8.8028169014084509E-4</v>
      </c>
    </row>
    <row r="145" spans="1:2" x14ac:dyDescent="0.3">
      <c r="A145" s="3" t="s">
        <v>253</v>
      </c>
      <c r="B145" s="4">
        <v>8.8028169014084509E-4</v>
      </c>
    </row>
    <row r="146" spans="1:2" x14ac:dyDescent="0.3">
      <c r="A146" s="3" t="s">
        <v>254</v>
      </c>
      <c r="B146" s="4">
        <v>8.8028169014084509E-4</v>
      </c>
    </row>
    <row r="147" spans="1:2" x14ac:dyDescent="0.3">
      <c r="A147" s="3" t="s">
        <v>256</v>
      </c>
      <c r="B147" s="4">
        <v>8.8028169014084509E-4</v>
      </c>
    </row>
    <row r="148" spans="1:2" x14ac:dyDescent="0.3">
      <c r="A148" s="3" t="s">
        <v>257</v>
      </c>
      <c r="B148" s="4">
        <v>8.8028169014084509E-4</v>
      </c>
    </row>
    <row r="149" spans="1:2" x14ac:dyDescent="0.3">
      <c r="A149" s="3" t="s">
        <v>259</v>
      </c>
      <c r="B149" s="4">
        <v>8.8028169014084509E-4</v>
      </c>
    </row>
    <row r="150" spans="1:2" x14ac:dyDescent="0.3">
      <c r="A150" s="3" t="s">
        <v>260</v>
      </c>
      <c r="B150" s="4">
        <v>8.8028169014084509E-4</v>
      </c>
    </row>
    <row r="151" spans="1:2" x14ac:dyDescent="0.3">
      <c r="A151" s="3" t="s">
        <v>261</v>
      </c>
      <c r="B151" s="4">
        <v>8.8028169014084509E-4</v>
      </c>
    </row>
    <row r="152" spans="1:2" x14ac:dyDescent="0.3">
      <c r="A152" s="3" t="s">
        <v>262</v>
      </c>
      <c r="B152" s="4">
        <v>8.8028169014084509E-4</v>
      </c>
    </row>
    <row r="153" spans="1:2" x14ac:dyDescent="0.3">
      <c r="A153" s="3" t="s">
        <v>263</v>
      </c>
      <c r="B153" s="4">
        <v>8.8028169014084509E-4</v>
      </c>
    </row>
    <row r="154" spans="1:2" x14ac:dyDescent="0.3">
      <c r="A154" s="3" t="s">
        <v>264</v>
      </c>
      <c r="B154" s="4">
        <v>8.8028169014084509E-4</v>
      </c>
    </row>
    <row r="155" spans="1:2" x14ac:dyDescent="0.3">
      <c r="A155" s="3" t="s">
        <v>265</v>
      </c>
      <c r="B155" s="4">
        <v>8.8028169014084509E-4</v>
      </c>
    </row>
    <row r="156" spans="1:2" x14ac:dyDescent="0.3">
      <c r="A156" s="3" t="s">
        <v>267</v>
      </c>
      <c r="B156" s="4">
        <v>8.8028169014084509E-4</v>
      </c>
    </row>
    <row r="157" spans="1:2" x14ac:dyDescent="0.3">
      <c r="A157" s="3" t="s">
        <v>271</v>
      </c>
      <c r="B157" s="4">
        <v>8.8028169014084509E-4</v>
      </c>
    </row>
    <row r="158" spans="1:2" x14ac:dyDescent="0.3">
      <c r="A158" s="3" t="s">
        <v>272</v>
      </c>
      <c r="B158" s="4">
        <v>8.8028169014084509E-4</v>
      </c>
    </row>
    <row r="159" spans="1:2" x14ac:dyDescent="0.3">
      <c r="A159" s="3" t="s">
        <v>273</v>
      </c>
      <c r="B159" s="4">
        <v>8.8028169014084509E-4</v>
      </c>
    </row>
    <row r="160" spans="1:2" x14ac:dyDescent="0.3">
      <c r="A160" s="3" t="s">
        <v>276</v>
      </c>
      <c r="B160" s="4">
        <v>8.8028169014084509E-4</v>
      </c>
    </row>
    <row r="161" spans="1:2" x14ac:dyDescent="0.3">
      <c r="A161" s="3" t="s">
        <v>277</v>
      </c>
      <c r="B161" s="4">
        <v>8.8028169014084509E-4</v>
      </c>
    </row>
    <row r="162" spans="1:2" x14ac:dyDescent="0.3">
      <c r="A162" s="3" t="s">
        <v>279</v>
      </c>
      <c r="B162" s="4">
        <v>8.8028169014084509E-4</v>
      </c>
    </row>
    <row r="163" spans="1:2" x14ac:dyDescent="0.3">
      <c r="A163" s="3" t="s">
        <v>280</v>
      </c>
      <c r="B163" s="4">
        <v>8.8028169014084509E-4</v>
      </c>
    </row>
    <row r="164" spans="1:2" x14ac:dyDescent="0.3">
      <c r="A164" s="3" t="s">
        <v>281</v>
      </c>
      <c r="B164" s="4">
        <v>8.8028169014084509E-4</v>
      </c>
    </row>
    <row r="165" spans="1:2" x14ac:dyDescent="0.3">
      <c r="A165" s="3" t="s">
        <v>282</v>
      </c>
      <c r="B165" s="4">
        <v>8.8028169014084509E-4</v>
      </c>
    </row>
    <row r="166" spans="1:2" x14ac:dyDescent="0.3">
      <c r="A166" s="3" t="s">
        <v>283</v>
      </c>
      <c r="B166" s="4">
        <v>8.8028169014084509E-4</v>
      </c>
    </row>
    <row r="167" spans="1:2" x14ac:dyDescent="0.3">
      <c r="A167" s="3" t="s">
        <v>284</v>
      </c>
      <c r="B167" s="4">
        <v>8.8028169014084509E-4</v>
      </c>
    </row>
    <row r="168" spans="1:2" x14ac:dyDescent="0.3">
      <c r="A168" s="3" t="s">
        <v>285</v>
      </c>
      <c r="B168" s="4">
        <v>8.8028169014084509E-4</v>
      </c>
    </row>
    <row r="169" spans="1:2" x14ac:dyDescent="0.3">
      <c r="A169" s="3" t="s">
        <v>286</v>
      </c>
      <c r="B169" s="4">
        <v>8.8028169014084509E-4</v>
      </c>
    </row>
    <row r="170" spans="1:2" x14ac:dyDescent="0.3">
      <c r="A170" s="3" t="s">
        <v>287</v>
      </c>
      <c r="B170" s="4">
        <v>8.8028169014084509E-4</v>
      </c>
    </row>
    <row r="171" spans="1:2" x14ac:dyDescent="0.3">
      <c r="A171" s="3" t="s">
        <v>288</v>
      </c>
      <c r="B171" s="4">
        <v>8.8028169014084509E-4</v>
      </c>
    </row>
    <row r="172" spans="1:2" x14ac:dyDescent="0.3">
      <c r="A172" s="3" t="s">
        <v>289</v>
      </c>
      <c r="B172" s="4">
        <v>8.8028169014084509E-4</v>
      </c>
    </row>
    <row r="173" spans="1:2" x14ac:dyDescent="0.3">
      <c r="A173" s="3" t="s">
        <v>290</v>
      </c>
      <c r="B173" s="4">
        <v>8.8028169014084509E-4</v>
      </c>
    </row>
    <row r="174" spans="1:2" x14ac:dyDescent="0.3">
      <c r="A174" s="3" t="s">
        <v>291</v>
      </c>
      <c r="B174" s="4">
        <v>8.8028169014084509E-4</v>
      </c>
    </row>
    <row r="175" spans="1:2" x14ac:dyDescent="0.3">
      <c r="A175" s="3" t="s">
        <v>292</v>
      </c>
      <c r="B175" s="4">
        <v>8.8028169014084509E-4</v>
      </c>
    </row>
    <row r="176" spans="1:2" x14ac:dyDescent="0.3">
      <c r="A176" s="3" t="s">
        <v>294</v>
      </c>
      <c r="B176" s="4">
        <v>8.8028169014084509E-4</v>
      </c>
    </row>
    <row r="177" spans="1:2" x14ac:dyDescent="0.3">
      <c r="A177" s="3" t="s">
        <v>295</v>
      </c>
      <c r="B177" s="4">
        <v>8.8028169014084509E-4</v>
      </c>
    </row>
    <row r="178" spans="1:2" x14ac:dyDescent="0.3">
      <c r="A178" s="3" t="s">
        <v>296</v>
      </c>
      <c r="B178" s="4">
        <v>8.8028169014084509E-4</v>
      </c>
    </row>
    <row r="179" spans="1:2" x14ac:dyDescent="0.3">
      <c r="A179" s="3" t="s">
        <v>297</v>
      </c>
      <c r="B179" s="4">
        <v>8.8028169014084509E-4</v>
      </c>
    </row>
    <row r="180" spans="1:2" x14ac:dyDescent="0.3">
      <c r="A180" s="3" t="s">
        <v>298</v>
      </c>
      <c r="B180" s="4">
        <v>8.8028169014084509E-4</v>
      </c>
    </row>
    <row r="181" spans="1:2" x14ac:dyDescent="0.3">
      <c r="A181" s="3" t="s">
        <v>299</v>
      </c>
      <c r="B181" s="4">
        <v>8.8028169014084509E-4</v>
      </c>
    </row>
    <row r="182" spans="1:2" x14ac:dyDescent="0.3">
      <c r="A182" s="3" t="s">
        <v>300</v>
      </c>
      <c r="B182" s="4">
        <v>8.8028169014084509E-4</v>
      </c>
    </row>
    <row r="183" spans="1:2" x14ac:dyDescent="0.3">
      <c r="A183" s="3" t="s">
        <v>301</v>
      </c>
      <c r="B183" s="4">
        <v>8.8028169014084509E-4</v>
      </c>
    </row>
    <row r="184" spans="1:2" x14ac:dyDescent="0.3">
      <c r="A184" s="3" t="s">
        <v>302</v>
      </c>
      <c r="B184" s="4">
        <v>8.8028169014084509E-4</v>
      </c>
    </row>
    <row r="185" spans="1:2" x14ac:dyDescent="0.3">
      <c r="A185" s="3" t="s">
        <v>303</v>
      </c>
      <c r="B185" s="4">
        <v>8.8028169014084509E-4</v>
      </c>
    </row>
    <row r="186" spans="1:2" x14ac:dyDescent="0.3">
      <c r="A186" s="3" t="s">
        <v>304</v>
      </c>
      <c r="B186" s="4">
        <v>8.8028169014084509E-4</v>
      </c>
    </row>
    <row r="187" spans="1:2" x14ac:dyDescent="0.3">
      <c r="A187" s="3" t="s">
        <v>305</v>
      </c>
      <c r="B187" s="4">
        <v>8.8028169014084509E-4</v>
      </c>
    </row>
    <row r="188" spans="1:2" x14ac:dyDescent="0.3">
      <c r="A188" s="3" t="s">
        <v>306</v>
      </c>
      <c r="B188" s="4">
        <v>8.8028169014084509E-4</v>
      </c>
    </row>
    <row r="189" spans="1:2" x14ac:dyDescent="0.3">
      <c r="A189" s="3" t="s">
        <v>307</v>
      </c>
      <c r="B189" s="4">
        <v>8.8028169014084509E-4</v>
      </c>
    </row>
    <row r="190" spans="1:2" x14ac:dyDescent="0.3">
      <c r="A190" s="3" t="s">
        <v>308</v>
      </c>
      <c r="B190" s="4">
        <v>8.8028169014084509E-4</v>
      </c>
    </row>
    <row r="191" spans="1:2" x14ac:dyDescent="0.3">
      <c r="A191" s="3" t="s">
        <v>310</v>
      </c>
      <c r="B191" s="4">
        <v>8.8028169014084509E-4</v>
      </c>
    </row>
    <row r="192" spans="1:2" x14ac:dyDescent="0.3">
      <c r="A192" s="3" t="s">
        <v>312</v>
      </c>
      <c r="B192" s="4">
        <v>8.8028169014084509E-4</v>
      </c>
    </row>
    <row r="193" spans="1:2" x14ac:dyDescent="0.3">
      <c r="A193" s="3" t="s">
        <v>313</v>
      </c>
      <c r="B193" s="4">
        <v>8.8028169014084509E-4</v>
      </c>
    </row>
    <row r="194" spans="1:2" x14ac:dyDescent="0.3">
      <c r="A194" s="3" t="s">
        <v>314</v>
      </c>
      <c r="B194" s="4">
        <v>8.8028169014084509E-4</v>
      </c>
    </row>
    <row r="195" spans="1:2" x14ac:dyDescent="0.3">
      <c r="A195" s="3" t="s">
        <v>316</v>
      </c>
      <c r="B195" s="4">
        <v>8.8028169014084509E-4</v>
      </c>
    </row>
    <row r="196" spans="1:2" x14ac:dyDescent="0.3">
      <c r="A196" s="3" t="s">
        <v>317</v>
      </c>
      <c r="B196" s="4">
        <v>8.8028169014084509E-4</v>
      </c>
    </row>
    <row r="197" spans="1:2" x14ac:dyDescent="0.3">
      <c r="A197" s="3" t="s">
        <v>318</v>
      </c>
      <c r="B197" s="4">
        <v>8.8028169014084509E-4</v>
      </c>
    </row>
    <row r="198" spans="1:2" x14ac:dyDescent="0.3">
      <c r="A198" s="3" t="s">
        <v>319</v>
      </c>
      <c r="B198" s="4">
        <v>8.8028169014084509E-4</v>
      </c>
    </row>
    <row r="199" spans="1:2" x14ac:dyDescent="0.3">
      <c r="A199" s="3" t="s">
        <v>320</v>
      </c>
      <c r="B199" s="4">
        <v>8.8028169014084509E-4</v>
      </c>
    </row>
    <row r="200" spans="1:2" x14ac:dyDescent="0.3">
      <c r="A200" s="3" t="s">
        <v>321</v>
      </c>
      <c r="B200" s="4">
        <v>8.8028169014084509E-4</v>
      </c>
    </row>
    <row r="201" spans="1:2" x14ac:dyDescent="0.3">
      <c r="A201" s="3" t="s">
        <v>323</v>
      </c>
      <c r="B201" s="4">
        <v>8.8028169014084509E-4</v>
      </c>
    </row>
    <row r="202" spans="1:2" x14ac:dyDescent="0.3">
      <c r="A202" s="3" t="s">
        <v>325</v>
      </c>
      <c r="B202" s="4">
        <v>8.8028169014084509E-4</v>
      </c>
    </row>
    <row r="203" spans="1:2" x14ac:dyDescent="0.3">
      <c r="A203" s="3" t="s">
        <v>326</v>
      </c>
      <c r="B203" s="4">
        <v>8.8028169014084509E-4</v>
      </c>
    </row>
    <row r="204" spans="1:2" x14ac:dyDescent="0.3">
      <c r="A204" s="3" t="s">
        <v>328</v>
      </c>
      <c r="B204" s="4">
        <v>8.8028169014084509E-4</v>
      </c>
    </row>
    <row r="205" spans="1:2" x14ac:dyDescent="0.3">
      <c r="A205" s="3" t="s">
        <v>329</v>
      </c>
      <c r="B205" s="4">
        <v>8.8028169014084509E-4</v>
      </c>
    </row>
    <row r="206" spans="1:2" x14ac:dyDescent="0.3">
      <c r="A206" s="3" t="s">
        <v>331</v>
      </c>
      <c r="B206" s="4">
        <v>8.8028169014084509E-4</v>
      </c>
    </row>
    <row r="207" spans="1:2" x14ac:dyDescent="0.3">
      <c r="A207" s="3" t="s">
        <v>332</v>
      </c>
      <c r="B207" s="4">
        <v>8.8028169014084509E-4</v>
      </c>
    </row>
    <row r="208" spans="1:2" x14ac:dyDescent="0.3">
      <c r="A208" s="3" t="s">
        <v>333</v>
      </c>
      <c r="B208" s="4">
        <v>8.8028169014084509E-4</v>
      </c>
    </row>
    <row r="209" spans="1:2" x14ac:dyDescent="0.3">
      <c r="A209" s="3" t="s">
        <v>334</v>
      </c>
      <c r="B209" s="4">
        <v>8.8028169014084509E-4</v>
      </c>
    </row>
    <row r="210" spans="1:2" x14ac:dyDescent="0.3">
      <c r="A210" s="3" t="s">
        <v>335</v>
      </c>
      <c r="B210" s="4">
        <v>8.8028169014084509E-4</v>
      </c>
    </row>
    <row r="211" spans="1:2" x14ac:dyDescent="0.3">
      <c r="A211" s="3" t="s">
        <v>338</v>
      </c>
      <c r="B211" s="4">
        <v>8.8028169014084509E-4</v>
      </c>
    </row>
    <row r="212" spans="1:2" x14ac:dyDescent="0.3">
      <c r="A212" s="3" t="s">
        <v>339</v>
      </c>
      <c r="B212" s="4">
        <v>8.8028169014084509E-4</v>
      </c>
    </row>
    <row r="213" spans="1:2" x14ac:dyDescent="0.3">
      <c r="A213" s="3" t="s">
        <v>340</v>
      </c>
      <c r="B213" s="4">
        <v>8.8028169014084509E-4</v>
      </c>
    </row>
    <row r="214" spans="1:2" x14ac:dyDescent="0.3">
      <c r="A214" s="3" t="s">
        <v>341</v>
      </c>
      <c r="B214" s="4">
        <v>8.8028169014084509E-4</v>
      </c>
    </row>
    <row r="215" spans="1:2" x14ac:dyDescent="0.3">
      <c r="A215" s="3" t="s">
        <v>343</v>
      </c>
      <c r="B215" s="4">
        <v>8.8028169014084509E-4</v>
      </c>
    </row>
    <row r="216" spans="1:2" x14ac:dyDescent="0.3">
      <c r="A216" s="3" t="s">
        <v>344</v>
      </c>
      <c r="B216" s="4">
        <v>8.8028169014084509E-4</v>
      </c>
    </row>
    <row r="217" spans="1:2" x14ac:dyDescent="0.3">
      <c r="A217" s="3" t="s">
        <v>345</v>
      </c>
      <c r="B217" s="4">
        <v>8.8028169014084509E-4</v>
      </c>
    </row>
    <row r="218" spans="1:2" x14ac:dyDescent="0.3">
      <c r="A218" s="3" t="s">
        <v>346</v>
      </c>
      <c r="B218" s="4">
        <v>8.8028169014084509E-4</v>
      </c>
    </row>
    <row r="219" spans="1:2" x14ac:dyDescent="0.3">
      <c r="A219" s="3" t="s">
        <v>347</v>
      </c>
      <c r="B219" s="4">
        <v>8.8028169014084509E-4</v>
      </c>
    </row>
    <row r="220" spans="1:2" x14ac:dyDescent="0.3">
      <c r="A220" s="3" t="s">
        <v>349</v>
      </c>
      <c r="B220" s="4">
        <v>8.8028169014084509E-4</v>
      </c>
    </row>
    <row r="221" spans="1:2" x14ac:dyDescent="0.3">
      <c r="A221" s="3" t="s">
        <v>350</v>
      </c>
      <c r="B221" s="4">
        <v>8.8028169014084509E-4</v>
      </c>
    </row>
    <row r="222" spans="1:2" x14ac:dyDescent="0.3">
      <c r="A222" s="3" t="s">
        <v>351</v>
      </c>
      <c r="B222" s="4">
        <v>8.8028169014084509E-4</v>
      </c>
    </row>
    <row r="223" spans="1:2" x14ac:dyDescent="0.3">
      <c r="A223" s="3" t="s">
        <v>352</v>
      </c>
      <c r="B223" s="4">
        <v>8.8028169014084509E-4</v>
      </c>
    </row>
    <row r="224" spans="1:2" x14ac:dyDescent="0.3">
      <c r="A224" s="3" t="s">
        <v>353</v>
      </c>
      <c r="B224" s="4">
        <v>8.8028169014084509E-4</v>
      </c>
    </row>
    <row r="225" spans="1:2" x14ac:dyDescent="0.3">
      <c r="A225" s="3" t="s">
        <v>354</v>
      </c>
      <c r="B225" s="4">
        <v>8.8028169014084509E-4</v>
      </c>
    </row>
    <row r="226" spans="1:2" x14ac:dyDescent="0.3">
      <c r="A226" s="3" t="s">
        <v>355</v>
      </c>
      <c r="B226" s="4">
        <v>8.8028169014084509E-4</v>
      </c>
    </row>
    <row r="227" spans="1:2" x14ac:dyDescent="0.3">
      <c r="A227" s="3" t="s">
        <v>358</v>
      </c>
      <c r="B227" s="4">
        <v>8.8028169014084509E-4</v>
      </c>
    </row>
    <row r="228" spans="1:2" x14ac:dyDescent="0.3">
      <c r="A228" s="3" t="s">
        <v>359</v>
      </c>
      <c r="B228" s="4">
        <v>8.8028169014084509E-4</v>
      </c>
    </row>
    <row r="229" spans="1:2" x14ac:dyDescent="0.3">
      <c r="A229" s="3" t="s">
        <v>360</v>
      </c>
      <c r="B229" s="4">
        <v>8.8028169014084509E-4</v>
      </c>
    </row>
    <row r="230" spans="1:2" x14ac:dyDescent="0.3">
      <c r="A230" s="3" t="s">
        <v>363</v>
      </c>
      <c r="B230" s="4">
        <v>8.8028169014084509E-4</v>
      </c>
    </row>
    <row r="231" spans="1:2" x14ac:dyDescent="0.3">
      <c r="A231" s="3" t="s">
        <v>364</v>
      </c>
      <c r="B231" s="4">
        <v>8.8028169014084509E-4</v>
      </c>
    </row>
    <row r="232" spans="1:2" x14ac:dyDescent="0.3">
      <c r="A232" s="3" t="s">
        <v>366</v>
      </c>
      <c r="B232" s="4">
        <v>8.8028169014084509E-4</v>
      </c>
    </row>
    <row r="233" spans="1:2" x14ac:dyDescent="0.3">
      <c r="A233" s="3" t="s">
        <v>367</v>
      </c>
      <c r="B233" s="4">
        <v>8.8028169014084509E-4</v>
      </c>
    </row>
    <row r="234" spans="1:2" x14ac:dyDescent="0.3">
      <c r="A234" s="3" t="s">
        <v>368</v>
      </c>
      <c r="B234" s="4">
        <v>8.8028169014084509E-4</v>
      </c>
    </row>
    <row r="235" spans="1:2" x14ac:dyDescent="0.3">
      <c r="A235" s="3" t="s">
        <v>370</v>
      </c>
      <c r="B235" s="4">
        <v>8.8028169014084509E-4</v>
      </c>
    </row>
    <row r="236" spans="1:2" x14ac:dyDescent="0.3">
      <c r="A236" s="3" t="s">
        <v>371</v>
      </c>
      <c r="B236" s="4">
        <v>8.8028169014084509E-4</v>
      </c>
    </row>
    <row r="237" spans="1:2" x14ac:dyDescent="0.3">
      <c r="A237" s="3" t="s">
        <v>372</v>
      </c>
      <c r="B237" s="4">
        <v>8.8028169014084509E-4</v>
      </c>
    </row>
    <row r="238" spans="1:2" x14ac:dyDescent="0.3">
      <c r="A238" s="3" t="s">
        <v>373</v>
      </c>
      <c r="B238" s="4">
        <v>8.8028169014084509E-4</v>
      </c>
    </row>
    <row r="239" spans="1:2" x14ac:dyDescent="0.3">
      <c r="A239" s="3" t="s">
        <v>375</v>
      </c>
      <c r="B239" s="4">
        <v>8.8028169014084509E-4</v>
      </c>
    </row>
    <row r="240" spans="1:2" x14ac:dyDescent="0.3">
      <c r="A240" s="3" t="s">
        <v>376</v>
      </c>
      <c r="B240" s="4">
        <v>8.8028169014084509E-4</v>
      </c>
    </row>
    <row r="241" spans="1:2" x14ac:dyDescent="0.3">
      <c r="A241" s="3" t="s">
        <v>377</v>
      </c>
      <c r="B241" s="4">
        <v>8.8028169014084509E-4</v>
      </c>
    </row>
    <row r="242" spans="1:2" x14ac:dyDescent="0.3">
      <c r="A242" s="3" t="s">
        <v>378</v>
      </c>
      <c r="B242" s="4">
        <v>8.8028169014084509E-4</v>
      </c>
    </row>
    <row r="243" spans="1:2" x14ac:dyDescent="0.3">
      <c r="A243" s="3" t="s">
        <v>379</v>
      </c>
      <c r="B243" s="4">
        <v>8.8028169014084509E-4</v>
      </c>
    </row>
    <row r="244" spans="1:2" x14ac:dyDescent="0.3">
      <c r="A244" s="3" t="s">
        <v>380</v>
      </c>
      <c r="B244" s="4">
        <v>8.8028169014084509E-4</v>
      </c>
    </row>
    <row r="245" spans="1:2" x14ac:dyDescent="0.3">
      <c r="A245" s="3" t="s">
        <v>381</v>
      </c>
      <c r="B245" s="4">
        <v>8.8028169014084509E-4</v>
      </c>
    </row>
    <row r="246" spans="1:2" x14ac:dyDescent="0.3">
      <c r="A246" s="3" t="s">
        <v>382</v>
      </c>
      <c r="B246" s="4">
        <v>8.8028169014084509E-4</v>
      </c>
    </row>
    <row r="247" spans="1:2" x14ac:dyDescent="0.3">
      <c r="A247" s="3" t="s">
        <v>383</v>
      </c>
      <c r="B247" s="4">
        <v>8.8028169014084509E-4</v>
      </c>
    </row>
    <row r="248" spans="1:2" x14ac:dyDescent="0.3">
      <c r="A248" s="3" t="s">
        <v>385</v>
      </c>
      <c r="B248" s="4">
        <v>8.8028169014084509E-4</v>
      </c>
    </row>
    <row r="249" spans="1:2" x14ac:dyDescent="0.3">
      <c r="A249" s="3" t="s">
        <v>387</v>
      </c>
      <c r="B249" s="4">
        <v>8.8028169014084509E-4</v>
      </c>
    </row>
    <row r="250" spans="1:2" x14ac:dyDescent="0.3">
      <c r="A250" s="3" t="s">
        <v>388</v>
      </c>
      <c r="B250" s="4">
        <v>8.8028169014084509E-4</v>
      </c>
    </row>
    <row r="251" spans="1:2" x14ac:dyDescent="0.3">
      <c r="A251" s="3" t="s">
        <v>390</v>
      </c>
      <c r="B251" s="4">
        <v>8.8028169014084509E-4</v>
      </c>
    </row>
    <row r="252" spans="1:2" x14ac:dyDescent="0.3">
      <c r="A252" s="3" t="s">
        <v>391</v>
      </c>
      <c r="B252" s="4">
        <v>8.8028169014084509E-4</v>
      </c>
    </row>
    <row r="253" spans="1:2" x14ac:dyDescent="0.3">
      <c r="A253" s="3" t="s">
        <v>392</v>
      </c>
      <c r="B253" s="4">
        <v>8.8028169014084509E-4</v>
      </c>
    </row>
    <row r="254" spans="1:2" x14ac:dyDescent="0.3">
      <c r="A254" s="3" t="s">
        <v>394</v>
      </c>
      <c r="B254" s="4">
        <v>8.8028169014084509E-4</v>
      </c>
    </row>
    <row r="255" spans="1:2" x14ac:dyDescent="0.3">
      <c r="A255" s="3" t="s">
        <v>395</v>
      </c>
      <c r="B255" s="4">
        <v>8.8028169014084509E-4</v>
      </c>
    </row>
    <row r="256" spans="1:2" x14ac:dyDescent="0.3">
      <c r="A256" s="3" t="s">
        <v>396</v>
      </c>
      <c r="B256" s="4">
        <v>8.8028169014084509E-4</v>
      </c>
    </row>
    <row r="257" spans="1:2" x14ac:dyDescent="0.3">
      <c r="A257" s="3" t="s">
        <v>397</v>
      </c>
      <c r="B257" s="4">
        <v>8.8028169014084509E-4</v>
      </c>
    </row>
    <row r="258" spans="1:2" x14ac:dyDescent="0.3">
      <c r="A258" s="3" t="s">
        <v>398</v>
      </c>
      <c r="B258" s="4">
        <v>8.8028169014084509E-4</v>
      </c>
    </row>
    <row r="259" spans="1:2" x14ac:dyDescent="0.3">
      <c r="A259" s="3" t="s">
        <v>399</v>
      </c>
      <c r="B259" s="4">
        <v>8.8028169014084509E-4</v>
      </c>
    </row>
    <row r="260" spans="1:2" x14ac:dyDescent="0.3">
      <c r="A260" s="3" t="s">
        <v>400</v>
      </c>
      <c r="B260" s="4">
        <v>8.8028169014084509E-4</v>
      </c>
    </row>
    <row r="261" spans="1:2" x14ac:dyDescent="0.3">
      <c r="A261" s="3" t="s">
        <v>402</v>
      </c>
      <c r="B261" s="4">
        <v>8.8028169014084509E-4</v>
      </c>
    </row>
    <row r="262" spans="1:2" x14ac:dyDescent="0.3">
      <c r="A262" s="3" t="s">
        <v>403</v>
      </c>
      <c r="B262" s="4">
        <v>8.8028169014084509E-4</v>
      </c>
    </row>
    <row r="263" spans="1:2" x14ac:dyDescent="0.3">
      <c r="A263" s="3" t="s">
        <v>404</v>
      </c>
      <c r="B263" s="4">
        <v>8.8028169014084509E-4</v>
      </c>
    </row>
    <row r="264" spans="1:2" x14ac:dyDescent="0.3">
      <c r="A264" s="3" t="s">
        <v>405</v>
      </c>
      <c r="B264" s="4">
        <v>8.8028169014084509E-4</v>
      </c>
    </row>
    <row r="265" spans="1:2" x14ac:dyDescent="0.3">
      <c r="A265" s="3" t="s">
        <v>406</v>
      </c>
      <c r="B265" s="4">
        <v>8.8028169014084509E-4</v>
      </c>
    </row>
    <row r="266" spans="1:2" x14ac:dyDescent="0.3">
      <c r="A266" s="3" t="s">
        <v>407</v>
      </c>
      <c r="B266" s="4">
        <v>8.8028169014084509E-4</v>
      </c>
    </row>
    <row r="267" spans="1:2" x14ac:dyDescent="0.3">
      <c r="A267" s="3" t="s">
        <v>408</v>
      </c>
      <c r="B267" s="4">
        <v>8.8028169014084509E-4</v>
      </c>
    </row>
    <row r="268" spans="1:2" x14ac:dyDescent="0.3">
      <c r="A268" s="3" t="s">
        <v>409</v>
      </c>
      <c r="B268" s="4">
        <v>8.8028169014084509E-4</v>
      </c>
    </row>
    <row r="269" spans="1:2" x14ac:dyDescent="0.3">
      <c r="A269" s="3" t="s">
        <v>411</v>
      </c>
      <c r="B269" s="4">
        <v>8.8028169014084509E-4</v>
      </c>
    </row>
    <row r="270" spans="1:2" x14ac:dyDescent="0.3">
      <c r="A270" s="3" t="s">
        <v>412</v>
      </c>
      <c r="B270" s="4">
        <v>8.8028169014084509E-4</v>
      </c>
    </row>
    <row r="271" spans="1:2" x14ac:dyDescent="0.3">
      <c r="A271" s="3" t="s">
        <v>413</v>
      </c>
      <c r="B271" s="4">
        <v>8.8028169014084509E-4</v>
      </c>
    </row>
    <row r="272" spans="1:2" x14ac:dyDescent="0.3">
      <c r="A272" s="3" t="s">
        <v>415</v>
      </c>
      <c r="B272" s="4">
        <v>8.8028169014084509E-4</v>
      </c>
    </row>
    <row r="273" spans="1:2" x14ac:dyDescent="0.3">
      <c r="A273" s="3" t="s">
        <v>416</v>
      </c>
      <c r="B273" s="4">
        <v>8.8028169014084509E-4</v>
      </c>
    </row>
    <row r="274" spans="1:2" x14ac:dyDescent="0.3">
      <c r="A274" s="3" t="s">
        <v>417</v>
      </c>
      <c r="B274" s="4">
        <v>8.8028169014084509E-4</v>
      </c>
    </row>
    <row r="275" spans="1:2" x14ac:dyDescent="0.3">
      <c r="A275" s="3" t="s">
        <v>418</v>
      </c>
      <c r="B275" s="4">
        <v>8.8028169014084509E-4</v>
      </c>
    </row>
    <row r="276" spans="1:2" x14ac:dyDescent="0.3">
      <c r="A276" s="3" t="s">
        <v>419</v>
      </c>
      <c r="B276" s="4">
        <v>8.8028169014084509E-4</v>
      </c>
    </row>
    <row r="277" spans="1:2" x14ac:dyDescent="0.3">
      <c r="A277" s="3" t="s">
        <v>420</v>
      </c>
      <c r="B277" s="4">
        <v>8.8028169014084509E-4</v>
      </c>
    </row>
    <row r="278" spans="1:2" x14ac:dyDescent="0.3">
      <c r="A278" s="3" t="s">
        <v>422</v>
      </c>
      <c r="B278" s="4">
        <v>8.8028169014084509E-4</v>
      </c>
    </row>
    <row r="279" spans="1:2" x14ac:dyDescent="0.3">
      <c r="A279" s="3" t="s">
        <v>423</v>
      </c>
      <c r="B279" s="4">
        <v>8.8028169014084509E-4</v>
      </c>
    </row>
    <row r="280" spans="1:2" x14ac:dyDescent="0.3">
      <c r="A280" s="3" t="s">
        <v>425</v>
      </c>
      <c r="B280" s="4">
        <v>8.8028169014084509E-4</v>
      </c>
    </row>
    <row r="281" spans="1:2" x14ac:dyDescent="0.3">
      <c r="A281" s="3" t="s">
        <v>426</v>
      </c>
      <c r="B281" s="4">
        <v>8.8028169014084509E-4</v>
      </c>
    </row>
    <row r="282" spans="1:2" x14ac:dyDescent="0.3">
      <c r="A282" s="3" t="s">
        <v>428</v>
      </c>
      <c r="B282" s="4">
        <v>8.8028169014084509E-4</v>
      </c>
    </row>
    <row r="283" spans="1:2" x14ac:dyDescent="0.3">
      <c r="A283" s="3" t="s">
        <v>431</v>
      </c>
      <c r="B283" s="4">
        <v>8.8028169014084509E-4</v>
      </c>
    </row>
    <row r="284" spans="1:2" x14ac:dyDescent="0.3">
      <c r="A284" s="3" t="s">
        <v>432</v>
      </c>
      <c r="B284" s="4">
        <v>8.8028169014084509E-4</v>
      </c>
    </row>
    <row r="285" spans="1:2" x14ac:dyDescent="0.3">
      <c r="A285" s="3" t="s">
        <v>433</v>
      </c>
      <c r="B285" s="4">
        <v>8.8028169014084509E-4</v>
      </c>
    </row>
    <row r="286" spans="1:2" x14ac:dyDescent="0.3">
      <c r="A286" s="3" t="s">
        <v>435</v>
      </c>
      <c r="B286" s="4">
        <v>8.8028169014084509E-4</v>
      </c>
    </row>
    <row r="287" spans="1:2" x14ac:dyDescent="0.3">
      <c r="A287" s="3" t="s">
        <v>436</v>
      </c>
      <c r="B287" s="4">
        <v>8.8028169014084509E-4</v>
      </c>
    </row>
    <row r="288" spans="1:2" x14ac:dyDescent="0.3">
      <c r="A288" s="3" t="s">
        <v>438</v>
      </c>
      <c r="B288" s="4">
        <v>8.8028169014084509E-4</v>
      </c>
    </row>
    <row r="289" spans="1:2" x14ac:dyDescent="0.3">
      <c r="A289" s="3" t="s">
        <v>439</v>
      </c>
      <c r="B289" s="4">
        <v>8.8028169014084509E-4</v>
      </c>
    </row>
    <row r="290" spans="1:2" x14ac:dyDescent="0.3">
      <c r="A290" s="3" t="s">
        <v>442</v>
      </c>
      <c r="B290" s="4">
        <v>8.8028169014084509E-4</v>
      </c>
    </row>
    <row r="291" spans="1:2" x14ac:dyDescent="0.3">
      <c r="A291" s="3" t="s">
        <v>445</v>
      </c>
      <c r="B291" s="4">
        <v>8.8028169014084509E-4</v>
      </c>
    </row>
    <row r="292" spans="1:2" x14ac:dyDescent="0.3">
      <c r="A292" s="3" t="s">
        <v>446</v>
      </c>
      <c r="B292" s="4">
        <v>8.8028169014084509E-4</v>
      </c>
    </row>
    <row r="293" spans="1:2" x14ac:dyDescent="0.3">
      <c r="A293" s="3" t="s">
        <v>447</v>
      </c>
      <c r="B293" s="4">
        <v>8.8028169014084509E-4</v>
      </c>
    </row>
    <row r="294" spans="1:2" x14ac:dyDescent="0.3">
      <c r="A294" s="3" t="s">
        <v>448</v>
      </c>
      <c r="B294" s="4">
        <v>8.8028169014084509E-4</v>
      </c>
    </row>
    <row r="295" spans="1:2" x14ac:dyDescent="0.3">
      <c r="A295" s="3" t="s">
        <v>451</v>
      </c>
      <c r="B295" s="4">
        <v>8.8028169014084509E-4</v>
      </c>
    </row>
    <row r="296" spans="1:2" x14ac:dyDescent="0.3">
      <c r="A296" s="3" t="s">
        <v>453</v>
      </c>
      <c r="B296" s="4">
        <v>8.8028169014084509E-4</v>
      </c>
    </row>
    <row r="297" spans="1:2" x14ac:dyDescent="0.3">
      <c r="A297" s="3" t="s">
        <v>454</v>
      </c>
      <c r="B297" s="4">
        <v>8.8028169014084509E-4</v>
      </c>
    </row>
    <row r="298" spans="1:2" x14ac:dyDescent="0.3">
      <c r="A298" s="3" t="s">
        <v>455</v>
      </c>
      <c r="B298" s="4">
        <v>8.8028169014084509E-4</v>
      </c>
    </row>
    <row r="299" spans="1:2" x14ac:dyDescent="0.3">
      <c r="A299" s="3" t="s">
        <v>456</v>
      </c>
      <c r="B299" s="4">
        <v>8.8028169014084509E-4</v>
      </c>
    </row>
    <row r="300" spans="1:2" x14ac:dyDescent="0.3">
      <c r="A300" s="3" t="s">
        <v>457</v>
      </c>
      <c r="B300" s="4">
        <v>8.8028169014084509E-4</v>
      </c>
    </row>
    <row r="301" spans="1:2" x14ac:dyDescent="0.3">
      <c r="A301" s="3" t="s">
        <v>458</v>
      </c>
      <c r="B301" s="4">
        <v>8.8028169014084509E-4</v>
      </c>
    </row>
    <row r="302" spans="1:2" x14ac:dyDescent="0.3">
      <c r="A302" s="3" t="s">
        <v>459</v>
      </c>
      <c r="B302" s="4">
        <v>8.8028169014084509E-4</v>
      </c>
    </row>
    <row r="303" spans="1:2" x14ac:dyDescent="0.3">
      <c r="A303" s="3" t="s">
        <v>462</v>
      </c>
      <c r="B303" s="4">
        <v>8.8028169014084509E-4</v>
      </c>
    </row>
    <row r="304" spans="1:2" x14ac:dyDescent="0.3">
      <c r="A304" s="3" t="s">
        <v>464</v>
      </c>
      <c r="B304" s="4">
        <v>8.8028169014084509E-4</v>
      </c>
    </row>
    <row r="305" spans="1:2" x14ac:dyDescent="0.3">
      <c r="A305" s="3" t="s">
        <v>465</v>
      </c>
      <c r="B305" s="4">
        <v>8.8028169014084509E-4</v>
      </c>
    </row>
    <row r="306" spans="1:2" x14ac:dyDescent="0.3">
      <c r="A306" s="3" t="s">
        <v>466</v>
      </c>
      <c r="B306" s="4">
        <v>8.8028169014084509E-4</v>
      </c>
    </row>
    <row r="307" spans="1:2" x14ac:dyDescent="0.3">
      <c r="A307" s="3" t="s">
        <v>467</v>
      </c>
      <c r="B307" s="4">
        <v>8.8028169014084509E-4</v>
      </c>
    </row>
    <row r="308" spans="1:2" x14ac:dyDescent="0.3">
      <c r="A308" s="3" t="s">
        <v>468</v>
      </c>
      <c r="B308" s="4">
        <v>8.8028169014084509E-4</v>
      </c>
    </row>
    <row r="309" spans="1:2" x14ac:dyDescent="0.3">
      <c r="A309" s="3" t="s">
        <v>469</v>
      </c>
      <c r="B309" s="4">
        <v>8.8028169014084509E-4</v>
      </c>
    </row>
    <row r="310" spans="1:2" x14ac:dyDescent="0.3">
      <c r="A310" s="3" t="s">
        <v>471</v>
      </c>
      <c r="B310" s="4">
        <v>8.8028169014084509E-4</v>
      </c>
    </row>
    <row r="311" spans="1:2" x14ac:dyDescent="0.3">
      <c r="A311" s="3" t="s">
        <v>472</v>
      </c>
      <c r="B311" s="4">
        <v>8.8028169014084509E-4</v>
      </c>
    </row>
    <row r="312" spans="1:2" x14ac:dyDescent="0.3">
      <c r="A312" s="3" t="s">
        <v>473</v>
      </c>
      <c r="B312" s="4">
        <v>8.8028169014084509E-4</v>
      </c>
    </row>
    <row r="313" spans="1:2" x14ac:dyDescent="0.3">
      <c r="A313" s="3" t="s">
        <v>474</v>
      </c>
      <c r="B313" s="4">
        <v>8.8028169014084509E-4</v>
      </c>
    </row>
    <row r="314" spans="1:2" x14ac:dyDescent="0.3">
      <c r="A314" s="3" t="s">
        <v>475</v>
      </c>
      <c r="B314" s="4">
        <v>8.8028169014084509E-4</v>
      </c>
    </row>
    <row r="315" spans="1:2" x14ac:dyDescent="0.3">
      <c r="A315" s="3" t="s">
        <v>476</v>
      </c>
      <c r="B315" s="4">
        <v>8.8028169014084509E-4</v>
      </c>
    </row>
    <row r="316" spans="1:2" x14ac:dyDescent="0.3">
      <c r="A316" s="3" t="s">
        <v>477</v>
      </c>
      <c r="B316" s="4">
        <v>8.8028169014084509E-4</v>
      </c>
    </row>
    <row r="317" spans="1:2" x14ac:dyDescent="0.3">
      <c r="A317" s="3" t="s">
        <v>479</v>
      </c>
      <c r="B317" s="4">
        <v>8.8028169014084509E-4</v>
      </c>
    </row>
    <row r="318" spans="1:2" x14ac:dyDescent="0.3">
      <c r="A318" s="3" t="s">
        <v>482</v>
      </c>
      <c r="B318" s="4">
        <v>8.8028169014084509E-4</v>
      </c>
    </row>
    <row r="319" spans="1:2" x14ac:dyDescent="0.3">
      <c r="A319" s="3" t="s">
        <v>484</v>
      </c>
      <c r="B319" s="4">
        <v>8.8028169014084509E-4</v>
      </c>
    </row>
    <row r="320" spans="1:2" x14ac:dyDescent="0.3">
      <c r="A320" s="3" t="s">
        <v>485</v>
      </c>
      <c r="B320" s="4">
        <v>8.8028169014084509E-4</v>
      </c>
    </row>
    <row r="321" spans="1:2" x14ac:dyDescent="0.3">
      <c r="A321" s="3" t="s">
        <v>486</v>
      </c>
      <c r="B321" s="4">
        <v>8.8028169014084509E-4</v>
      </c>
    </row>
    <row r="322" spans="1:2" x14ac:dyDescent="0.3">
      <c r="A322" s="3" t="s">
        <v>487</v>
      </c>
      <c r="B322" s="4">
        <v>8.8028169014084509E-4</v>
      </c>
    </row>
    <row r="323" spans="1:2" x14ac:dyDescent="0.3">
      <c r="A323" s="3" t="s">
        <v>488</v>
      </c>
      <c r="B323" s="4">
        <v>8.8028169014084509E-4</v>
      </c>
    </row>
    <row r="324" spans="1:2" x14ac:dyDescent="0.3">
      <c r="A324" s="3" t="s">
        <v>489</v>
      </c>
      <c r="B324" s="4">
        <v>8.8028169014084509E-4</v>
      </c>
    </row>
    <row r="325" spans="1:2" x14ac:dyDescent="0.3">
      <c r="A325" s="3" t="s">
        <v>490</v>
      </c>
      <c r="B325" s="4">
        <v>8.8028169014084509E-4</v>
      </c>
    </row>
    <row r="326" spans="1:2" x14ac:dyDescent="0.3">
      <c r="A326" s="3" t="s">
        <v>491</v>
      </c>
      <c r="B326" s="4">
        <v>8.8028169014084509E-4</v>
      </c>
    </row>
    <row r="327" spans="1:2" x14ac:dyDescent="0.3">
      <c r="A327" s="3" t="s">
        <v>492</v>
      </c>
      <c r="B327" s="4">
        <v>8.8028169014084509E-4</v>
      </c>
    </row>
    <row r="328" spans="1:2" x14ac:dyDescent="0.3">
      <c r="A328" s="3" t="s">
        <v>494</v>
      </c>
      <c r="B328" s="4">
        <v>8.8028169014084509E-4</v>
      </c>
    </row>
    <row r="329" spans="1:2" x14ac:dyDescent="0.3">
      <c r="A329" s="3" t="s">
        <v>495</v>
      </c>
      <c r="B329" s="4">
        <v>8.8028169014084509E-4</v>
      </c>
    </row>
    <row r="330" spans="1:2" x14ac:dyDescent="0.3">
      <c r="A330" s="3" t="s">
        <v>499</v>
      </c>
      <c r="B330" s="4">
        <v>8.8028169014084509E-4</v>
      </c>
    </row>
    <row r="331" spans="1:2" x14ac:dyDescent="0.3">
      <c r="A331" s="3" t="s">
        <v>501</v>
      </c>
      <c r="B331" s="4">
        <v>8.8028169014084509E-4</v>
      </c>
    </row>
    <row r="332" spans="1:2" x14ac:dyDescent="0.3">
      <c r="A332" s="3" t="s">
        <v>502</v>
      </c>
      <c r="B332" s="4">
        <v>8.8028169014084509E-4</v>
      </c>
    </row>
    <row r="333" spans="1:2" x14ac:dyDescent="0.3">
      <c r="A333" s="3" t="s">
        <v>503</v>
      </c>
      <c r="B333" s="4">
        <v>8.8028169014084509E-4</v>
      </c>
    </row>
    <row r="334" spans="1:2" x14ac:dyDescent="0.3">
      <c r="A334" s="3" t="s">
        <v>504</v>
      </c>
      <c r="B334" s="4">
        <v>8.8028169014084509E-4</v>
      </c>
    </row>
    <row r="335" spans="1:2" x14ac:dyDescent="0.3">
      <c r="A335" s="3" t="s">
        <v>505</v>
      </c>
      <c r="B335" s="4">
        <v>8.8028169014084509E-4</v>
      </c>
    </row>
    <row r="336" spans="1:2" x14ac:dyDescent="0.3">
      <c r="A336" s="3" t="s">
        <v>506</v>
      </c>
      <c r="B336" s="4">
        <v>8.8028169014084509E-4</v>
      </c>
    </row>
    <row r="337" spans="1:2" x14ac:dyDescent="0.3">
      <c r="A337" s="3" t="s">
        <v>507</v>
      </c>
      <c r="B337" s="4">
        <v>8.8028169014084509E-4</v>
      </c>
    </row>
    <row r="338" spans="1:2" x14ac:dyDescent="0.3">
      <c r="A338" s="3" t="s">
        <v>508</v>
      </c>
      <c r="B338" s="4">
        <v>8.8028169014084509E-4</v>
      </c>
    </row>
    <row r="339" spans="1:2" x14ac:dyDescent="0.3">
      <c r="A339" s="3" t="s">
        <v>509</v>
      </c>
      <c r="B339" s="4">
        <v>8.8028169014084509E-4</v>
      </c>
    </row>
    <row r="340" spans="1:2" x14ac:dyDescent="0.3">
      <c r="A340" s="3" t="s">
        <v>510</v>
      </c>
      <c r="B340" s="4">
        <v>8.8028169014084509E-4</v>
      </c>
    </row>
    <row r="341" spans="1:2" x14ac:dyDescent="0.3">
      <c r="A341" s="3" t="s">
        <v>512</v>
      </c>
      <c r="B341" s="4">
        <v>8.8028169014084509E-4</v>
      </c>
    </row>
    <row r="342" spans="1:2" x14ac:dyDescent="0.3">
      <c r="A342" s="3" t="s">
        <v>513</v>
      </c>
      <c r="B342" s="4">
        <v>8.8028169014084509E-4</v>
      </c>
    </row>
    <row r="343" spans="1:2" x14ac:dyDescent="0.3">
      <c r="A343" s="3" t="s">
        <v>514</v>
      </c>
      <c r="B343" s="4">
        <v>8.8028169014084509E-4</v>
      </c>
    </row>
    <row r="344" spans="1:2" x14ac:dyDescent="0.3">
      <c r="A344" s="3" t="s">
        <v>515</v>
      </c>
      <c r="B344" s="4">
        <v>8.8028169014084509E-4</v>
      </c>
    </row>
    <row r="345" spans="1:2" x14ac:dyDescent="0.3">
      <c r="A345" s="3" t="s">
        <v>516</v>
      </c>
      <c r="B345" s="4">
        <v>8.8028169014084509E-4</v>
      </c>
    </row>
    <row r="346" spans="1:2" x14ac:dyDescent="0.3">
      <c r="A346" s="3" t="s">
        <v>518</v>
      </c>
      <c r="B346" s="4">
        <v>8.8028169014084509E-4</v>
      </c>
    </row>
    <row r="347" spans="1:2" x14ac:dyDescent="0.3">
      <c r="A347" s="3" t="s">
        <v>519</v>
      </c>
      <c r="B347" s="4">
        <v>8.8028169014084509E-4</v>
      </c>
    </row>
    <row r="348" spans="1:2" x14ac:dyDescent="0.3">
      <c r="A348" s="3" t="s">
        <v>520</v>
      </c>
      <c r="B348" s="4">
        <v>8.8028169014084509E-4</v>
      </c>
    </row>
    <row r="349" spans="1:2" x14ac:dyDescent="0.3">
      <c r="A349" s="3" t="s">
        <v>521</v>
      </c>
      <c r="B349" s="4">
        <v>8.8028169014084509E-4</v>
      </c>
    </row>
    <row r="350" spans="1:2" x14ac:dyDescent="0.3">
      <c r="A350" s="3" t="s">
        <v>522</v>
      </c>
      <c r="B350" s="4">
        <v>8.8028169014084509E-4</v>
      </c>
    </row>
    <row r="351" spans="1:2" x14ac:dyDescent="0.3">
      <c r="A351" s="3" t="s">
        <v>523</v>
      </c>
      <c r="B351" s="4">
        <v>8.8028169014084509E-4</v>
      </c>
    </row>
    <row r="352" spans="1:2" x14ac:dyDescent="0.3">
      <c r="A352" s="3" t="s">
        <v>524</v>
      </c>
      <c r="B352" s="4">
        <v>8.8028169014084509E-4</v>
      </c>
    </row>
    <row r="353" spans="1:2" x14ac:dyDescent="0.3">
      <c r="A353" s="3" t="s">
        <v>525</v>
      </c>
      <c r="B353" s="4">
        <v>8.8028169014084509E-4</v>
      </c>
    </row>
    <row r="354" spans="1:2" x14ac:dyDescent="0.3">
      <c r="A354" s="3" t="s">
        <v>526</v>
      </c>
      <c r="B354" s="4">
        <v>8.8028169014084509E-4</v>
      </c>
    </row>
    <row r="355" spans="1:2" x14ac:dyDescent="0.3">
      <c r="A355" s="3" t="s">
        <v>527</v>
      </c>
      <c r="B355" s="4">
        <v>8.8028169014084509E-4</v>
      </c>
    </row>
    <row r="356" spans="1:2" x14ac:dyDescent="0.3">
      <c r="A356" s="3" t="s">
        <v>528</v>
      </c>
      <c r="B356" s="4">
        <v>8.8028169014084509E-4</v>
      </c>
    </row>
    <row r="357" spans="1:2" x14ac:dyDescent="0.3">
      <c r="A357" s="3" t="s">
        <v>529</v>
      </c>
      <c r="B357" s="4">
        <v>8.8028169014084509E-4</v>
      </c>
    </row>
    <row r="358" spans="1:2" x14ac:dyDescent="0.3">
      <c r="A358" s="3" t="s">
        <v>530</v>
      </c>
      <c r="B358" s="4">
        <v>8.8028169014084509E-4</v>
      </c>
    </row>
    <row r="359" spans="1:2" x14ac:dyDescent="0.3">
      <c r="A359" s="3" t="s">
        <v>531</v>
      </c>
      <c r="B359" s="4">
        <v>8.8028169014084509E-4</v>
      </c>
    </row>
    <row r="360" spans="1:2" x14ac:dyDescent="0.3">
      <c r="A360" s="3" t="s">
        <v>532</v>
      </c>
      <c r="B360" s="4">
        <v>8.8028169014084509E-4</v>
      </c>
    </row>
    <row r="361" spans="1:2" x14ac:dyDescent="0.3">
      <c r="A361" s="3" t="s">
        <v>533</v>
      </c>
      <c r="B361" s="4">
        <v>8.8028169014084509E-4</v>
      </c>
    </row>
    <row r="362" spans="1:2" x14ac:dyDescent="0.3">
      <c r="A362" s="3" t="s">
        <v>534</v>
      </c>
      <c r="B362" s="4">
        <v>8.8028169014084509E-4</v>
      </c>
    </row>
    <row r="363" spans="1:2" x14ac:dyDescent="0.3">
      <c r="A363" s="3" t="s">
        <v>535</v>
      </c>
      <c r="B363" s="4">
        <v>8.8028169014084509E-4</v>
      </c>
    </row>
    <row r="364" spans="1:2" x14ac:dyDescent="0.3">
      <c r="A364" s="3" t="s">
        <v>536</v>
      </c>
      <c r="B364" s="4">
        <v>8.8028169014084509E-4</v>
      </c>
    </row>
    <row r="365" spans="1:2" x14ac:dyDescent="0.3">
      <c r="A365" s="3" t="s">
        <v>537</v>
      </c>
      <c r="B365" s="4">
        <v>8.8028169014084509E-4</v>
      </c>
    </row>
    <row r="366" spans="1:2" x14ac:dyDescent="0.3">
      <c r="A366" s="3" t="s">
        <v>539</v>
      </c>
      <c r="B366" s="4">
        <v>8.8028169014084509E-4</v>
      </c>
    </row>
    <row r="367" spans="1:2" x14ac:dyDescent="0.3">
      <c r="A367" s="3" t="s">
        <v>541</v>
      </c>
      <c r="B367" s="4">
        <v>8.8028169014084509E-4</v>
      </c>
    </row>
    <row r="368" spans="1:2" x14ac:dyDescent="0.3">
      <c r="A368" s="3" t="s">
        <v>543</v>
      </c>
      <c r="B368" s="4">
        <v>8.8028169014084509E-4</v>
      </c>
    </row>
    <row r="369" spans="1:2" x14ac:dyDescent="0.3">
      <c r="A369" s="3" t="s">
        <v>545</v>
      </c>
      <c r="B369" s="4">
        <v>8.8028169014084509E-4</v>
      </c>
    </row>
    <row r="370" spans="1:2" x14ac:dyDescent="0.3">
      <c r="A370" s="3" t="s">
        <v>546</v>
      </c>
      <c r="B370" s="4">
        <v>8.8028169014084509E-4</v>
      </c>
    </row>
    <row r="371" spans="1:2" x14ac:dyDescent="0.3">
      <c r="A371" s="3" t="s">
        <v>548</v>
      </c>
      <c r="B371" s="4">
        <v>8.8028169014084509E-4</v>
      </c>
    </row>
    <row r="372" spans="1:2" x14ac:dyDescent="0.3">
      <c r="A372" s="3" t="s">
        <v>549</v>
      </c>
      <c r="B372" s="4">
        <v>8.8028169014084509E-4</v>
      </c>
    </row>
    <row r="373" spans="1:2" x14ac:dyDescent="0.3">
      <c r="A373" s="3" t="s">
        <v>550</v>
      </c>
      <c r="B373" s="4">
        <v>8.8028169014084509E-4</v>
      </c>
    </row>
    <row r="374" spans="1:2" x14ac:dyDescent="0.3">
      <c r="A374" s="3" t="s">
        <v>552</v>
      </c>
      <c r="B374" s="4">
        <v>8.8028169014084509E-4</v>
      </c>
    </row>
    <row r="375" spans="1:2" x14ac:dyDescent="0.3">
      <c r="A375" s="3" t="s">
        <v>553</v>
      </c>
      <c r="B375" s="4">
        <v>8.8028169014084509E-4</v>
      </c>
    </row>
    <row r="376" spans="1:2" x14ac:dyDescent="0.3">
      <c r="A376" s="3" t="s">
        <v>554</v>
      </c>
      <c r="B376" s="4">
        <v>8.8028169014084509E-4</v>
      </c>
    </row>
    <row r="377" spans="1:2" x14ac:dyDescent="0.3">
      <c r="A377" s="3" t="s">
        <v>556</v>
      </c>
      <c r="B377" s="4">
        <v>8.8028169014084509E-4</v>
      </c>
    </row>
    <row r="378" spans="1:2" x14ac:dyDescent="0.3">
      <c r="A378" s="3" t="s">
        <v>557</v>
      </c>
      <c r="B378" s="4">
        <v>8.8028169014084509E-4</v>
      </c>
    </row>
    <row r="379" spans="1:2" x14ac:dyDescent="0.3">
      <c r="A379" s="3" t="s">
        <v>558</v>
      </c>
      <c r="B379" s="4">
        <v>8.8028169014084509E-4</v>
      </c>
    </row>
    <row r="380" spans="1:2" x14ac:dyDescent="0.3">
      <c r="A380" s="3" t="s">
        <v>561</v>
      </c>
      <c r="B380" s="4">
        <v>8.8028169014084509E-4</v>
      </c>
    </row>
    <row r="381" spans="1:2" x14ac:dyDescent="0.3">
      <c r="A381" s="3" t="s">
        <v>562</v>
      </c>
      <c r="B381" s="4">
        <v>8.8028169014084509E-4</v>
      </c>
    </row>
    <row r="382" spans="1:2" x14ac:dyDescent="0.3">
      <c r="A382" s="3" t="s">
        <v>563</v>
      </c>
      <c r="B382" s="4">
        <v>8.8028169014084509E-4</v>
      </c>
    </row>
    <row r="383" spans="1:2" x14ac:dyDescent="0.3">
      <c r="A383" s="3" t="s">
        <v>565</v>
      </c>
      <c r="B383" s="4">
        <v>8.8028169014084509E-4</v>
      </c>
    </row>
    <row r="384" spans="1:2" x14ac:dyDescent="0.3">
      <c r="A384" s="3" t="s">
        <v>566</v>
      </c>
      <c r="B384" s="4">
        <v>8.8028169014084509E-4</v>
      </c>
    </row>
    <row r="385" spans="1:2" x14ac:dyDescent="0.3">
      <c r="A385" s="3" t="s">
        <v>567</v>
      </c>
      <c r="B385" s="4">
        <v>8.8028169014084509E-4</v>
      </c>
    </row>
    <row r="386" spans="1:2" x14ac:dyDescent="0.3">
      <c r="A386" s="3" t="s">
        <v>568</v>
      </c>
      <c r="B386" s="4">
        <v>8.8028169014084509E-4</v>
      </c>
    </row>
    <row r="387" spans="1:2" x14ac:dyDescent="0.3">
      <c r="A387" s="3" t="s">
        <v>571</v>
      </c>
      <c r="B387" s="4">
        <v>8.8028169014084509E-4</v>
      </c>
    </row>
    <row r="388" spans="1:2" x14ac:dyDescent="0.3">
      <c r="A388" s="3" t="s">
        <v>572</v>
      </c>
      <c r="B388" s="4">
        <v>8.8028169014084509E-4</v>
      </c>
    </row>
    <row r="389" spans="1:2" x14ac:dyDescent="0.3">
      <c r="A389" s="3" t="s">
        <v>573</v>
      </c>
      <c r="B389" s="4">
        <v>8.8028169014084509E-4</v>
      </c>
    </row>
    <row r="390" spans="1:2" x14ac:dyDescent="0.3">
      <c r="A390" s="3" t="s">
        <v>574</v>
      </c>
      <c r="B390" s="4">
        <v>8.8028169014084509E-4</v>
      </c>
    </row>
    <row r="391" spans="1:2" x14ac:dyDescent="0.3">
      <c r="A391" s="3" t="s">
        <v>575</v>
      </c>
      <c r="B391" s="4">
        <v>8.8028169014084509E-4</v>
      </c>
    </row>
    <row r="392" spans="1:2" x14ac:dyDescent="0.3">
      <c r="A392" s="3" t="s">
        <v>576</v>
      </c>
      <c r="B392" s="4">
        <v>8.8028169014084509E-4</v>
      </c>
    </row>
    <row r="393" spans="1:2" x14ac:dyDescent="0.3">
      <c r="A393" s="3" t="s">
        <v>577</v>
      </c>
      <c r="B393" s="4">
        <v>8.8028169014084509E-4</v>
      </c>
    </row>
    <row r="394" spans="1:2" x14ac:dyDescent="0.3">
      <c r="A394" s="3" t="s">
        <v>578</v>
      </c>
      <c r="B394" s="4">
        <v>8.8028169014084509E-4</v>
      </c>
    </row>
    <row r="395" spans="1:2" x14ac:dyDescent="0.3">
      <c r="A395" s="3" t="s">
        <v>579</v>
      </c>
      <c r="B395" s="4">
        <v>8.8028169014084509E-4</v>
      </c>
    </row>
    <row r="396" spans="1:2" x14ac:dyDescent="0.3">
      <c r="A396" s="3" t="s">
        <v>580</v>
      </c>
      <c r="B396" s="4">
        <v>8.8028169014084509E-4</v>
      </c>
    </row>
    <row r="397" spans="1:2" x14ac:dyDescent="0.3">
      <c r="A397" s="3" t="s">
        <v>581</v>
      </c>
      <c r="B397" s="4">
        <v>8.8028169014084509E-4</v>
      </c>
    </row>
    <row r="398" spans="1:2" x14ac:dyDescent="0.3">
      <c r="A398" s="3" t="s">
        <v>582</v>
      </c>
      <c r="B398" s="4">
        <v>8.8028169014084509E-4</v>
      </c>
    </row>
    <row r="399" spans="1:2" x14ac:dyDescent="0.3">
      <c r="A399" s="3" t="s">
        <v>584</v>
      </c>
      <c r="B399" s="4">
        <v>8.8028169014084509E-4</v>
      </c>
    </row>
    <row r="400" spans="1:2" x14ac:dyDescent="0.3">
      <c r="A400" s="3" t="s">
        <v>585</v>
      </c>
      <c r="B400" s="4">
        <v>8.8028169014084509E-4</v>
      </c>
    </row>
    <row r="401" spans="1:2" x14ac:dyDescent="0.3">
      <c r="A401" s="3" t="s">
        <v>586</v>
      </c>
      <c r="B401" s="4">
        <v>8.8028169014084509E-4</v>
      </c>
    </row>
    <row r="402" spans="1:2" x14ac:dyDescent="0.3">
      <c r="A402" s="3" t="s">
        <v>588</v>
      </c>
      <c r="B402" s="4">
        <v>8.8028169014084509E-4</v>
      </c>
    </row>
    <row r="403" spans="1:2" x14ac:dyDescent="0.3">
      <c r="A403" s="3" t="s">
        <v>589</v>
      </c>
      <c r="B403" s="4">
        <v>8.8028169014084509E-4</v>
      </c>
    </row>
    <row r="404" spans="1:2" x14ac:dyDescent="0.3">
      <c r="A404" s="3" t="s">
        <v>590</v>
      </c>
      <c r="B404" s="4">
        <v>8.8028169014084509E-4</v>
      </c>
    </row>
    <row r="405" spans="1:2" x14ac:dyDescent="0.3">
      <c r="A405" s="3" t="s">
        <v>593</v>
      </c>
      <c r="B405" s="4">
        <v>8.8028169014084509E-4</v>
      </c>
    </row>
    <row r="406" spans="1:2" x14ac:dyDescent="0.3">
      <c r="A406" s="3" t="s">
        <v>594</v>
      </c>
      <c r="B406" s="4">
        <v>8.8028169014084509E-4</v>
      </c>
    </row>
    <row r="407" spans="1:2" x14ac:dyDescent="0.3">
      <c r="A407" s="3" t="s">
        <v>596</v>
      </c>
      <c r="B407" s="4">
        <v>8.8028169014084509E-4</v>
      </c>
    </row>
    <row r="408" spans="1:2" x14ac:dyDescent="0.3">
      <c r="A408" s="3" t="s">
        <v>597</v>
      </c>
      <c r="B408" s="4">
        <v>8.8028169014084509E-4</v>
      </c>
    </row>
    <row r="409" spans="1:2" x14ac:dyDescent="0.3">
      <c r="A409" s="3" t="s">
        <v>598</v>
      </c>
      <c r="B409" s="4">
        <v>8.8028169014084509E-4</v>
      </c>
    </row>
    <row r="410" spans="1:2" x14ac:dyDescent="0.3">
      <c r="A410" s="3" t="s">
        <v>600</v>
      </c>
      <c r="B410" s="4">
        <v>8.8028169014084509E-4</v>
      </c>
    </row>
    <row r="411" spans="1:2" x14ac:dyDescent="0.3">
      <c r="A411" s="3" t="s">
        <v>601</v>
      </c>
      <c r="B411" s="4">
        <v>8.8028169014084509E-4</v>
      </c>
    </row>
    <row r="412" spans="1:2" x14ac:dyDescent="0.3">
      <c r="A412" s="3" t="s">
        <v>602</v>
      </c>
      <c r="B412" s="4">
        <v>8.8028169014084509E-4</v>
      </c>
    </row>
    <row r="413" spans="1:2" x14ac:dyDescent="0.3">
      <c r="A413" s="3" t="s">
        <v>603</v>
      </c>
      <c r="B413" s="4">
        <v>8.8028169014084509E-4</v>
      </c>
    </row>
    <row r="414" spans="1:2" x14ac:dyDescent="0.3">
      <c r="A414" s="3" t="s">
        <v>604</v>
      </c>
      <c r="B414" s="4">
        <v>8.8028169014084509E-4</v>
      </c>
    </row>
    <row r="415" spans="1:2" x14ac:dyDescent="0.3">
      <c r="A415" s="3" t="s">
        <v>605</v>
      </c>
      <c r="B415" s="4">
        <v>8.8028169014084509E-4</v>
      </c>
    </row>
    <row r="416" spans="1:2" x14ac:dyDescent="0.3">
      <c r="A416" s="3" t="s">
        <v>606</v>
      </c>
      <c r="B416" s="4">
        <v>8.8028169014084509E-4</v>
      </c>
    </row>
    <row r="417" spans="1:2" x14ac:dyDescent="0.3">
      <c r="A417" s="3" t="s">
        <v>608</v>
      </c>
      <c r="B417" s="4">
        <v>8.8028169014084509E-4</v>
      </c>
    </row>
    <row r="418" spans="1:2" x14ac:dyDescent="0.3">
      <c r="A418" s="3" t="s">
        <v>609</v>
      </c>
      <c r="B418" s="4">
        <v>8.8028169014084509E-4</v>
      </c>
    </row>
    <row r="419" spans="1:2" x14ac:dyDescent="0.3">
      <c r="A419" s="3" t="s">
        <v>610</v>
      </c>
      <c r="B419" s="4">
        <v>8.8028169014084509E-4</v>
      </c>
    </row>
    <row r="420" spans="1:2" x14ac:dyDescent="0.3">
      <c r="A420" s="3" t="s">
        <v>611</v>
      </c>
      <c r="B420" s="4">
        <v>8.8028169014084509E-4</v>
      </c>
    </row>
    <row r="421" spans="1:2" x14ac:dyDescent="0.3">
      <c r="A421" s="3" t="s">
        <v>614</v>
      </c>
      <c r="B421" s="4">
        <v>8.8028169014084509E-4</v>
      </c>
    </row>
    <row r="422" spans="1:2" x14ac:dyDescent="0.3">
      <c r="A422" s="3" t="s">
        <v>615</v>
      </c>
      <c r="B422" s="4">
        <v>8.8028169014084509E-4</v>
      </c>
    </row>
    <row r="423" spans="1:2" x14ac:dyDescent="0.3">
      <c r="A423" s="3" t="s">
        <v>617</v>
      </c>
      <c r="B423" s="4">
        <v>8.8028169014084509E-4</v>
      </c>
    </row>
    <row r="424" spans="1:2" x14ac:dyDescent="0.3">
      <c r="A424" s="3" t="s">
        <v>618</v>
      </c>
      <c r="B424" s="4">
        <v>8.8028169014084509E-4</v>
      </c>
    </row>
    <row r="425" spans="1:2" x14ac:dyDescent="0.3">
      <c r="A425" s="3" t="s">
        <v>619</v>
      </c>
      <c r="B425" s="4">
        <v>8.8028169014084509E-4</v>
      </c>
    </row>
    <row r="426" spans="1:2" x14ac:dyDescent="0.3">
      <c r="A426" s="3" t="s">
        <v>620</v>
      </c>
      <c r="B426" s="4">
        <v>8.8028169014084509E-4</v>
      </c>
    </row>
    <row r="427" spans="1:2" x14ac:dyDescent="0.3">
      <c r="A427" s="3" t="s">
        <v>621</v>
      </c>
      <c r="B427" s="4">
        <v>8.8028169014084509E-4</v>
      </c>
    </row>
    <row r="428" spans="1:2" x14ac:dyDescent="0.3">
      <c r="A428" s="3" t="s">
        <v>623</v>
      </c>
      <c r="B428" s="4">
        <v>8.8028169014084509E-4</v>
      </c>
    </row>
    <row r="429" spans="1:2" x14ac:dyDescent="0.3">
      <c r="A429" s="3" t="s">
        <v>624</v>
      </c>
      <c r="B429" s="4">
        <v>8.8028169014084509E-4</v>
      </c>
    </row>
    <row r="430" spans="1:2" x14ac:dyDescent="0.3">
      <c r="A430" s="3" t="s">
        <v>626</v>
      </c>
      <c r="B430" s="4">
        <v>8.8028169014084509E-4</v>
      </c>
    </row>
    <row r="431" spans="1:2" x14ac:dyDescent="0.3">
      <c r="A431" s="3" t="s">
        <v>627</v>
      </c>
      <c r="B431" s="4">
        <v>8.8028169014084509E-4</v>
      </c>
    </row>
    <row r="432" spans="1:2" x14ac:dyDescent="0.3">
      <c r="A432" s="3" t="s">
        <v>628</v>
      </c>
      <c r="B432" s="4">
        <v>8.8028169014084509E-4</v>
      </c>
    </row>
    <row r="433" spans="1:2" x14ac:dyDescent="0.3">
      <c r="A433" s="3" t="s">
        <v>629</v>
      </c>
      <c r="B433" s="4">
        <v>8.8028169014084509E-4</v>
      </c>
    </row>
    <row r="434" spans="1:2" x14ac:dyDescent="0.3">
      <c r="A434" s="3" t="s">
        <v>630</v>
      </c>
      <c r="B434" s="4">
        <v>8.8028169014084509E-4</v>
      </c>
    </row>
    <row r="435" spans="1:2" x14ac:dyDescent="0.3">
      <c r="A435" s="3" t="s">
        <v>631</v>
      </c>
      <c r="B435" s="4">
        <v>8.8028169014084509E-4</v>
      </c>
    </row>
    <row r="436" spans="1:2" x14ac:dyDescent="0.3">
      <c r="A436" s="3" t="s">
        <v>634</v>
      </c>
      <c r="B436" s="4">
        <v>8.8028169014084509E-4</v>
      </c>
    </row>
    <row r="437" spans="1:2" x14ac:dyDescent="0.3">
      <c r="A437" s="3" t="s">
        <v>636</v>
      </c>
      <c r="B437" s="4">
        <v>8.8028169014084509E-4</v>
      </c>
    </row>
    <row r="438" spans="1:2" x14ac:dyDescent="0.3">
      <c r="A438" s="3" t="s">
        <v>638</v>
      </c>
      <c r="B438" s="4">
        <v>8.8028169014084509E-4</v>
      </c>
    </row>
    <row r="439" spans="1:2" x14ac:dyDescent="0.3">
      <c r="A439" s="3" t="s">
        <v>639</v>
      </c>
      <c r="B439" s="4">
        <v>8.8028169014084509E-4</v>
      </c>
    </row>
    <row r="440" spans="1:2" x14ac:dyDescent="0.3">
      <c r="A440" s="3" t="s">
        <v>640</v>
      </c>
      <c r="B440" s="4">
        <v>8.8028169014084509E-4</v>
      </c>
    </row>
    <row r="441" spans="1:2" x14ac:dyDescent="0.3">
      <c r="A441" s="3" t="s">
        <v>641</v>
      </c>
      <c r="B441" s="4">
        <v>8.8028169014084509E-4</v>
      </c>
    </row>
    <row r="442" spans="1:2" x14ac:dyDescent="0.3">
      <c r="A442" s="3" t="s">
        <v>642</v>
      </c>
      <c r="B442" s="4">
        <v>8.8028169014084509E-4</v>
      </c>
    </row>
    <row r="443" spans="1:2" x14ac:dyDescent="0.3">
      <c r="A443" s="3" t="s">
        <v>643</v>
      </c>
      <c r="B443" s="4">
        <v>8.8028169014084509E-4</v>
      </c>
    </row>
    <row r="444" spans="1:2" x14ac:dyDescent="0.3">
      <c r="A444" s="3" t="s">
        <v>644</v>
      </c>
      <c r="B444" s="4">
        <v>8.8028169014084509E-4</v>
      </c>
    </row>
    <row r="445" spans="1:2" x14ac:dyDescent="0.3">
      <c r="A445" s="3" t="s">
        <v>645</v>
      </c>
      <c r="B445" s="4">
        <v>8.8028169014084509E-4</v>
      </c>
    </row>
    <row r="446" spans="1:2" x14ac:dyDescent="0.3">
      <c r="A446" s="3" t="s">
        <v>647</v>
      </c>
      <c r="B446" s="4">
        <v>8.8028169014084509E-4</v>
      </c>
    </row>
    <row r="447" spans="1:2" x14ac:dyDescent="0.3">
      <c r="A447" s="3" t="s">
        <v>650</v>
      </c>
      <c r="B447" s="4">
        <v>8.8028169014084509E-4</v>
      </c>
    </row>
    <row r="448" spans="1:2" x14ac:dyDescent="0.3">
      <c r="A448" s="3" t="s">
        <v>651</v>
      </c>
      <c r="B448" s="4">
        <v>8.8028169014084509E-4</v>
      </c>
    </row>
    <row r="449" spans="1:2" x14ac:dyDescent="0.3">
      <c r="A449" s="3" t="s">
        <v>652</v>
      </c>
      <c r="B449" s="4">
        <v>8.8028169014084509E-4</v>
      </c>
    </row>
    <row r="450" spans="1:2" x14ac:dyDescent="0.3">
      <c r="A450" s="3" t="s">
        <v>653</v>
      </c>
      <c r="B450" s="4">
        <v>8.8028169014084509E-4</v>
      </c>
    </row>
    <row r="451" spans="1:2" x14ac:dyDescent="0.3">
      <c r="A451" s="3" t="s">
        <v>654</v>
      </c>
      <c r="B451" s="4">
        <v>8.8028169014084509E-4</v>
      </c>
    </row>
    <row r="452" spans="1:2" x14ac:dyDescent="0.3">
      <c r="A452" s="3" t="s">
        <v>655</v>
      </c>
      <c r="B452" s="4">
        <v>8.8028169014084509E-4</v>
      </c>
    </row>
    <row r="453" spans="1:2" x14ac:dyDescent="0.3">
      <c r="A453" s="3" t="s">
        <v>657</v>
      </c>
      <c r="B453" s="4">
        <v>8.8028169014084509E-4</v>
      </c>
    </row>
    <row r="454" spans="1:2" x14ac:dyDescent="0.3">
      <c r="A454" s="3" t="s">
        <v>658</v>
      </c>
      <c r="B454" s="4">
        <v>8.8028169014084509E-4</v>
      </c>
    </row>
    <row r="455" spans="1:2" x14ac:dyDescent="0.3">
      <c r="A455" s="3" t="s">
        <v>659</v>
      </c>
      <c r="B455" s="4">
        <v>8.8028169014084509E-4</v>
      </c>
    </row>
    <row r="456" spans="1:2" x14ac:dyDescent="0.3">
      <c r="A456" s="3" t="s">
        <v>662</v>
      </c>
      <c r="B456" s="4">
        <v>8.8028169014084509E-4</v>
      </c>
    </row>
    <row r="457" spans="1:2" x14ac:dyDescent="0.3">
      <c r="A457" s="3" t="s">
        <v>663</v>
      </c>
      <c r="B457" s="4">
        <v>8.8028169014084509E-4</v>
      </c>
    </row>
    <row r="458" spans="1:2" x14ac:dyDescent="0.3">
      <c r="A458" s="3" t="s">
        <v>664</v>
      </c>
      <c r="B458" s="4">
        <v>8.8028169014084509E-4</v>
      </c>
    </row>
    <row r="459" spans="1:2" x14ac:dyDescent="0.3">
      <c r="A459" s="3" t="s">
        <v>665</v>
      </c>
      <c r="B459" s="4">
        <v>8.8028169014084509E-4</v>
      </c>
    </row>
    <row r="460" spans="1:2" x14ac:dyDescent="0.3">
      <c r="A460" s="3" t="s">
        <v>666</v>
      </c>
      <c r="B460" s="4">
        <v>8.8028169014084509E-4</v>
      </c>
    </row>
    <row r="461" spans="1:2" x14ac:dyDescent="0.3">
      <c r="A461" s="3" t="s">
        <v>667</v>
      </c>
      <c r="B461" s="4">
        <v>8.8028169014084509E-4</v>
      </c>
    </row>
    <row r="462" spans="1:2" x14ac:dyDescent="0.3">
      <c r="A462" s="3" t="s">
        <v>669</v>
      </c>
      <c r="B462" s="4">
        <v>8.8028169014084509E-4</v>
      </c>
    </row>
    <row r="463" spans="1:2" x14ac:dyDescent="0.3">
      <c r="A463" s="3" t="s">
        <v>670</v>
      </c>
      <c r="B463" s="4">
        <v>8.8028169014084509E-4</v>
      </c>
    </row>
    <row r="464" spans="1:2" x14ac:dyDescent="0.3">
      <c r="A464" s="3" t="s">
        <v>671</v>
      </c>
      <c r="B464" s="4">
        <v>8.8028169014084509E-4</v>
      </c>
    </row>
    <row r="465" spans="1:2" x14ac:dyDescent="0.3">
      <c r="A465" s="3" t="s">
        <v>672</v>
      </c>
      <c r="B465" s="4">
        <v>8.8028169014084509E-4</v>
      </c>
    </row>
    <row r="466" spans="1:2" x14ac:dyDescent="0.3">
      <c r="A466" s="3" t="s">
        <v>673</v>
      </c>
      <c r="B466" s="4">
        <v>8.8028169014084509E-4</v>
      </c>
    </row>
    <row r="467" spans="1:2" x14ac:dyDescent="0.3">
      <c r="A467" s="3" t="s">
        <v>675</v>
      </c>
      <c r="B467" s="4">
        <v>8.8028169014084509E-4</v>
      </c>
    </row>
    <row r="468" spans="1:2" x14ac:dyDescent="0.3">
      <c r="A468" s="3" t="s">
        <v>676</v>
      </c>
      <c r="B468" s="4">
        <v>8.8028169014084509E-4</v>
      </c>
    </row>
    <row r="469" spans="1:2" x14ac:dyDescent="0.3">
      <c r="A469" s="3" t="s">
        <v>677</v>
      </c>
      <c r="B469" s="4">
        <v>8.8028169014084509E-4</v>
      </c>
    </row>
    <row r="470" spans="1:2" x14ac:dyDescent="0.3">
      <c r="A470" s="3" t="s">
        <v>679</v>
      </c>
      <c r="B470" s="4">
        <v>8.8028169014084509E-4</v>
      </c>
    </row>
    <row r="471" spans="1:2" x14ac:dyDescent="0.3">
      <c r="A471" s="3" t="s">
        <v>680</v>
      </c>
      <c r="B471" s="4">
        <v>8.8028169014084509E-4</v>
      </c>
    </row>
    <row r="472" spans="1:2" x14ac:dyDescent="0.3">
      <c r="A472" s="3" t="s">
        <v>682</v>
      </c>
      <c r="B472" s="4">
        <v>8.8028169014084509E-4</v>
      </c>
    </row>
    <row r="473" spans="1:2" x14ac:dyDescent="0.3">
      <c r="A473" s="3" t="s">
        <v>683</v>
      </c>
      <c r="B473" s="4">
        <v>8.8028169014084509E-4</v>
      </c>
    </row>
    <row r="474" spans="1:2" x14ac:dyDescent="0.3">
      <c r="A474" s="3" t="s">
        <v>684</v>
      </c>
      <c r="B474" s="4">
        <v>8.8028169014084509E-4</v>
      </c>
    </row>
    <row r="475" spans="1:2" x14ac:dyDescent="0.3">
      <c r="A475" s="3" t="s">
        <v>685</v>
      </c>
      <c r="B475" s="4">
        <v>8.8028169014084509E-4</v>
      </c>
    </row>
    <row r="476" spans="1:2" x14ac:dyDescent="0.3">
      <c r="A476" s="3" t="s">
        <v>686</v>
      </c>
      <c r="B476" s="4">
        <v>8.8028169014084509E-4</v>
      </c>
    </row>
    <row r="477" spans="1:2" x14ac:dyDescent="0.3">
      <c r="A477" s="3" t="s">
        <v>687</v>
      </c>
      <c r="B477" s="4">
        <v>8.8028169014084509E-4</v>
      </c>
    </row>
    <row r="478" spans="1:2" x14ac:dyDescent="0.3">
      <c r="A478" s="3" t="s">
        <v>688</v>
      </c>
      <c r="B478" s="4">
        <v>8.8028169014084509E-4</v>
      </c>
    </row>
    <row r="479" spans="1:2" x14ac:dyDescent="0.3">
      <c r="A479" s="3" t="s">
        <v>690</v>
      </c>
      <c r="B479" s="4">
        <v>8.8028169014084509E-4</v>
      </c>
    </row>
    <row r="480" spans="1:2" x14ac:dyDescent="0.3">
      <c r="A480" s="3" t="s">
        <v>691</v>
      </c>
      <c r="B480" s="4">
        <v>8.8028169014084509E-4</v>
      </c>
    </row>
    <row r="481" spans="1:2" x14ac:dyDescent="0.3">
      <c r="A481" s="3" t="s">
        <v>693</v>
      </c>
      <c r="B481" s="4">
        <v>8.8028169014084509E-4</v>
      </c>
    </row>
    <row r="482" spans="1:2" x14ac:dyDescent="0.3">
      <c r="A482" s="3" t="s">
        <v>694</v>
      </c>
      <c r="B482" s="4">
        <v>8.8028169014084509E-4</v>
      </c>
    </row>
    <row r="483" spans="1:2" x14ac:dyDescent="0.3">
      <c r="A483" s="3" t="s">
        <v>695</v>
      </c>
      <c r="B483" s="4">
        <v>8.8028169014084509E-4</v>
      </c>
    </row>
    <row r="484" spans="1:2" x14ac:dyDescent="0.3">
      <c r="A484" s="3" t="s">
        <v>697</v>
      </c>
      <c r="B484" s="4">
        <v>8.8028169014084509E-4</v>
      </c>
    </row>
    <row r="485" spans="1:2" x14ac:dyDescent="0.3">
      <c r="A485" s="3" t="s">
        <v>698</v>
      </c>
      <c r="B485" s="4">
        <v>8.8028169014084509E-4</v>
      </c>
    </row>
    <row r="486" spans="1:2" x14ac:dyDescent="0.3">
      <c r="A486" s="3" t="s">
        <v>699</v>
      </c>
      <c r="B486" s="4">
        <v>8.8028169014084509E-4</v>
      </c>
    </row>
    <row r="487" spans="1:2" x14ac:dyDescent="0.3">
      <c r="A487" s="3" t="s">
        <v>700</v>
      </c>
      <c r="B487" s="4">
        <v>8.8028169014084509E-4</v>
      </c>
    </row>
    <row r="488" spans="1:2" x14ac:dyDescent="0.3">
      <c r="A488" s="3" t="s">
        <v>701</v>
      </c>
      <c r="B488" s="4">
        <v>8.8028169014084509E-4</v>
      </c>
    </row>
    <row r="489" spans="1:2" x14ac:dyDescent="0.3">
      <c r="A489" s="3" t="s">
        <v>702</v>
      </c>
      <c r="B489" s="4">
        <v>8.8028169014084509E-4</v>
      </c>
    </row>
    <row r="490" spans="1:2" x14ac:dyDescent="0.3">
      <c r="A490" s="3" t="s">
        <v>703</v>
      </c>
      <c r="B490" s="4">
        <v>8.8028169014084509E-4</v>
      </c>
    </row>
    <row r="491" spans="1:2" x14ac:dyDescent="0.3">
      <c r="A491" s="3" t="s">
        <v>704</v>
      </c>
      <c r="B491" s="4">
        <v>8.8028169014084509E-4</v>
      </c>
    </row>
    <row r="492" spans="1:2" x14ac:dyDescent="0.3">
      <c r="A492" s="3" t="s">
        <v>705</v>
      </c>
      <c r="B492" s="4">
        <v>8.8028169014084509E-4</v>
      </c>
    </row>
    <row r="493" spans="1:2" x14ac:dyDescent="0.3">
      <c r="A493" s="3" t="s">
        <v>706</v>
      </c>
      <c r="B493" s="4">
        <v>8.8028169014084509E-4</v>
      </c>
    </row>
    <row r="494" spans="1:2" x14ac:dyDescent="0.3">
      <c r="A494" s="3" t="s">
        <v>708</v>
      </c>
      <c r="B494" s="4">
        <v>8.8028169014084509E-4</v>
      </c>
    </row>
    <row r="495" spans="1:2" x14ac:dyDescent="0.3">
      <c r="A495" s="3" t="s">
        <v>709</v>
      </c>
      <c r="B495" s="4">
        <v>8.8028169014084509E-4</v>
      </c>
    </row>
    <row r="496" spans="1:2" x14ac:dyDescent="0.3">
      <c r="A496" s="3" t="s">
        <v>712</v>
      </c>
      <c r="B496" s="4">
        <v>8.8028169014084509E-4</v>
      </c>
    </row>
    <row r="497" spans="1:2" x14ac:dyDescent="0.3">
      <c r="A497" s="3" t="s">
        <v>713</v>
      </c>
      <c r="B497" s="4">
        <v>8.8028169014084509E-4</v>
      </c>
    </row>
    <row r="498" spans="1:2" x14ac:dyDescent="0.3">
      <c r="A498" s="3" t="s">
        <v>714</v>
      </c>
      <c r="B498" s="4">
        <v>8.8028169014084509E-4</v>
      </c>
    </row>
    <row r="499" spans="1:2" x14ac:dyDescent="0.3">
      <c r="A499" s="3" t="s">
        <v>716</v>
      </c>
      <c r="B499" s="4">
        <v>8.8028169014084509E-4</v>
      </c>
    </row>
    <row r="500" spans="1:2" x14ac:dyDescent="0.3">
      <c r="A500" s="3" t="s">
        <v>717</v>
      </c>
      <c r="B500" s="4">
        <v>8.8028169014084509E-4</v>
      </c>
    </row>
    <row r="501" spans="1:2" x14ac:dyDescent="0.3">
      <c r="A501" s="3" t="s">
        <v>718</v>
      </c>
      <c r="B501" s="4">
        <v>8.8028169014084509E-4</v>
      </c>
    </row>
    <row r="502" spans="1:2" x14ac:dyDescent="0.3">
      <c r="A502" s="3" t="s">
        <v>719</v>
      </c>
      <c r="B502" s="4">
        <v>8.8028169014084509E-4</v>
      </c>
    </row>
    <row r="503" spans="1:2" x14ac:dyDescent="0.3">
      <c r="A503" s="3" t="s">
        <v>720</v>
      </c>
      <c r="B503" s="4">
        <v>8.8028169014084509E-4</v>
      </c>
    </row>
    <row r="504" spans="1:2" x14ac:dyDescent="0.3">
      <c r="A504" s="3" t="s">
        <v>721</v>
      </c>
      <c r="B504" s="4">
        <v>8.8028169014084509E-4</v>
      </c>
    </row>
    <row r="505" spans="1:2" x14ac:dyDescent="0.3">
      <c r="A505" s="3" t="s">
        <v>722</v>
      </c>
      <c r="B505" s="4">
        <v>8.8028169014084509E-4</v>
      </c>
    </row>
    <row r="506" spans="1:2" x14ac:dyDescent="0.3">
      <c r="A506" s="3" t="s">
        <v>725</v>
      </c>
      <c r="B506" s="4">
        <v>8.8028169014084509E-4</v>
      </c>
    </row>
    <row r="507" spans="1:2" x14ac:dyDescent="0.3">
      <c r="A507" s="3" t="s">
        <v>726</v>
      </c>
      <c r="B507" s="4">
        <v>8.8028169014084509E-4</v>
      </c>
    </row>
    <row r="508" spans="1:2" x14ac:dyDescent="0.3">
      <c r="A508" s="3" t="s">
        <v>727</v>
      </c>
      <c r="B508" s="4">
        <v>8.8028169014084509E-4</v>
      </c>
    </row>
    <row r="509" spans="1:2" x14ac:dyDescent="0.3">
      <c r="A509" s="3" t="s">
        <v>729</v>
      </c>
      <c r="B509" s="4">
        <v>8.8028169014084509E-4</v>
      </c>
    </row>
    <row r="510" spans="1:2" x14ac:dyDescent="0.3">
      <c r="A510" s="3" t="s">
        <v>730</v>
      </c>
      <c r="B510" s="4">
        <v>8.8028169014084509E-4</v>
      </c>
    </row>
    <row r="511" spans="1:2" x14ac:dyDescent="0.3">
      <c r="A511" s="3" t="s">
        <v>732</v>
      </c>
      <c r="B511" s="4">
        <v>8.8028169014084509E-4</v>
      </c>
    </row>
    <row r="512" spans="1:2" x14ac:dyDescent="0.3">
      <c r="A512" s="3" t="s">
        <v>733</v>
      </c>
      <c r="B512" s="4">
        <v>8.8028169014084509E-4</v>
      </c>
    </row>
    <row r="513" spans="1:2" x14ac:dyDescent="0.3">
      <c r="A513" s="3" t="s">
        <v>734</v>
      </c>
      <c r="B513" s="4">
        <v>8.8028169014084509E-4</v>
      </c>
    </row>
    <row r="514" spans="1:2" x14ac:dyDescent="0.3">
      <c r="A514" s="3" t="s">
        <v>735</v>
      </c>
      <c r="B514" s="4">
        <v>8.8028169014084509E-4</v>
      </c>
    </row>
    <row r="515" spans="1:2" x14ac:dyDescent="0.3">
      <c r="A515" s="3" t="s">
        <v>736</v>
      </c>
      <c r="B515" s="4">
        <v>8.8028169014084509E-4</v>
      </c>
    </row>
    <row r="516" spans="1:2" x14ac:dyDescent="0.3">
      <c r="A516" s="3" t="s">
        <v>737</v>
      </c>
      <c r="B516" s="4">
        <v>8.8028169014084509E-4</v>
      </c>
    </row>
    <row r="517" spans="1:2" x14ac:dyDescent="0.3">
      <c r="A517" s="3" t="s">
        <v>738</v>
      </c>
      <c r="B517" s="4">
        <v>8.8028169014084509E-4</v>
      </c>
    </row>
    <row r="518" spans="1:2" x14ac:dyDescent="0.3">
      <c r="A518" s="3" t="s">
        <v>739</v>
      </c>
      <c r="B518" s="4">
        <v>8.8028169014084509E-4</v>
      </c>
    </row>
    <row r="519" spans="1:2" x14ac:dyDescent="0.3">
      <c r="A519" s="3" t="s">
        <v>740</v>
      </c>
      <c r="B519" s="4">
        <v>8.8028169014084509E-4</v>
      </c>
    </row>
    <row r="520" spans="1:2" x14ac:dyDescent="0.3">
      <c r="A520" s="3" t="s">
        <v>743</v>
      </c>
      <c r="B520" s="4">
        <v>8.8028169014084509E-4</v>
      </c>
    </row>
    <row r="521" spans="1:2" x14ac:dyDescent="0.3">
      <c r="A521" s="3" t="s">
        <v>744</v>
      </c>
      <c r="B521" s="4">
        <v>8.8028169014084509E-4</v>
      </c>
    </row>
    <row r="522" spans="1:2" x14ac:dyDescent="0.3">
      <c r="A522" s="3" t="s">
        <v>745</v>
      </c>
      <c r="B522" s="4">
        <v>8.8028169014084509E-4</v>
      </c>
    </row>
    <row r="523" spans="1:2" x14ac:dyDescent="0.3">
      <c r="A523" s="3" t="s">
        <v>746</v>
      </c>
      <c r="B523" s="4">
        <v>8.8028169014084509E-4</v>
      </c>
    </row>
    <row r="524" spans="1:2" x14ac:dyDescent="0.3">
      <c r="A524" s="3" t="s">
        <v>747</v>
      </c>
      <c r="B524" s="4">
        <v>8.8028169014084509E-4</v>
      </c>
    </row>
    <row r="525" spans="1:2" x14ac:dyDescent="0.3">
      <c r="A525" s="3" t="s">
        <v>748</v>
      </c>
      <c r="B525" s="4">
        <v>8.8028169014084509E-4</v>
      </c>
    </row>
    <row r="526" spans="1:2" x14ac:dyDescent="0.3">
      <c r="A526" s="3" t="s">
        <v>749</v>
      </c>
      <c r="B526" s="4">
        <v>8.8028169014084509E-4</v>
      </c>
    </row>
    <row r="527" spans="1:2" x14ac:dyDescent="0.3">
      <c r="A527" s="3" t="s">
        <v>750</v>
      </c>
      <c r="B527" s="4">
        <v>8.8028169014084509E-4</v>
      </c>
    </row>
    <row r="528" spans="1:2" x14ac:dyDescent="0.3">
      <c r="A528" s="3" t="s">
        <v>751</v>
      </c>
      <c r="B528" s="4">
        <v>8.8028169014084509E-4</v>
      </c>
    </row>
    <row r="529" spans="1:2" x14ac:dyDescent="0.3">
      <c r="A529" s="3" t="s">
        <v>752</v>
      </c>
      <c r="B529" s="4">
        <v>8.8028169014084509E-4</v>
      </c>
    </row>
    <row r="530" spans="1:2" x14ac:dyDescent="0.3">
      <c r="A530" s="3" t="s">
        <v>754</v>
      </c>
      <c r="B530" s="4">
        <v>8.8028169014084509E-4</v>
      </c>
    </row>
    <row r="531" spans="1:2" x14ac:dyDescent="0.3">
      <c r="A531" s="3" t="s">
        <v>755</v>
      </c>
      <c r="B531" s="4">
        <v>8.8028169014084509E-4</v>
      </c>
    </row>
    <row r="532" spans="1:2" x14ac:dyDescent="0.3">
      <c r="A532" s="3" t="s">
        <v>756</v>
      </c>
      <c r="B532" s="4">
        <v>8.8028169014084509E-4</v>
      </c>
    </row>
    <row r="533" spans="1:2" x14ac:dyDescent="0.3">
      <c r="A533" s="3" t="s">
        <v>757</v>
      </c>
      <c r="B533" s="4">
        <v>8.8028169014084509E-4</v>
      </c>
    </row>
    <row r="534" spans="1:2" x14ac:dyDescent="0.3">
      <c r="A534" s="3" t="s">
        <v>758</v>
      </c>
      <c r="B534" s="4">
        <v>8.8028169014084509E-4</v>
      </c>
    </row>
    <row r="535" spans="1:2" x14ac:dyDescent="0.3">
      <c r="A535" s="3" t="s">
        <v>759</v>
      </c>
      <c r="B535" s="4">
        <v>8.8028169014084509E-4</v>
      </c>
    </row>
    <row r="536" spans="1:2" x14ac:dyDescent="0.3">
      <c r="A536" s="3" t="s">
        <v>760</v>
      </c>
      <c r="B536" s="4">
        <v>8.8028169014084509E-4</v>
      </c>
    </row>
    <row r="537" spans="1:2" x14ac:dyDescent="0.3">
      <c r="A537" s="3" t="s">
        <v>761</v>
      </c>
      <c r="B537" s="4">
        <v>8.8028169014084509E-4</v>
      </c>
    </row>
    <row r="538" spans="1:2" x14ac:dyDescent="0.3">
      <c r="A538" s="3" t="s">
        <v>763</v>
      </c>
      <c r="B538" s="4">
        <v>8.8028169014084509E-4</v>
      </c>
    </row>
    <row r="539" spans="1:2" x14ac:dyDescent="0.3">
      <c r="A539" s="3" t="s">
        <v>764</v>
      </c>
      <c r="B539" s="4">
        <v>8.8028169014084509E-4</v>
      </c>
    </row>
    <row r="540" spans="1:2" x14ac:dyDescent="0.3">
      <c r="A540" s="3" t="s">
        <v>765</v>
      </c>
      <c r="B540" s="4">
        <v>8.8028169014084509E-4</v>
      </c>
    </row>
    <row r="541" spans="1:2" x14ac:dyDescent="0.3">
      <c r="A541" s="3" t="s">
        <v>767</v>
      </c>
      <c r="B541" s="4">
        <v>8.8028169014084509E-4</v>
      </c>
    </row>
    <row r="542" spans="1:2" x14ac:dyDescent="0.3">
      <c r="A542" s="3" t="s">
        <v>768</v>
      </c>
      <c r="B542" s="4">
        <v>8.8028169014084509E-4</v>
      </c>
    </row>
    <row r="543" spans="1:2" x14ac:dyDescent="0.3">
      <c r="A543" s="3" t="s">
        <v>770</v>
      </c>
      <c r="B543" s="4">
        <v>8.8028169014084509E-4</v>
      </c>
    </row>
    <row r="544" spans="1:2" x14ac:dyDescent="0.3">
      <c r="A544" s="3" t="s">
        <v>771</v>
      </c>
      <c r="B544" s="4">
        <v>8.8028169014084509E-4</v>
      </c>
    </row>
    <row r="545" spans="1:2" x14ac:dyDescent="0.3">
      <c r="A545" s="3" t="s">
        <v>772</v>
      </c>
      <c r="B545" s="4">
        <v>8.8028169014084509E-4</v>
      </c>
    </row>
    <row r="546" spans="1:2" x14ac:dyDescent="0.3">
      <c r="A546" s="3" t="s">
        <v>773</v>
      </c>
      <c r="B546" s="4">
        <v>8.8028169014084509E-4</v>
      </c>
    </row>
    <row r="547" spans="1:2" x14ac:dyDescent="0.3">
      <c r="A547" s="3" t="s">
        <v>774</v>
      </c>
      <c r="B547" s="4">
        <v>8.8028169014084509E-4</v>
      </c>
    </row>
    <row r="548" spans="1:2" x14ac:dyDescent="0.3">
      <c r="A548" s="3" t="s">
        <v>775</v>
      </c>
      <c r="B548" s="4">
        <v>8.8028169014084509E-4</v>
      </c>
    </row>
    <row r="549" spans="1:2" x14ac:dyDescent="0.3">
      <c r="A549" s="3" t="s">
        <v>777</v>
      </c>
      <c r="B549" s="4">
        <v>8.8028169014084509E-4</v>
      </c>
    </row>
    <row r="550" spans="1:2" x14ac:dyDescent="0.3">
      <c r="A550" s="3" t="s">
        <v>778</v>
      </c>
      <c r="B550" s="4">
        <v>8.8028169014084509E-4</v>
      </c>
    </row>
    <row r="551" spans="1:2" x14ac:dyDescent="0.3">
      <c r="A551" s="3" t="s">
        <v>779</v>
      </c>
      <c r="B551" s="4">
        <v>8.8028169014084509E-4</v>
      </c>
    </row>
    <row r="552" spans="1:2" x14ac:dyDescent="0.3">
      <c r="A552" s="3" t="s">
        <v>780</v>
      </c>
      <c r="B552" s="4">
        <v>8.8028169014084509E-4</v>
      </c>
    </row>
    <row r="553" spans="1:2" x14ac:dyDescent="0.3">
      <c r="A553" s="3" t="s">
        <v>781</v>
      </c>
      <c r="B553" s="4">
        <v>8.8028169014084509E-4</v>
      </c>
    </row>
    <row r="554" spans="1:2" x14ac:dyDescent="0.3">
      <c r="A554" s="3" t="s">
        <v>782</v>
      </c>
      <c r="B554" s="4">
        <v>8.8028169014084509E-4</v>
      </c>
    </row>
    <row r="555" spans="1:2" x14ac:dyDescent="0.3">
      <c r="A555" s="3" t="s">
        <v>784</v>
      </c>
      <c r="B555" s="4">
        <v>8.8028169014084509E-4</v>
      </c>
    </row>
    <row r="556" spans="1:2" x14ac:dyDescent="0.3">
      <c r="A556" s="3" t="s">
        <v>786</v>
      </c>
      <c r="B556" s="4">
        <v>8.8028169014084509E-4</v>
      </c>
    </row>
    <row r="557" spans="1:2" x14ac:dyDescent="0.3">
      <c r="A557" s="3" t="s">
        <v>788</v>
      </c>
      <c r="B557" s="4">
        <v>8.8028169014084509E-4</v>
      </c>
    </row>
    <row r="558" spans="1:2" x14ac:dyDescent="0.3">
      <c r="A558" s="3" t="s">
        <v>789</v>
      </c>
      <c r="B558" s="4">
        <v>8.8028169014084509E-4</v>
      </c>
    </row>
    <row r="559" spans="1:2" x14ac:dyDescent="0.3">
      <c r="A559" s="3" t="s">
        <v>790</v>
      </c>
      <c r="B559" s="4">
        <v>8.8028169014084509E-4</v>
      </c>
    </row>
    <row r="560" spans="1:2" x14ac:dyDescent="0.3">
      <c r="A560" s="3" t="s">
        <v>791</v>
      </c>
      <c r="B560" s="4">
        <v>8.8028169014084509E-4</v>
      </c>
    </row>
    <row r="561" spans="1:2" x14ac:dyDescent="0.3">
      <c r="A561" s="3" t="s">
        <v>792</v>
      </c>
      <c r="B561" s="4">
        <v>8.8028169014084509E-4</v>
      </c>
    </row>
    <row r="562" spans="1:2" x14ac:dyDescent="0.3">
      <c r="A562" s="3" t="s">
        <v>793</v>
      </c>
      <c r="B562" s="4">
        <v>8.8028169014084509E-4</v>
      </c>
    </row>
    <row r="563" spans="1:2" x14ac:dyDescent="0.3">
      <c r="A563" s="3" t="s">
        <v>794</v>
      </c>
      <c r="B563" s="4">
        <v>8.8028169014084509E-4</v>
      </c>
    </row>
    <row r="564" spans="1:2" x14ac:dyDescent="0.3">
      <c r="A564" s="3" t="s">
        <v>795</v>
      </c>
      <c r="B564" s="4">
        <v>8.8028169014084509E-4</v>
      </c>
    </row>
    <row r="565" spans="1:2" x14ac:dyDescent="0.3">
      <c r="A565" s="3" t="s">
        <v>797</v>
      </c>
      <c r="B565" s="4">
        <v>8.8028169014084509E-4</v>
      </c>
    </row>
    <row r="566" spans="1:2" x14ac:dyDescent="0.3">
      <c r="A566" s="3" t="s">
        <v>799</v>
      </c>
      <c r="B566" s="4">
        <v>8.8028169014084509E-4</v>
      </c>
    </row>
    <row r="567" spans="1:2" x14ac:dyDescent="0.3">
      <c r="A567" s="3" t="s">
        <v>800</v>
      </c>
      <c r="B567" s="4">
        <v>8.8028169014084509E-4</v>
      </c>
    </row>
    <row r="568" spans="1:2" x14ac:dyDescent="0.3">
      <c r="A568" s="3" t="s">
        <v>801</v>
      </c>
      <c r="B568" s="4">
        <v>8.8028169014084509E-4</v>
      </c>
    </row>
    <row r="569" spans="1:2" x14ac:dyDescent="0.3">
      <c r="A569" s="3" t="s">
        <v>803</v>
      </c>
      <c r="B569" s="4">
        <v>8.8028169014084509E-4</v>
      </c>
    </row>
    <row r="570" spans="1:2" x14ac:dyDescent="0.3">
      <c r="A570" s="3" t="s">
        <v>804</v>
      </c>
      <c r="B570" s="4">
        <v>8.8028169014084509E-4</v>
      </c>
    </row>
    <row r="571" spans="1:2" x14ac:dyDescent="0.3">
      <c r="A571" s="3" t="s">
        <v>806</v>
      </c>
      <c r="B571" s="4">
        <v>8.8028169014084509E-4</v>
      </c>
    </row>
    <row r="572" spans="1:2" x14ac:dyDescent="0.3">
      <c r="A572" s="3" t="s">
        <v>807</v>
      </c>
      <c r="B572" s="4">
        <v>8.8028169014084509E-4</v>
      </c>
    </row>
    <row r="573" spans="1:2" x14ac:dyDescent="0.3">
      <c r="A573" s="3" t="s">
        <v>808</v>
      </c>
      <c r="B573" s="4">
        <v>8.8028169014084509E-4</v>
      </c>
    </row>
    <row r="574" spans="1:2" x14ac:dyDescent="0.3">
      <c r="A574" s="3" t="s">
        <v>809</v>
      </c>
      <c r="B574" s="4">
        <v>8.8028169014084509E-4</v>
      </c>
    </row>
    <row r="575" spans="1:2" x14ac:dyDescent="0.3">
      <c r="A575" s="3" t="s">
        <v>810</v>
      </c>
      <c r="B575" s="4">
        <v>8.8028169014084509E-4</v>
      </c>
    </row>
    <row r="576" spans="1:2" x14ac:dyDescent="0.3">
      <c r="A576" s="3" t="s">
        <v>811</v>
      </c>
      <c r="B576" s="4">
        <v>8.8028169014084509E-4</v>
      </c>
    </row>
    <row r="577" spans="1:2" x14ac:dyDescent="0.3">
      <c r="A577" s="3" t="s">
        <v>812</v>
      </c>
      <c r="B577" s="4">
        <v>8.8028169014084509E-4</v>
      </c>
    </row>
    <row r="578" spans="1:2" x14ac:dyDescent="0.3">
      <c r="A578" s="3" t="s">
        <v>813</v>
      </c>
      <c r="B578" s="4">
        <v>8.8028169014084509E-4</v>
      </c>
    </row>
    <row r="579" spans="1:2" x14ac:dyDescent="0.3">
      <c r="A579" s="3" t="s">
        <v>814</v>
      </c>
      <c r="B579" s="4">
        <v>8.8028169014084509E-4</v>
      </c>
    </row>
    <row r="580" spans="1:2" x14ac:dyDescent="0.3">
      <c r="A580" s="3" t="s">
        <v>815</v>
      </c>
      <c r="B580" s="4">
        <v>8.8028169014084509E-4</v>
      </c>
    </row>
    <row r="581" spans="1:2" x14ac:dyDescent="0.3">
      <c r="A581" s="3" t="s">
        <v>817</v>
      </c>
      <c r="B581" s="4">
        <v>8.8028169014084509E-4</v>
      </c>
    </row>
    <row r="582" spans="1:2" x14ac:dyDescent="0.3">
      <c r="A582" s="3" t="s">
        <v>818</v>
      </c>
      <c r="B582" s="4">
        <v>8.8028169014084509E-4</v>
      </c>
    </row>
    <row r="583" spans="1:2" x14ac:dyDescent="0.3">
      <c r="A583" s="3" t="s">
        <v>820</v>
      </c>
      <c r="B583" s="4">
        <v>8.8028169014084509E-4</v>
      </c>
    </row>
    <row r="584" spans="1:2" x14ac:dyDescent="0.3">
      <c r="A584" s="3" t="s">
        <v>821</v>
      </c>
      <c r="B584" s="4">
        <v>8.8028169014084509E-4</v>
      </c>
    </row>
    <row r="585" spans="1:2" x14ac:dyDescent="0.3">
      <c r="A585" s="3" t="s">
        <v>822</v>
      </c>
      <c r="B585" s="4">
        <v>8.8028169014084509E-4</v>
      </c>
    </row>
    <row r="586" spans="1:2" x14ac:dyDescent="0.3">
      <c r="A586" s="3" t="s">
        <v>823</v>
      </c>
      <c r="B586" s="4">
        <v>8.8028169014084509E-4</v>
      </c>
    </row>
    <row r="587" spans="1:2" x14ac:dyDescent="0.3">
      <c r="A587" s="3" t="s">
        <v>825</v>
      </c>
      <c r="B587" s="4">
        <v>8.8028169014084509E-4</v>
      </c>
    </row>
    <row r="588" spans="1:2" x14ac:dyDescent="0.3">
      <c r="A588" s="3" t="s">
        <v>826</v>
      </c>
      <c r="B588" s="4">
        <v>8.8028169014084509E-4</v>
      </c>
    </row>
    <row r="589" spans="1:2" x14ac:dyDescent="0.3">
      <c r="A589" s="3" t="s">
        <v>828</v>
      </c>
      <c r="B589" s="4">
        <v>8.8028169014084509E-4</v>
      </c>
    </row>
    <row r="590" spans="1:2" x14ac:dyDescent="0.3">
      <c r="A590" s="3" t="s">
        <v>829</v>
      </c>
      <c r="B590" s="4">
        <v>8.8028169014084509E-4</v>
      </c>
    </row>
    <row r="591" spans="1:2" x14ac:dyDescent="0.3">
      <c r="A591" s="3" t="s">
        <v>831</v>
      </c>
      <c r="B591" s="4">
        <v>8.8028169014084509E-4</v>
      </c>
    </row>
    <row r="592" spans="1:2" x14ac:dyDescent="0.3">
      <c r="A592" s="3" t="s">
        <v>832</v>
      </c>
      <c r="B592" s="4">
        <v>8.8028169014084509E-4</v>
      </c>
    </row>
    <row r="593" spans="1:2" x14ac:dyDescent="0.3">
      <c r="A593" s="3" t="s">
        <v>833</v>
      </c>
      <c r="B593" s="4">
        <v>8.8028169014084509E-4</v>
      </c>
    </row>
    <row r="594" spans="1:2" x14ac:dyDescent="0.3">
      <c r="A594" s="3" t="s">
        <v>834</v>
      </c>
      <c r="B594" s="4">
        <v>8.8028169014084509E-4</v>
      </c>
    </row>
    <row r="595" spans="1:2" x14ac:dyDescent="0.3">
      <c r="A595" s="3" t="s">
        <v>835</v>
      </c>
      <c r="B595" s="4">
        <v>8.8028169014084509E-4</v>
      </c>
    </row>
    <row r="596" spans="1:2" x14ac:dyDescent="0.3">
      <c r="A596" s="3" t="s">
        <v>836</v>
      </c>
      <c r="B596" s="4">
        <v>8.8028169014084509E-4</v>
      </c>
    </row>
    <row r="597" spans="1:2" x14ac:dyDescent="0.3">
      <c r="A597" s="3" t="s">
        <v>837</v>
      </c>
      <c r="B597" s="4">
        <v>8.8028169014084509E-4</v>
      </c>
    </row>
    <row r="598" spans="1:2" x14ac:dyDescent="0.3">
      <c r="A598" s="3" t="s">
        <v>839</v>
      </c>
      <c r="B598" s="4">
        <v>8.8028169014084509E-4</v>
      </c>
    </row>
    <row r="599" spans="1:2" x14ac:dyDescent="0.3">
      <c r="A599" s="3" t="s">
        <v>840</v>
      </c>
      <c r="B599" s="4">
        <v>8.8028169014084509E-4</v>
      </c>
    </row>
    <row r="600" spans="1:2" x14ac:dyDescent="0.3">
      <c r="A600" s="3" t="s">
        <v>841</v>
      </c>
      <c r="B600" s="4">
        <v>8.8028169014084509E-4</v>
      </c>
    </row>
    <row r="601" spans="1:2" x14ac:dyDescent="0.3">
      <c r="A601" s="3" t="s">
        <v>842</v>
      </c>
      <c r="B601" s="4">
        <v>8.8028169014084509E-4</v>
      </c>
    </row>
    <row r="602" spans="1:2" x14ac:dyDescent="0.3">
      <c r="A602" s="3" t="s">
        <v>843</v>
      </c>
      <c r="B602" s="4">
        <v>8.8028169014084509E-4</v>
      </c>
    </row>
    <row r="603" spans="1:2" x14ac:dyDescent="0.3">
      <c r="A603" s="3" t="s">
        <v>846</v>
      </c>
      <c r="B603" s="4">
        <v>8.8028169014084509E-4</v>
      </c>
    </row>
    <row r="604" spans="1:2" x14ac:dyDescent="0.3">
      <c r="A604" s="3" t="s">
        <v>847</v>
      </c>
      <c r="B604" s="4">
        <v>8.8028169014084509E-4</v>
      </c>
    </row>
    <row r="605" spans="1:2" x14ac:dyDescent="0.3">
      <c r="A605" s="3" t="s">
        <v>848</v>
      </c>
      <c r="B605" s="4">
        <v>8.8028169014084509E-4</v>
      </c>
    </row>
    <row r="606" spans="1:2" x14ac:dyDescent="0.3">
      <c r="A606" s="3" t="s">
        <v>850</v>
      </c>
      <c r="B606" s="4">
        <v>8.8028169014084509E-4</v>
      </c>
    </row>
    <row r="607" spans="1:2" x14ac:dyDescent="0.3">
      <c r="A607" s="3" t="s">
        <v>851</v>
      </c>
      <c r="B607" s="4">
        <v>8.8028169014084509E-4</v>
      </c>
    </row>
    <row r="608" spans="1:2" x14ac:dyDescent="0.3">
      <c r="A608" s="3" t="s">
        <v>852</v>
      </c>
      <c r="B608" s="4">
        <v>8.8028169014084509E-4</v>
      </c>
    </row>
    <row r="609" spans="1:2" x14ac:dyDescent="0.3">
      <c r="A609" s="3" t="s">
        <v>853</v>
      </c>
      <c r="B609" s="4">
        <v>8.8028169014084509E-4</v>
      </c>
    </row>
    <row r="610" spans="1:2" x14ac:dyDescent="0.3">
      <c r="A610" s="3" t="s">
        <v>854</v>
      </c>
      <c r="B610" s="4">
        <v>8.8028169014084509E-4</v>
      </c>
    </row>
    <row r="611" spans="1:2" x14ac:dyDescent="0.3">
      <c r="A611" s="3" t="s">
        <v>856</v>
      </c>
      <c r="B611" s="4">
        <v>8.8028169014084509E-4</v>
      </c>
    </row>
    <row r="612" spans="1:2" x14ac:dyDescent="0.3">
      <c r="A612" s="3" t="s">
        <v>857</v>
      </c>
      <c r="B612" s="4">
        <v>8.8028169014084509E-4</v>
      </c>
    </row>
    <row r="613" spans="1:2" x14ac:dyDescent="0.3">
      <c r="A613" s="3" t="s">
        <v>858</v>
      </c>
      <c r="B613" s="4">
        <v>8.8028169014084509E-4</v>
      </c>
    </row>
    <row r="614" spans="1:2" x14ac:dyDescent="0.3">
      <c r="A614" s="3" t="s">
        <v>859</v>
      </c>
      <c r="B614" s="4">
        <v>8.8028169014084509E-4</v>
      </c>
    </row>
    <row r="615" spans="1:2" x14ac:dyDescent="0.3">
      <c r="A615" s="3" t="s">
        <v>860</v>
      </c>
      <c r="B615" s="4">
        <v>8.8028169014084509E-4</v>
      </c>
    </row>
    <row r="616" spans="1:2" x14ac:dyDescent="0.3">
      <c r="A616" s="3" t="s">
        <v>861</v>
      </c>
      <c r="B616" s="4">
        <v>8.8028169014084509E-4</v>
      </c>
    </row>
    <row r="617" spans="1:2" x14ac:dyDescent="0.3">
      <c r="A617" s="3" t="s">
        <v>862</v>
      </c>
      <c r="B617" s="4">
        <v>8.8028169014084509E-4</v>
      </c>
    </row>
    <row r="618" spans="1:2" x14ac:dyDescent="0.3">
      <c r="A618" s="3" t="s">
        <v>863</v>
      </c>
      <c r="B618" s="4">
        <v>8.8028169014084509E-4</v>
      </c>
    </row>
    <row r="619" spans="1:2" x14ac:dyDescent="0.3">
      <c r="A619" s="3" t="s">
        <v>864</v>
      </c>
      <c r="B619" s="4">
        <v>8.8028169014084509E-4</v>
      </c>
    </row>
    <row r="620" spans="1:2" x14ac:dyDescent="0.3">
      <c r="A620" s="3" t="s">
        <v>865</v>
      </c>
      <c r="B620" s="4">
        <v>8.8028169014084509E-4</v>
      </c>
    </row>
    <row r="621" spans="1:2" x14ac:dyDescent="0.3">
      <c r="A621" s="3" t="s">
        <v>866</v>
      </c>
      <c r="B621" s="4">
        <v>8.8028169014084509E-4</v>
      </c>
    </row>
    <row r="622" spans="1:2" x14ac:dyDescent="0.3">
      <c r="A622" s="3" t="s">
        <v>867</v>
      </c>
      <c r="B622" s="4">
        <v>8.8028169014084509E-4</v>
      </c>
    </row>
    <row r="623" spans="1:2" x14ac:dyDescent="0.3">
      <c r="A623" s="3" t="s">
        <v>868</v>
      </c>
      <c r="B623" s="4">
        <v>8.8028169014084509E-4</v>
      </c>
    </row>
    <row r="624" spans="1:2" x14ac:dyDescent="0.3">
      <c r="A624" s="3" t="s">
        <v>869</v>
      </c>
      <c r="B624" s="4">
        <v>8.8028169014084509E-4</v>
      </c>
    </row>
    <row r="625" spans="1:2" x14ac:dyDescent="0.3">
      <c r="A625" s="3" t="s">
        <v>870</v>
      </c>
      <c r="B625" s="4">
        <v>8.8028169014084509E-4</v>
      </c>
    </row>
    <row r="626" spans="1:2" x14ac:dyDescent="0.3">
      <c r="A626" s="3" t="s">
        <v>871</v>
      </c>
      <c r="B626" s="4">
        <v>8.8028169014084509E-4</v>
      </c>
    </row>
    <row r="627" spans="1:2" x14ac:dyDescent="0.3">
      <c r="A627" s="3" t="s">
        <v>873</v>
      </c>
      <c r="B627" s="4">
        <v>8.8028169014084509E-4</v>
      </c>
    </row>
    <row r="628" spans="1:2" x14ac:dyDescent="0.3">
      <c r="A628" s="3" t="s">
        <v>876</v>
      </c>
      <c r="B628" s="4">
        <v>8.8028169014084509E-4</v>
      </c>
    </row>
    <row r="629" spans="1:2" x14ac:dyDescent="0.3">
      <c r="A629" s="3" t="s">
        <v>877</v>
      </c>
      <c r="B629" s="4">
        <v>8.8028169014084509E-4</v>
      </c>
    </row>
    <row r="630" spans="1:2" x14ac:dyDescent="0.3">
      <c r="A630" s="3" t="s">
        <v>878</v>
      </c>
      <c r="B630" s="4">
        <v>8.8028169014084509E-4</v>
      </c>
    </row>
    <row r="631" spans="1:2" x14ac:dyDescent="0.3">
      <c r="A631" s="3" t="s">
        <v>879</v>
      </c>
      <c r="B631" s="4">
        <v>8.8028169014084509E-4</v>
      </c>
    </row>
    <row r="632" spans="1:2" x14ac:dyDescent="0.3">
      <c r="A632" s="3" t="s">
        <v>880</v>
      </c>
      <c r="B632" s="4">
        <v>8.8028169014084509E-4</v>
      </c>
    </row>
    <row r="633" spans="1:2" x14ac:dyDescent="0.3">
      <c r="A633" s="3" t="s">
        <v>881</v>
      </c>
      <c r="B633" s="4">
        <v>8.8028169014084509E-4</v>
      </c>
    </row>
    <row r="634" spans="1:2" x14ac:dyDescent="0.3">
      <c r="A634" s="3" t="s">
        <v>882</v>
      </c>
      <c r="B634" s="4">
        <v>8.8028169014084509E-4</v>
      </c>
    </row>
    <row r="635" spans="1:2" x14ac:dyDescent="0.3">
      <c r="A635" s="3" t="s">
        <v>883</v>
      </c>
      <c r="B635" s="4">
        <v>8.8028169014084509E-4</v>
      </c>
    </row>
    <row r="636" spans="1:2" x14ac:dyDescent="0.3">
      <c r="A636" s="3" t="s">
        <v>884</v>
      </c>
      <c r="B636" s="4">
        <v>8.8028169014084509E-4</v>
      </c>
    </row>
    <row r="637" spans="1:2" x14ac:dyDescent="0.3">
      <c r="A637" s="3" t="s">
        <v>887</v>
      </c>
      <c r="B637" s="4">
        <v>8.8028169014084509E-4</v>
      </c>
    </row>
    <row r="638" spans="1:2" x14ac:dyDescent="0.3">
      <c r="A638" s="3" t="s">
        <v>888</v>
      </c>
      <c r="B638" s="4">
        <v>8.8028169014084509E-4</v>
      </c>
    </row>
    <row r="639" spans="1:2" x14ac:dyDescent="0.3">
      <c r="A639" s="3" t="s">
        <v>889</v>
      </c>
      <c r="B639" s="4">
        <v>8.8028169014084509E-4</v>
      </c>
    </row>
    <row r="640" spans="1:2" x14ac:dyDescent="0.3">
      <c r="A640" s="3" t="s">
        <v>890</v>
      </c>
      <c r="B640" s="4">
        <v>8.8028169014084509E-4</v>
      </c>
    </row>
    <row r="641" spans="1:2" x14ac:dyDescent="0.3">
      <c r="A641" s="3" t="s">
        <v>891</v>
      </c>
      <c r="B641" s="4">
        <v>8.8028169014084509E-4</v>
      </c>
    </row>
    <row r="642" spans="1:2" x14ac:dyDescent="0.3">
      <c r="A642" s="3" t="s">
        <v>892</v>
      </c>
      <c r="B642" s="4">
        <v>8.8028169014084509E-4</v>
      </c>
    </row>
    <row r="643" spans="1:2" x14ac:dyDescent="0.3">
      <c r="A643" s="3" t="s">
        <v>894</v>
      </c>
      <c r="B643" s="4">
        <v>8.8028169014084509E-4</v>
      </c>
    </row>
    <row r="644" spans="1:2" x14ac:dyDescent="0.3">
      <c r="A644" s="3" t="s">
        <v>895</v>
      </c>
      <c r="B644" s="4">
        <v>8.8028169014084509E-4</v>
      </c>
    </row>
    <row r="645" spans="1:2" x14ac:dyDescent="0.3">
      <c r="A645" s="3" t="s">
        <v>896</v>
      </c>
      <c r="B645" s="4">
        <v>8.8028169014084509E-4</v>
      </c>
    </row>
    <row r="646" spans="1:2" x14ac:dyDescent="0.3">
      <c r="A646" s="3" t="s">
        <v>897</v>
      </c>
      <c r="B646" s="4">
        <v>8.8028169014084509E-4</v>
      </c>
    </row>
    <row r="647" spans="1:2" x14ac:dyDescent="0.3">
      <c r="A647" s="3" t="s">
        <v>898</v>
      </c>
      <c r="B647" s="4">
        <v>8.8028169014084509E-4</v>
      </c>
    </row>
    <row r="648" spans="1:2" x14ac:dyDescent="0.3">
      <c r="A648" s="3" t="s">
        <v>899</v>
      </c>
      <c r="B648" s="4">
        <v>8.8028169014084509E-4</v>
      </c>
    </row>
    <row r="649" spans="1:2" x14ac:dyDescent="0.3">
      <c r="A649" s="3" t="s">
        <v>900</v>
      </c>
      <c r="B649" s="4">
        <v>8.8028169014084509E-4</v>
      </c>
    </row>
    <row r="650" spans="1:2" x14ac:dyDescent="0.3">
      <c r="A650" s="3" t="s">
        <v>901</v>
      </c>
      <c r="B650" s="4">
        <v>8.8028169014084509E-4</v>
      </c>
    </row>
    <row r="651" spans="1:2" x14ac:dyDescent="0.3">
      <c r="A651" s="3" t="s">
        <v>902</v>
      </c>
      <c r="B651" s="4">
        <v>8.8028169014084509E-4</v>
      </c>
    </row>
    <row r="652" spans="1:2" x14ac:dyDescent="0.3">
      <c r="A652" s="3" t="s">
        <v>903</v>
      </c>
      <c r="B652" s="4">
        <v>8.8028169014084509E-4</v>
      </c>
    </row>
    <row r="653" spans="1:2" x14ac:dyDescent="0.3">
      <c r="A653" s="3" t="s">
        <v>904</v>
      </c>
      <c r="B653" s="4">
        <v>8.8028169014084509E-4</v>
      </c>
    </row>
    <row r="654" spans="1:2" x14ac:dyDescent="0.3">
      <c r="A654" s="3" t="s">
        <v>905</v>
      </c>
      <c r="B654" s="4">
        <v>8.8028169014084509E-4</v>
      </c>
    </row>
    <row r="655" spans="1:2" x14ac:dyDescent="0.3">
      <c r="A655" s="3" t="s">
        <v>906</v>
      </c>
      <c r="B655" s="4">
        <v>8.8028169014084509E-4</v>
      </c>
    </row>
    <row r="656" spans="1:2" x14ac:dyDescent="0.3">
      <c r="A656" s="3" t="s">
        <v>907</v>
      </c>
      <c r="B656" s="4">
        <v>8.8028169014084509E-4</v>
      </c>
    </row>
    <row r="657" spans="1:2" x14ac:dyDescent="0.3">
      <c r="A657" s="3" t="s">
        <v>908</v>
      </c>
      <c r="B657" s="4">
        <v>8.8028169014084509E-4</v>
      </c>
    </row>
    <row r="658" spans="1:2" x14ac:dyDescent="0.3">
      <c r="A658" s="3" t="s">
        <v>911</v>
      </c>
      <c r="B658" s="4">
        <v>8.8028169014084509E-4</v>
      </c>
    </row>
    <row r="659" spans="1:2" x14ac:dyDescent="0.3">
      <c r="A659" s="3" t="s">
        <v>912</v>
      </c>
      <c r="B659" s="4">
        <v>8.8028169014084509E-4</v>
      </c>
    </row>
    <row r="660" spans="1:2" x14ac:dyDescent="0.3">
      <c r="A660" s="3" t="s">
        <v>913</v>
      </c>
      <c r="B660" s="4">
        <v>8.8028169014084509E-4</v>
      </c>
    </row>
    <row r="661" spans="1:2" x14ac:dyDescent="0.3">
      <c r="A661" s="3" t="s">
        <v>914</v>
      </c>
      <c r="B661" s="4">
        <v>8.8028169014084509E-4</v>
      </c>
    </row>
    <row r="662" spans="1:2" x14ac:dyDescent="0.3">
      <c r="A662" s="3" t="s">
        <v>916</v>
      </c>
      <c r="B662" s="4">
        <v>8.8028169014084509E-4</v>
      </c>
    </row>
    <row r="663" spans="1:2" x14ac:dyDescent="0.3">
      <c r="A663" s="3" t="s">
        <v>917</v>
      </c>
      <c r="B663" s="4">
        <v>8.8028169014084509E-4</v>
      </c>
    </row>
    <row r="664" spans="1:2" x14ac:dyDescent="0.3">
      <c r="A664" s="3" t="s">
        <v>919</v>
      </c>
      <c r="B664" s="4">
        <v>8.8028169014084509E-4</v>
      </c>
    </row>
    <row r="665" spans="1:2" x14ac:dyDescent="0.3">
      <c r="A665" s="3" t="s">
        <v>920</v>
      </c>
      <c r="B665" s="4">
        <v>8.8028169014084509E-4</v>
      </c>
    </row>
    <row r="666" spans="1:2" x14ac:dyDescent="0.3">
      <c r="A666" s="3" t="s">
        <v>922</v>
      </c>
      <c r="B666" s="4">
        <v>8.8028169014084509E-4</v>
      </c>
    </row>
    <row r="667" spans="1:2" x14ac:dyDescent="0.3">
      <c r="A667" s="3" t="s">
        <v>926</v>
      </c>
      <c r="B667" s="4">
        <v>8.8028169014084509E-4</v>
      </c>
    </row>
    <row r="668" spans="1:2" x14ac:dyDescent="0.3">
      <c r="A668" s="3" t="s">
        <v>927</v>
      </c>
      <c r="B668" s="4">
        <v>8.8028169014084509E-4</v>
      </c>
    </row>
    <row r="669" spans="1:2" x14ac:dyDescent="0.3">
      <c r="A669" s="3" t="s">
        <v>928</v>
      </c>
      <c r="B669" s="4">
        <v>8.8028169014084509E-4</v>
      </c>
    </row>
    <row r="670" spans="1:2" x14ac:dyDescent="0.3">
      <c r="A670" s="3" t="s">
        <v>930</v>
      </c>
      <c r="B670" s="4">
        <v>8.8028169014084509E-4</v>
      </c>
    </row>
    <row r="671" spans="1:2" x14ac:dyDescent="0.3">
      <c r="A671" s="3" t="s">
        <v>931</v>
      </c>
      <c r="B671" s="4">
        <v>8.8028169014084509E-4</v>
      </c>
    </row>
    <row r="672" spans="1:2" x14ac:dyDescent="0.3">
      <c r="A672" s="3" t="s">
        <v>932</v>
      </c>
      <c r="B672" s="4">
        <v>8.8028169014084509E-4</v>
      </c>
    </row>
    <row r="673" spans="1:2" x14ac:dyDescent="0.3">
      <c r="A673" s="3" t="s">
        <v>933</v>
      </c>
      <c r="B673" s="4">
        <v>8.8028169014084509E-4</v>
      </c>
    </row>
    <row r="674" spans="1:2" x14ac:dyDescent="0.3">
      <c r="A674" s="3" t="s">
        <v>934</v>
      </c>
      <c r="B674" s="4">
        <v>8.8028169014084509E-4</v>
      </c>
    </row>
    <row r="675" spans="1:2" x14ac:dyDescent="0.3">
      <c r="A675" s="3" t="s">
        <v>936</v>
      </c>
      <c r="B675" s="4">
        <v>8.8028169014084509E-4</v>
      </c>
    </row>
    <row r="676" spans="1:2" x14ac:dyDescent="0.3">
      <c r="A676" s="3" t="s">
        <v>937</v>
      </c>
      <c r="B676" s="4">
        <v>8.8028169014084509E-4</v>
      </c>
    </row>
    <row r="677" spans="1:2" x14ac:dyDescent="0.3">
      <c r="A677" s="3" t="s">
        <v>938</v>
      </c>
      <c r="B677" s="4">
        <v>8.8028169014084509E-4</v>
      </c>
    </row>
    <row r="678" spans="1:2" x14ac:dyDescent="0.3">
      <c r="A678" s="3" t="s">
        <v>939</v>
      </c>
      <c r="B678" s="4">
        <v>8.8028169014084509E-4</v>
      </c>
    </row>
    <row r="679" spans="1:2" x14ac:dyDescent="0.3">
      <c r="A679" s="3" t="s">
        <v>941</v>
      </c>
      <c r="B679" s="4">
        <v>8.8028169014084509E-4</v>
      </c>
    </row>
    <row r="680" spans="1:2" x14ac:dyDescent="0.3">
      <c r="A680" s="3" t="s">
        <v>943</v>
      </c>
      <c r="B680" s="4">
        <v>8.8028169014084509E-4</v>
      </c>
    </row>
    <row r="681" spans="1:2" x14ac:dyDescent="0.3">
      <c r="A681" s="3" t="s">
        <v>944</v>
      </c>
      <c r="B681" s="4">
        <v>8.8028169014084509E-4</v>
      </c>
    </row>
    <row r="682" spans="1:2" x14ac:dyDescent="0.3">
      <c r="A682" s="3" t="s">
        <v>947</v>
      </c>
      <c r="B682" s="4">
        <v>8.8028169014084509E-4</v>
      </c>
    </row>
    <row r="683" spans="1:2" x14ac:dyDescent="0.3">
      <c r="A683" s="3" t="s">
        <v>948</v>
      </c>
      <c r="B683" s="4">
        <v>8.8028169014084509E-4</v>
      </c>
    </row>
    <row r="684" spans="1:2" x14ac:dyDescent="0.3">
      <c r="A684" s="3" t="s">
        <v>949</v>
      </c>
      <c r="B684" s="4">
        <v>8.8028169014084509E-4</v>
      </c>
    </row>
    <row r="685" spans="1:2" x14ac:dyDescent="0.3">
      <c r="A685" s="3" t="s">
        <v>950</v>
      </c>
      <c r="B685" s="4">
        <v>8.8028169014084509E-4</v>
      </c>
    </row>
    <row r="686" spans="1:2" x14ac:dyDescent="0.3">
      <c r="A686" s="3" t="s">
        <v>951</v>
      </c>
      <c r="B686" s="4">
        <v>8.8028169014084509E-4</v>
      </c>
    </row>
    <row r="687" spans="1:2" x14ac:dyDescent="0.3">
      <c r="A687" s="3" t="s">
        <v>952</v>
      </c>
      <c r="B687" s="4">
        <v>8.8028169014084509E-4</v>
      </c>
    </row>
    <row r="688" spans="1:2" x14ac:dyDescent="0.3">
      <c r="A688" s="3" t="s">
        <v>953</v>
      </c>
      <c r="B688" s="4">
        <v>8.8028169014084509E-4</v>
      </c>
    </row>
    <row r="689" spans="1:2" x14ac:dyDescent="0.3">
      <c r="A689" s="3" t="s">
        <v>954</v>
      </c>
      <c r="B689" s="4">
        <v>8.8028169014084509E-4</v>
      </c>
    </row>
    <row r="690" spans="1:2" x14ac:dyDescent="0.3">
      <c r="A690" s="3" t="s">
        <v>956</v>
      </c>
      <c r="B690" s="4">
        <v>8.8028169014084509E-4</v>
      </c>
    </row>
    <row r="691" spans="1:2" x14ac:dyDescent="0.3">
      <c r="A691" s="3" t="s">
        <v>957</v>
      </c>
      <c r="B691" s="4">
        <v>8.8028169014084509E-4</v>
      </c>
    </row>
    <row r="692" spans="1:2" x14ac:dyDescent="0.3">
      <c r="A692" s="3" t="s">
        <v>958</v>
      </c>
      <c r="B692" s="4">
        <v>8.8028169014084509E-4</v>
      </c>
    </row>
    <row r="693" spans="1:2" x14ac:dyDescent="0.3">
      <c r="A693" s="3" t="s">
        <v>959</v>
      </c>
      <c r="B693" s="4">
        <v>8.8028169014084509E-4</v>
      </c>
    </row>
    <row r="694" spans="1:2" x14ac:dyDescent="0.3">
      <c r="A694" s="3" t="s">
        <v>961</v>
      </c>
      <c r="B694" s="4">
        <v>8.8028169014084509E-4</v>
      </c>
    </row>
    <row r="695" spans="1:2" x14ac:dyDescent="0.3">
      <c r="A695" s="3" t="s">
        <v>962</v>
      </c>
      <c r="B695" s="4">
        <v>8.8028169014084509E-4</v>
      </c>
    </row>
    <row r="696" spans="1:2" x14ac:dyDescent="0.3">
      <c r="A696" s="3" t="s">
        <v>963</v>
      </c>
      <c r="B696" s="4">
        <v>8.8028169014084509E-4</v>
      </c>
    </row>
    <row r="697" spans="1:2" x14ac:dyDescent="0.3">
      <c r="A697" s="3" t="s">
        <v>964</v>
      </c>
      <c r="B697" s="4">
        <v>8.8028169014084509E-4</v>
      </c>
    </row>
    <row r="698" spans="1:2" x14ac:dyDescent="0.3">
      <c r="A698" s="3" t="s">
        <v>965</v>
      </c>
      <c r="B698" s="4">
        <v>8.8028169014084509E-4</v>
      </c>
    </row>
    <row r="699" spans="1:2" x14ac:dyDescent="0.3">
      <c r="A699" s="3" t="s">
        <v>966</v>
      </c>
      <c r="B699" s="4">
        <v>8.8028169014084509E-4</v>
      </c>
    </row>
    <row r="700" spans="1:2" x14ac:dyDescent="0.3">
      <c r="A700" s="3" t="s">
        <v>967</v>
      </c>
      <c r="B700" s="4">
        <v>8.8028169014084509E-4</v>
      </c>
    </row>
    <row r="701" spans="1:2" x14ac:dyDescent="0.3">
      <c r="A701" s="3" t="s">
        <v>969</v>
      </c>
      <c r="B701" s="4">
        <v>8.8028169014084509E-4</v>
      </c>
    </row>
    <row r="702" spans="1:2" x14ac:dyDescent="0.3">
      <c r="A702" s="3" t="s">
        <v>970</v>
      </c>
      <c r="B702" s="4">
        <v>8.8028169014084509E-4</v>
      </c>
    </row>
    <row r="703" spans="1:2" x14ac:dyDescent="0.3">
      <c r="A703" s="3" t="s">
        <v>971</v>
      </c>
      <c r="B703" s="4">
        <v>8.8028169014084509E-4</v>
      </c>
    </row>
    <row r="704" spans="1:2" x14ac:dyDescent="0.3">
      <c r="A704" s="3" t="s">
        <v>972</v>
      </c>
      <c r="B704" s="4">
        <v>8.8028169014084509E-4</v>
      </c>
    </row>
    <row r="705" spans="1:2" x14ac:dyDescent="0.3">
      <c r="A705" s="3" t="s">
        <v>974</v>
      </c>
      <c r="B705" s="4">
        <v>8.8028169014084509E-4</v>
      </c>
    </row>
    <row r="706" spans="1:2" x14ac:dyDescent="0.3">
      <c r="A706" s="3" t="s">
        <v>975</v>
      </c>
      <c r="B706" s="4">
        <v>8.8028169014084509E-4</v>
      </c>
    </row>
    <row r="707" spans="1:2" x14ac:dyDescent="0.3">
      <c r="A707" s="3" t="s">
        <v>977</v>
      </c>
      <c r="B707" s="4">
        <v>8.8028169014084509E-4</v>
      </c>
    </row>
    <row r="708" spans="1:2" x14ac:dyDescent="0.3">
      <c r="A708" s="3" t="s">
        <v>978</v>
      </c>
      <c r="B708" s="4">
        <v>8.8028169014084509E-4</v>
      </c>
    </row>
    <row r="709" spans="1:2" x14ac:dyDescent="0.3">
      <c r="A709" s="3" t="s">
        <v>979</v>
      </c>
      <c r="B709" s="4">
        <v>8.8028169014084509E-4</v>
      </c>
    </row>
    <row r="710" spans="1:2" x14ac:dyDescent="0.3">
      <c r="A710" s="3" t="s">
        <v>980</v>
      </c>
      <c r="B710" s="4">
        <v>8.8028169014084509E-4</v>
      </c>
    </row>
    <row r="711" spans="1:2" x14ac:dyDescent="0.3">
      <c r="A711" s="3" t="s">
        <v>983</v>
      </c>
      <c r="B711" s="4">
        <v>8.8028169014084509E-4</v>
      </c>
    </row>
    <row r="712" spans="1:2" x14ac:dyDescent="0.3">
      <c r="A712" s="3" t="s">
        <v>984</v>
      </c>
      <c r="B712" s="4">
        <v>8.8028169014084509E-4</v>
      </c>
    </row>
    <row r="713" spans="1:2" x14ac:dyDescent="0.3">
      <c r="A713" s="3" t="s">
        <v>985</v>
      </c>
      <c r="B713" s="4">
        <v>8.8028169014084509E-4</v>
      </c>
    </row>
    <row r="714" spans="1:2" x14ac:dyDescent="0.3">
      <c r="A714" s="3" t="s">
        <v>986</v>
      </c>
      <c r="B714" s="4">
        <v>8.8028169014084509E-4</v>
      </c>
    </row>
    <row r="715" spans="1:2" x14ac:dyDescent="0.3">
      <c r="A715" s="3" t="s">
        <v>987</v>
      </c>
      <c r="B715" s="4">
        <v>8.8028169014084509E-4</v>
      </c>
    </row>
    <row r="716" spans="1:2" x14ac:dyDescent="0.3">
      <c r="A716" s="3" t="s">
        <v>989</v>
      </c>
      <c r="B716" s="4">
        <v>8.8028169014084509E-4</v>
      </c>
    </row>
    <row r="717" spans="1:2" x14ac:dyDescent="0.3">
      <c r="A717" s="3" t="s">
        <v>990</v>
      </c>
      <c r="B717" s="4">
        <v>8.8028169014084509E-4</v>
      </c>
    </row>
    <row r="718" spans="1:2" x14ac:dyDescent="0.3">
      <c r="A718" s="3" t="s">
        <v>991</v>
      </c>
      <c r="B718" s="4">
        <v>8.8028169014084509E-4</v>
      </c>
    </row>
    <row r="719" spans="1:2" x14ac:dyDescent="0.3">
      <c r="A719" s="3" t="s">
        <v>993</v>
      </c>
      <c r="B719" s="4">
        <v>8.8028169014084509E-4</v>
      </c>
    </row>
    <row r="720" spans="1:2" x14ac:dyDescent="0.3">
      <c r="A720" s="3" t="s">
        <v>994</v>
      </c>
      <c r="B720" s="4">
        <v>8.8028169014084509E-4</v>
      </c>
    </row>
    <row r="721" spans="1:2" x14ac:dyDescent="0.3">
      <c r="A721" s="3" t="s">
        <v>995</v>
      </c>
      <c r="B721" s="4">
        <v>8.8028169014084509E-4</v>
      </c>
    </row>
    <row r="722" spans="1:2" x14ac:dyDescent="0.3">
      <c r="A722" s="3" t="s">
        <v>996</v>
      </c>
      <c r="B722" s="4">
        <v>8.8028169014084509E-4</v>
      </c>
    </row>
    <row r="723" spans="1:2" x14ac:dyDescent="0.3">
      <c r="A723" s="3" t="s">
        <v>997</v>
      </c>
      <c r="B723" s="4">
        <v>8.8028169014084509E-4</v>
      </c>
    </row>
    <row r="724" spans="1:2" x14ac:dyDescent="0.3">
      <c r="A724" s="3" t="s">
        <v>998</v>
      </c>
      <c r="B724" s="4">
        <v>8.8028169014084509E-4</v>
      </c>
    </row>
    <row r="725" spans="1:2" x14ac:dyDescent="0.3">
      <c r="A725" s="3" t="s">
        <v>999</v>
      </c>
      <c r="B725" s="4">
        <v>8.8028169014084509E-4</v>
      </c>
    </row>
    <row r="726" spans="1:2" x14ac:dyDescent="0.3">
      <c r="A726" s="3" t="s">
        <v>1000</v>
      </c>
      <c r="B726" s="4">
        <v>8.8028169014084509E-4</v>
      </c>
    </row>
    <row r="727" spans="1:2" x14ac:dyDescent="0.3">
      <c r="A727" s="3" t="s">
        <v>1001</v>
      </c>
      <c r="B727" s="4">
        <v>8.8028169014084509E-4</v>
      </c>
    </row>
    <row r="728" spans="1:2" x14ac:dyDescent="0.3">
      <c r="A728" s="3" t="s">
        <v>1002</v>
      </c>
      <c r="B728" s="4">
        <v>8.8028169014084509E-4</v>
      </c>
    </row>
    <row r="729" spans="1:2" x14ac:dyDescent="0.3">
      <c r="A729" s="3" t="s">
        <v>1003</v>
      </c>
      <c r="B729" s="4">
        <v>8.8028169014084509E-4</v>
      </c>
    </row>
    <row r="730" spans="1:2" x14ac:dyDescent="0.3">
      <c r="A730" s="3" t="s">
        <v>1005</v>
      </c>
      <c r="B730" s="4">
        <v>8.8028169014084509E-4</v>
      </c>
    </row>
    <row r="731" spans="1:2" x14ac:dyDescent="0.3">
      <c r="A731" s="3" t="s">
        <v>1008</v>
      </c>
      <c r="B731" s="4">
        <v>8.8028169014084509E-4</v>
      </c>
    </row>
    <row r="732" spans="1:2" x14ac:dyDescent="0.3">
      <c r="A732" s="3" t="s">
        <v>1009</v>
      </c>
      <c r="B732" s="4">
        <v>8.8028169014084509E-4</v>
      </c>
    </row>
    <row r="733" spans="1:2" x14ac:dyDescent="0.3">
      <c r="A733" s="3" t="s">
        <v>1010</v>
      </c>
      <c r="B733" s="4">
        <v>8.8028169014084509E-4</v>
      </c>
    </row>
    <row r="734" spans="1:2" x14ac:dyDescent="0.3">
      <c r="A734" s="3" t="s">
        <v>1011</v>
      </c>
      <c r="B734" s="4">
        <v>8.8028169014084509E-4</v>
      </c>
    </row>
    <row r="735" spans="1:2" x14ac:dyDescent="0.3">
      <c r="A735" s="3" t="s">
        <v>1012</v>
      </c>
      <c r="B735" s="4">
        <v>8.8028169014084509E-4</v>
      </c>
    </row>
    <row r="736" spans="1:2" x14ac:dyDescent="0.3">
      <c r="A736" s="3" t="s">
        <v>1013</v>
      </c>
      <c r="B736" s="4">
        <v>8.8028169014084509E-4</v>
      </c>
    </row>
    <row r="737" spans="1:2" x14ac:dyDescent="0.3">
      <c r="A737" s="3" t="s">
        <v>1014</v>
      </c>
      <c r="B737" s="4">
        <v>8.8028169014084509E-4</v>
      </c>
    </row>
    <row r="738" spans="1:2" x14ac:dyDescent="0.3">
      <c r="A738" s="3" t="s">
        <v>1015</v>
      </c>
      <c r="B738" s="4">
        <v>8.8028169014084509E-4</v>
      </c>
    </row>
    <row r="739" spans="1:2" x14ac:dyDescent="0.3">
      <c r="A739" s="3" t="s">
        <v>1016</v>
      </c>
      <c r="B739" s="4">
        <v>8.8028169014084509E-4</v>
      </c>
    </row>
    <row r="740" spans="1:2" x14ac:dyDescent="0.3">
      <c r="A740" s="3" t="s">
        <v>1018</v>
      </c>
      <c r="B740" s="4">
        <v>8.8028169014084509E-4</v>
      </c>
    </row>
    <row r="741" spans="1:2" x14ac:dyDescent="0.3">
      <c r="A741" s="3" t="s">
        <v>1019</v>
      </c>
      <c r="B741" s="4">
        <v>8.8028169014084509E-4</v>
      </c>
    </row>
    <row r="742" spans="1:2" x14ac:dyDescent="0.3">
      <c r="A742" s="3" t="s">
        <v>1021</v>
      </c>
      <c r="B742" s="4">
        <v>8.8028169014084509E-4</v>
      </c>
    </row>
    <row r="743" spans="1:2" x14ac:dyDescent="0.3">
      <c r="A743" s="3" t="s">
        <v>1022</v>
      </c>
      <c r="B743" s="4">
        <v>8.8028169014084509E-4</v>
      </c>
    </row>
    <row r="744" spans="1:2" x14ac:dyDescent="0.3">
      <c r="A744" s="3" t="s">
        <v>1023</v>
      </c>
      <c r="B744" s="4">
        <v>8.8028169014084509E-4</v>
      </c>
    </row>
    <row r="745" spans="1:2" x14ac:dyDescent="0.3">
      <c r="A745" s="3" t="s">
        <v>1024</v>
      </c>
      <c r="B745" s="4">
        <v>8.8028169014084509E-4</v>
      </c>
    </row>
    <row r="746" spans="1:2" x14ac:dyDescent="0.3">
      <c r="A746" s="3" t="s">
        <v>1025</v>
      </c>
      <c r="B746" s="4">
        <v>8.8028169014084509E-4</v>
      </c>
    </row>
    <row r="747" spans="1:2" x14ac:dyDescent="0.3">
      <c r="A747" s="3" t="s">
        <v>1027</v>
      </c>
      <c r="B747" s="4">
        <v>8.8028169014084509E-4</v>
      </c>
    </row>
    <row r="748" spans="1:2" x14ac:dyDescent="0.3">
      <c r="A748" s="3" t="s">
        <v>1028</v>
      </c>
      <c r="B748" s="4">
        <v>8.8028169014084509E-4</v>
      </c>
    </row>
    <row r="749" spans="1:2" x14ac:dyDescent="0.3">
      <c r="A749" s="3" t="s">
        <v>1030</v>
      </c>
      <c r="B749" s="4">
        <v>8.8028169014084509E-4</v>
      </c>
    </row>
    <row r="750" spans="1:2" x14ac:dyDescent="0.3">
      <c r="A750" s="3" t="s">
        <v>1031</v>
      </c>
      <c r="B750" s="4">
        <v>8.8028169014084509E-4</v>
      </c>
    </row>
    <row r="751" spans="1:2" x14ac:dyDescent="0.3">
      <c r="A751" s="3" t="s">
        <v>1032</v>
      </c>
      <c r="B751" s="4">
        <v>8.8028169014084509E-4</v>
      </c>
    </row>
    <row r="752" spans="1:2" x14ac:dyDescent="0.3">
      <c r="A752" s="3" t="s">
        <v>1033</v>
      </c>
      <c r="B752" s="4">
        <v>8.8028169014084509E-4</v>
      </c>
    </row>
    <row r="753" spans="1:2" x14ac:dyDescent="0.3">
      <c r="A753" s="3" t="s">
        <v>1034</v>
      </c>
      <c r="B753" s="4">
        <v>8.8028169014084509E-4</v>
      </c>
    </row>
    <row r="754" spans="1:2" x14ac:dyDescent="0.3">
      <c r="A754" s="3" t="s">
        <v>1035</v>
      </c>
      <c r="B754" s="4">
        <v>8.8028169014084509E-4</v>
      </c>
    </row>
    <row r="755" spans="1:2" x14ac:dyDescent="0.3">
      <c r="A755" s="3" t="s">
        <v>1037</v>
      </c>
      <c r="B755" s="4">
        <v>8.8028169014084509E-4</v>
      </c>
    </row>
    <row r="756" spans="1:2" x14ac:dyDescent="0.3">
      <c r="A756" s="3" t="s">
        <v>1038</v>
      </c>
      <c r="B756" s="4">
        <v>8.8028169014084509E-4</v>
      </c>
    </row>
    <row r="757" spans="1:2" x14ac:dyDescent="0.3">
      <c r="A757" s="3" t="s">
        <v>1039</v>
      </c>
      <c r="B757" s="4">
        <v>8.8028169014084509E-4</v>
      </c>
    </row>
    <row r="758" spans="1:2" x14ac:dyDescent="0.3">
      <c r="A758" s="3" t="s">
        <v>1040</v>
      </c>
      <c r="B758" s="4">
        <v>8.8028169014084509E-4</v>
      </c>
    </row>
    <row r="759" spans="1:2" x14ac:dyDescent="0.3">
      <c r="A759" s="3" t="s">
        <v>1041</v>
      </c>
      <c r="B759" s="4">
        <v>8.8028169014084509E-4</v>
      </c>
    </row>
    <row r="760" spans="1:2" x14ac:dyDescent="0.3">
      <c r="A760" s="3" t="s">
        <v>1042</v>
      </c>
      <c r="B760" s="4">
        <v>8.8028169014084509E-4</v>
      </c>
    </row>
    <row r="761" spans="1:2" x14ac:dyDescent="0.3">
      <c r="A761" s="3" t="s">
        <v>1045</v>
      </c>
      <c r="B761" s="4">
        <v>8.8028169014084509E-4</v>
      </c>
    </row>
    <row r="762" spans="1:2" x14ac:dyDescent="0.3">
      <c r="A762" s="3" t="s">
        <v>1046</v>
      </c>
      <c r="B762" s="4">
        <v>8.8028169014084509E-4</v>
      </c>
    </row>
    <row r="763" spans="1:2" x14ac:dyDescent="0.3">
      <c r="A763" s="3" t="s">
        <v>1047</v>
      </c>
      <c r="B763" s="4">
        <v>8.8028169014084509E-4</v>
      </c>
    </row>
    <row r="764" spans="1:2" x14ac:dyDescent="0.3">
      <c r="A764" s="3" t="s">
        <v>1049</v>
      </c>
      <c r="B764" s="4">
        <v>8.8028169014084509E-4</v>
      </c>
    </row>
    <row r="765" spans="1:2" x14ac:dyDescent="0.3">
      <c r="A765" s="3" t="s">
        <v>1050</v>
      </c>
      <c r="B765" s="4">
        <v>8.8028169014084509E-4</v>
      </c>
    </row>
    <row r="766" spans="1:2" x14ac:dyDescent="0.3">
      <c r="A766" s="3" t="s">
        <v>1051</v>
      </c>
      <c r="B766" s="4">
        <v>8.8028169014084509E-4</v>
      </c>
    </row>
    <row r="767" spans="1:2" x14ac:dyDescent="0.3">
      <c r="A767" s="3" t="s">
        <v>1052</v>
      </c>
      <c r="B767" s="4">
        <v>8.8028169014084509E-4</v>
      </c>
    </row>
    <row r="768" spans="1:2" x14ac:dyDescent="0.3">
      <c r="A768" s="3" t="s">
        <v>1053</v>
      </c>
      <c r="B768" s="4">
        <v>8.8028169014084509E-4</v>
      </c>
    </row>
    <row r="769" spans="1:2" x14ac:dyDescent="0.3">
      <c r="A769" s="3" t="s">
        <v>1055</v>
      </c>
      <c r="B769" s="4">
        <v>8.8028169014084509E-4</v>
      </c>
    </row>
    <row r="770" spans="1:2" x14ac:dyDescent="0.3">
      <c r="A770" s="3" t="s">
        <v>1057</v>
      </c>
      <c r="B770" s="4">
        <v>8.8028169014084509E-4</v>
      </c>
    </row>
    <row r="771" spans="1:2" x14ac:dyDescent="0.3">
      <c r="A771" s="3" t="s">
        <v>1058</v>
      </c>
      <c r="B771" s="4">
        <v>8.8028169014084509E-4</v>
      </c>
    </row>
    <row r="772" spans="1:2" x14ac:dyDescent="0.3">
      <c r="A772" s="3" t="s">
        <v>1059</v>
      </c>
      <c r="B772" s="4">
        <v>8.8028169014084509E-4</v>
      </c>
    </row>
    <row r="773" spans="1:2" x14ac:dyDescent="0.3">
      <c r="A773" s="3" t="s">
        <v>1060</v>
      </c>
      <c r="B773" s="4">
        <v>8.8028169014084509E-4</v>
      </c>
    </row>
    <row r="774" spans="1:2" x14ac:dyDescent="0.3">
      <c r="A774" s="3" t="s">
        <v>1062</v>
      </c>
      <c r="B774" s="4">
        <v>8.8028169014084509E-4</v>
      </c>
    </row>
    <row r="775" spans="1:2" x14ac:dyDescent="0.3">
      <c r="A775" s="3" t="s">
        <v>1063</v>
      </c>
      <c r="B775" s="4">
        <v>8.8028169014084509E-4</v>
      </c>
    </row>
    <row r="776" spans="1:2" x14ac:dyDescent="0.3">
      <c r="A776" s="3" t="s">
        <v>1064</v>
      </c>
      <c r="B776" s="4">
        <v>8.8028169014084509E-4</v>
      </c>
    </row>
    <row r="777" spans="1:2" x14ac:dyDescent="0.3">
      <c r="A777" s="3" t="s">
        <v>1065</v>
      </c>
      <c r="B777" s="4">
        <v>8.8028169014084509E-4</v>
      </c>
    </row>
    <row r="778" spans="1:2" x14ac:dyDescent="0.3">
      <c r="A778" s="3" t="s">
        <v>1066</v>
      </c>
      <c r="B778" s="4">
        <v>8.8028169014084509E-4</v>
      </c>
    </row>
    <row r="779" spans="1:2" x14ac:dyDescent="0.3">
      <c r="A779" s="3" t="s">
        <v>1067</v>
      </c>
      <c r="B779" s="4">
        <v>8.8028169014084509E-4</v>
      </c>
    </row>
    <row r="780" spans="1:2" x14ac:dyDescent="0.3">
      <c r="A780" s="3" t="s">
        <v>1068</v>
      </c>
      <c r="B780" s="4">
        <v>8.8028169014084509E-4</v>
      </c>
    </row>
    <row r="781" spans="1:2" x14ac:dyDescent="0.3">
      <c r="A781" s="3" t="s">
        <v>1069</v>
      </c>
      <c r="B781" s="4">
        <v>8.8028169014084509E-4</v>
      </c>
    </row>
    <row r="782" spans="1:2" x14ac:dyDescent="0.3">
      <c r="A782" s="3" t="s">
        <v>1070</v>
      </c>
      <c r="B782" s="4">
        <v>8.8028169014084509E-4</v>
      </c>
    </row>
    <row r="783" spans="1:2" x14ac:dyDescent="0.3">
      <c r="A783" s="3" t="s">
        <v>1071</v>
      </c>
      <c r="B783" s="4">
        <v>8.8028169014084509E-4</v>
      </c>
    </row>
    <row r="784" spans="1:2" x14ac:dyDescent="0.3">
      <c r="A784" s="3" t="s">
        <v>1073</v>
      </c>
      <c r="B784" s="4">
        <v>8.8028169014084509E-4</v>
      </c>
    </row>
    <row r="785" spans="1:2" x14ac:dyDescent="0.3">
      <c r="A785" s="3" t="s">
        <v>1074</v>
      </c>
      <c r="B785" s="4">
        <v>8.8028169014084509E-4</v>
      </c>
    </row>
    <row r="786" spans="1:2" x14ac:dyDescent="0.3">
      <c r="A786" s="3" t="s">
        <v>1075</v>
      </c>
      <c r="B786" s="4">
        <v>8.8028169014084509E-4</v>
      </c>
    </row>
    <row r="787" spans="1:2" x14ac:dyDescent="0.3">
      <c r="A787" s="3" t="s">
        <v>1076</v>
      </c>
      <c r="B787" s="4">
        <v>8.8028169014084509E-4</v>
      </c>
    </row>
    <row r="788" spans="1:2" x14ac:dyDescent="0.3">
      <c r="A788" s="3" t="s">
        <v>1078</v>
      </c>
      <c r="B788" s="4">
        <v>8.8028169014084509E-4</v>
      </c>
    </row>
    <row r="789" spans="1:2" x14ac:dyDescent="0.3">
      <c r="A789" s="3" t="s">
        <v>1079</v>
      </c>
      <c r="B789" s="4">
        <v>8.8028169014084509E-4</v>
      </c>
    </row>
    <row r="790" spans="1:2" x14ac:dyDescent="0.3">
      <c r="A790" s="3" t="s">
        <v>1080</v>
      </c>
      <c r="B790" s="4">
        <v>8.8028169014084509E-4</v>
      </c>
    </row>
    <row r="791" spans="1:2" x14ac:dyDescent="0.3">
      <c r="A791" s="3" t="s">
        <v>1082</v>
      </c>
      <c r="B791" s="4">
        <v>8.8028169014084509E-4</v>
      </c>
    </row>
    <row r="792" spans="1:2" x14ac:dyDescent="0.3">
      <c r="A792" s="3" t="s">
        <v>1083</v>
      </c>
      <c r="B792" s="4">
        <v>8.8028169014084509E-4</v>
      </c>
    </row>
    <row r="793" spans="1:2" x14ac:dyDescent="0.3">
      <c r="A793" s="3" t="s">
        <v>1084</v>
      </c>
      <c r="B793" s="4">
        <v>8.8028169014084509E-4</v>
      </c>
    </row>
    <row r="794" spans="1:2" x14ac:dyDescent="0.3">
      <c r="A794" s="3" t="s">
        <v>1085</v>
      </c>
      <c r="B794" s="4">
        <v>8.8028169014084509E-4</v>
      </c>
    </row>
    <row r="795" spans="1:2" x14ac:dyDescent="0.3">
      <c r="A795" s="3" t="s">
        <v>1087</v>
      </c>
      <c r="B795" s="4">
        <v>8.8028169014084509E-4</v>
      </c>
    </row>
    <row r="796" spans="1:2" x14ac:dyDescent="0.3">
      <c r="A796" s="3" t="s">
        <v>1089</v>
      </c>
      <c r="B796" s="4">
        <v>8.8028169014084509E-4</v>
      </c>
    </row>
    <row r="797" spans="1:2" x14ac:dyDescent="0.3">
      <c r="A797" s="3" t="s">
        <v>1090</v>
      </c>
      <c r="B797" s="4">
        <v>8.8028169014084509E-4</v>
      </c>
    </row>
    <row r="798" spans="1:2" x14ac:dyDescent="0.3">
      <c r="A798" s="3" t="s">
        <v>1091</v>
      </c>
      <c r="B798" s="4">
        <v>8.8028169014084509E-4</v>
      </c>
    </row>
    <row r="799" spans="1:2" x14ac:dyDescent="0.3">
      <c r="A799" s="3" t="s">
        <v>1092</v>
      </c>
      <c r="B799" s="4">
        <v>8.8028169014084509E-4</v>
      </c>
    </row>
    <row r="800" spans="1:2" x14ac:dyDescent="0.3">
      <c r="A800" s="3" t="s">
        <v>1093</v>
      </c>
      <c r="B800" s="4">
        <v>8.8028169014084509E-4</v>
      </c>
    </row>
    <row r="801" spans="1:2" x14ac:dyDescent="0.3">
      <c r="A801" s="3" t="s">
        <v>1095</v>
      </c>
      <c r="B801" s="4">
        <v>8.8028169014084509E-4</v>
      </c>
    </row>
    <row r="802" spans="1:2" x14ac:dyDescent="0.3">
      <c r="A802" s="3" t="s">
        <v>1096</v>
      </c>
      <c r="B802" s="4">
        <v>8.8028169014084509E-4</v>
      </c>
    </row>
    <row r="803" spans="1:2" x14ac:dyDescent="0.3">
      <c r="A803" s="3" t="s">
        <v>1097</v>
      </c>
      <c r="B803" s="4">
        <v>8.8028169014084509E-4</v>
      </c>
    </row>
    <row r="804" spans="1:2" x14ac:dyDescent="0.3">
      <c r="A804" s="3" t="s">
        <v>1098</v>
      </c>
      <c r="B804" s="4">
        <v>8.8028169014084509E-4</v>
      </c>
    </row>
    <row r="805" spans="1:2" x14ac:dyDescent="0.3">
      <c r="A805" s="3" t="s">
        <v>1099</v>
      </c>
      <c r="B805" s="4">
        <v>8.8028169014084509E-4</v>
      </c>
    </row>
    <row r="806" spans="1:2" x14ac:dyDescent="0.3">
      <c r="A806" s="3" t="s">
        <v>1100</v>
      </c>
      <c r="B806" s="4">
        <v>8.8028169014084509E-4</v>
      </c>
    </row>
    <row r="807" spans="1:2" x14ac:dyDescent="0.3">
      <c r="A807" s="3" t="s">
        <v>1101</v>
      </c>
      <c r="B807" s="4">
        <v>8.8028169014084509E-4</v>
      </c>
    </row>
    <row r="808" spans="1:2" x14ac:dyDescent="0.3">
      <c r="A808" s="3" t="s">
        <v>1102</v>
      </c>
      <c r="B808" s="4">
        <v>8.8028169014084509E-4</v>
      </c>
    </row>
    <row r="809" spans="1:2" x14ac:dyDescent="0.3">
      <c r="A809" s="3" t="s">
        <v>1103</v>
      </c>
      <c r="B809" s="4">
        <v>8.8028169014084509E-4</v>
      </c>
    </row>
    <row r="810" spans="1:2" x14ac:dyDescent="0.3">
      <c r="A810" s="3" t="s">
        <v>1104</v>
      </c>
      <c r="B810" s="4">
        <v>8.8028169014084509E-4</v>
      </c>
    </row>
    <row r="811" spans="1:2" x14ac:dyDescent="0.3">
      <c r="A811" s="3" t="s">
        <v>1105</v>
      </c>
      <c r="B811" s="4">
        <v>8.8028169014084509E-4</v>
      </c>
    </row>
    <row r="812" spans="1:2" x14ac:dyDescent="0.3">
      <c r="A812" s="3" t="s">
        <v>1107</v>
      </c>
      <c r="B812" s="4">
        <v>8.8028169014084509E-4</v>
      </c>
    </row>
    <row r="813" spans="1:2" x14ac:dyDescent="0.3">
      <c r="A813" s="3" t="s">
        <v>1108</v>
      </c>
      <c r="B813" s="4">
        <v>8.8028169014084509E-4</v>
      </c>
    </row>
    <row r="814" spans="1:2" x14ac:dyDescent="0.3">
      <c r="A814" s="3" t="s">
        <v>1109</v>
      </c>
      <c r="B814" s="4">
        <v>8.8028169014084509E-4</v>
      </c>
    </row>
    <row r="815" spans="1:2" x14ac:dyDescent="0.3">
      <c r="A815" s="3" t="s">
        <v>1110</v>
      </c>
      <c r="B815" s="4">
        <v>8.8028169014084509E-4</v>
      </c>
    </row>
    <row r="816" spans="1:2" x14ac:dyDescent="0.3">
      <c r="A816" s="3" t="s">
        <v>1112</v>
      </c>
      <c r="B816" s="4">
        <v>8.8028169014084509E-4</v>
      </c>
    </row>
    <row r="817" spans="1:2" x14ac:dyDescent="0.3">
      <c r="A817" s="3" t="s">
        <v>1113</v>
      </c>
      <c r="B817" s="4">
        <v>8.8028169014084509E-4</v>
      </c>
    </row>
    <row r="818" spans="1:2" x14ac:dyDescent="0.3">
      <c r="A818" s="3" t="s">
        <v>1114</v>
      </c>
      <c r="B818" s="4">
        <v>8.8028169014084509E-4</v>
      </c>
    </row>
    <row r="819" spans="1:2" x14ac:dyDescent="0.3">
      <c r="A819" s="3" t="s">
        <v>1115</v>
      </c>
      <c r="B819" s="4">
        <v>8.8028169014084509E-4</v>
      </c>
    </row>
    <row r="820" spans="1:2" x14ac:dyDescent="0.3">
      <c r="A820" s="3" t="s">
        <v>1116</v>
      </c>
      <c r="B820" s="4">
        <v>8.8028169014084509E-4</v>
      </c>
    </row>
    <row r="821" spans="1:2" x14ac:dyDescent="0.3">
      <c r="A821" s="3" t="s">
        <v>1117</v>
      </c>
      <c r="B821" s="4">
        <v>8.8028169014084509E-4</v>
      </c>
    </row>
    <row r="822" spans="1:2" x14ac:dyDescent="0.3">
      <c r="A822" s="3" t="s">
        <v>1119</v>
      </c>
      <c r="B822" s="4">
        <v>8.8028169014084509E-4</v>
      </c>
    </row>
    <row r="823" spans="1:2" x14ac:dyDescent="0.3">
      <c r="A823" s="3" t="s">
        <v>1121</v>
      </c>
      <c r="B823" s="4">
        <v>8.8028169014084509E-4</v>
      </c>
    </row>
    <row r="824" spans="1:2" x14ac:dyDescent="0.3">
      <c r="A824" s="3" t="s">
        <v>1122</v>
      </c>
      <c r="B824" s="4">
        <v>8.8028169014084509E-4</v>
      </c>
    </row>
    <row r="825" spans="1:2" x14ac:dyDescent="0.3">
      <c r="A825" s="3" t="s">
        <v>1125</v>
      </c>
      <c r="B825" s="4">
        <v>8.8028169014084509E-4</v>
      </c>
    </row>
    <row r="826" spans="1:2" x14ac:dyDescent="0.3">
      <c r="A826" s="3" t="s">
        <v>1127</v>
      </c>
      <c r="B826" s="4">
        <v>8.8028169014084509E-4</v>
      </c>
    </row>
    <row r="827" spans="1:2" x14ac:dyDescent="0.3">
      <c r="A827" s="3" t="s">
        <v>1128</v>
      </c>
      <c r="B827" s="4">
        <v>8.8028169014084509E-4</v>
      </c>
    </row>
    <row r="828" spans="1:2" x14ac:dyDescent="0.3">
      <c r="A828" s="3" t="s">
        <v>1129</v>
      </c>
      <c r="B828" s="4">
        <v>8.8028169014084509E-4</v>
      </c>
    </row>
    <row r="829" spans="1:2" x14ac:dyDescent="0.3">
      <c r="A829" s="3" t="s">
        <v>1130</v>
      </c>
      <c r="B829" s="4">
        <v>8.8028169014084509E-4</v>
      </c>
    </row>
    <row r="830" spans="1:2" x14ac:dyDescent="0.3">
      <c r="A830" s="3" t="s">
        <v>1132</v>
      </c>
      <c r="B830" s="4">
        <v>8.8028169014084509E-4</v>
      </c>
    </row>
    <row r="831" spans="1:2" x14ac:dyDescent="0.3">
      <c r="A831" s="3" t="s">
        <v>1133</v>
      </c>
      <c r="B831" s="4">
        <v>8.8028169014084509E-4</v>
      </c>
    </row>
    <row r="832" spans="1:2" x14ac:dyDescent="0.3">
      <c r="A832" s="3" t="s">
        <v>1134</v>
      </c>
      <c r="B832" s="4">
        <v>8.8028169014084509E-4</v>
      </c>
    </row>
    <row r="833" spans="1:2" x14ac:dyDescent="0.3">
      <c r="A833" s="3" t="s">
        <v>1136</v>
      </c>
      <c r="B833" s="4">
        <v>8.8028169014084509E-4</v>
      </c>
    </row>
    <row r="834" spans="1:2" x14ac:dyDescent="0.3">
      <c r="A834" s="3" t="s">
        <v>1138</v>
      </c>
      <c r="B834" s="4">
        <v>8.8028169014084509E-4</v>
      </c>
    </row>
    <row r="835" spans="1:2" x14ac:dyDescent="0.3">
      <c r="A835" s="3" t="s">
        <v>1139</v>
      </c>
      <c r="B835" s="4">
        <v>8.8028169014084509E-4</v>
      </c>
    </row>
    <row r="836" spans="1:2" x14ac:dyDescent="0.3">
      <c r="A836" s="3" t="s">
        <v>1140</v>
      </c>
      <c r="B836" s="4">
        <v>8.8028169014084509E-4</v>
      </c>
    </row>
    <row r="837" spans="1:2" x14ac:dyDescent="0.3">
      <c r="A837" s="3" t="s">
        <v>1141</v>
      </c>
      <c r="B837" s="4">
        <v>8.8028169014084509E-4</v>
      </c>
    </row>
    <row r="838" spans="1:2" x14ac:dyDescent="0.3">
      <c r="A838" s="3" t="s">
        <v>1142</v>
      </c>
      <c r="B838" s="4">
        <v>8.8028169014084509E-4</v>
      </c>
    </row>
    <row r="839" spans="1:2" x14ac:dyDescent="0.3">
      <c r="A839" s="3" t="s">
        <v>1145</v>
      </c>
      <c r="B839" s="4">
        <v>8.8028169014084509E-4</v>
      </c>
    </row>
    <row r="840" spans="1:2" x14ac:dyDescent="0.3">
      <c r="A840" s="3" t="s">
        <v>1146</v>
      </c>
      <c r="B840" s="4">
        <v>8.8028169014084509E-4</v>
      </c>
    </row>
    <row r="841" spans="1:2" x14ac:dyDescent="0.3">
      <c r="A841" s="3" t="s">
        <v>1147</v>
      </c>
      <c r="B841" s="4">
        <v>8.8028169014084509E-4</v>
      </c>
    </row>
    <row r="842" spans="1:2" x14ac:dyDescent="0.3">
      <c r="A842" s="3" t="s">
        <v>1148</v>
      </c>
      <c r="B842" s="4">
        <v>8.8028169014084509E-4</v>
      </c>
    </row>
    <row r="843" spans="1:2" x14ac:dyDescent="0.3">
      <c r="A843" s="3" t="s">
        <v>1150</v>
      </c>
      <c r="B843" s="4">
        <v>8.8028169014084509E-4</v>
      </c>
    </row>
    <row r="844" spans="1:2" x14ac:dyDescent="0.3">
      <c r="A844" s="3" t="s">
        <v>1151</v>
      </c>
      <c r="B844" s="4">
        <v>8.8028169014084509E-4</v>
      </c>
    </row>
    <row r="845" spans="1:2" x14ac:dyDescent="0.3">
      <c r="A845" s="3" t="s">
        <v>1153</v>
      </c>
      <c r="B845" s="4">
        <v>8.8028169014084509E-4</v>
      </c>
    </row>
    <row r="846" spans="1:2" x14ac:dyDescent="0.3">
      <c r="A846" s="3" t="s">
        <v>1155</v>
      </c>
      <c r="B846" s="4">
        <v>8.8028169014084509E-4</v>
      </c>
    </row>
    <row r="847" spans="1:2" x14ac:dyDescent="0.3">
      <c r="A847" s="3" t="s">
        <v>1156</v>
      </c>
      <c r="B847" s="4">
        <v>8.8028169014084509E-4</v>
      </c>
    </row>
    <row r="848" spans="1:2" x14ac:dyDescent="0.3">
      <c r="A848" s="3" t="s">
        <v>1157</v>
      </c>
      <c r="B848" s="4">
        <v>8.8028169014084509E-4</v>
      </c>
    </row>
    <row r="849" spans="1:2" x14ac:dyDescent="0.3">
      <c r="A849" s="3" t="s">
        <v>1158</v>
      </c>
      <c r="B849" s="4">
        <v>8.8028169014084509E-4</v>
      </c>
    </row>
    <row r="850" spans="1:2" x14ac:dyDescent="0.3">
      <c r="A850" s="3" t="s">
        <v>1160</v>
      </c>
      <c r="B850" s="4">
        <v>8.8028169014084509E-4</v>
      </c>
    </row>
    <row r="851" spans="1:2" x14ac:dyDescent="0.3">
      <c r="A851" s="3" t="s">
        <v>1161</v>
      </c>
      <c r="B851" s="4">
        <v>8.8028169014084509E-4</v>
      </c>
    </row>
    <row r="852" spans="1:2" x14ac:dyDescent="0.3">
      <c r="A852" s="3" t="s">
        <v>1162</v>
      </c>
      <c r="B852" s="4">
        <v>8.8028169014084509E-4</v>
      </c>
    </row>
    <row r="853" spans="1:2" x14ac:dyDescent="0.3">
      <c r="A853" s="3" t="s">
        <v>1166</v>
      </c>
      <c r="B853" s="4">
        <v>8.8028169014084509E-4</v>
      </c>
    </row>
    <row r="854" spans="1:2" x14ac:dyDescent="0.3">
      <c r="A854" s="3" t="s">
        <v>1167</v>
      </c>
      <c r="B854" s="4">
        <v>8.8028169014084509E-4</v>
      </c>
    </row>
    <row r="855" spans="1:2" x14ac:dyDescent="0.3">
      <c r="A855" s="3" t="s">
        <v>1168</v>
      </c>
      <c r="B855" s="4">
        <v>8.8028169014084509E-4</v>
      </c>
    </row>
    <row r="856" spans="1:2" x14ac:dyDescent="0.3">
      <c r="A856" s="3" t="s">
        <v>1169</v>
      </c>
      <c r="B856" s="4">
        <v>8.8028169014084509E-4</v>
      </c>
    </row>
    <row r="857" spans="1:2" x14ac:dyDescent="0.3">
      <c r="A857" s="3" t="s">
        <v>1170</v>
      </c>
      <c r="B857" s="4">
        <v>8.8028169014084509E-4</v>
      </c>
    </row>
    <row r="858" spans="1:2" x14ac:dyDescent="0.3">
      <c r="A858" s="3" t="s">
        <v>1171</v>
      </c>
      <c r="B858" s="4">
        <v>8.8028169014084509E-4</v>
      </c>
    </row>
    <row r="859" spans="1:2" x14ac:dyDescent="0.3">
      <c r="A859" s="3" t="s">
        <v>1173</v>
      </c>
      <c r="B859" s="4">
        <v>8.8028169014084509E-4</v>
      </c>
    </row>
    <row r="860" spans="1:2" x14ac:dyDescent="0.3">
      <c r="A860" s="3" t="s">
        <v>1174</v>
      </c>
      <c r="B860" s="4">
        <v>8.8028169014084509E-4</v>
      </c>
    </row>
    <row r="861" spans="1:2" x14ac:dyDescent="0.3">
      <c r="A861" s="3" t="s">
        <v>1176</v>
      </c>
      <c r="B861" s="4">
        <v>8.8028169014084509E-4</v>
      </c>
    </row>
    <row r="862" spans="1:2" x14ac:dyDescent="0.3">
      <c r="A862" s="3" t="s">
        <v>1177</v>
      </c>
      <c r="B862" s="4">
        <v>8.8028169014084509E-4</v>
      </c>
    </row>
    <row r="863" spans="1:2" x14ac:dyDescent="0.3">
      <c r="A863" s="3" t="s">
        <v>1178</v>
      </c>
      <c r="B863" s="4">
        <v>8.8028169014084509E-4</v>
      </c>
    </row>
    <row r="864" spans="1:2" x14ac:dyDescent="0.3">
      <c r="A864" s="3" t="s">
        <v>1179</v>
      </c>
      <c r="B864" s="4">
        <v>8.8028169014084509E-4</v>
      </c>
    </row>
    <row r="865" spans="1:2" x14ac:dyDescent="0.3">
      <c r="A865" s="3" t="s">
        <v>1180</v>
      </c>
      <c r="B865" s="4">
        <v>8.8028169014084509E-4</v>
      </c>
    </row>
    <row r="866" spans="1:2" x14ac:dyDescent="0.3">
      <c r="A866" s="3" t="s">
        <v>1181</v>
      </c>
      <c r="B866" s="4">
        <v>8.8028169014084509E-4</v>
      </c>
    </row>
    <row r="867" spans="1:2" x14ac:dyDescent="0.3">
      <c r="A867" s="3" t="s">
        <v>1182</v>
      </c>
      <c r="B867" s="4">
        <v>8.8028169014084509E-4</v>
      </c>
    </row>
    <row r="868" spans="1:2" x14ac:dyDescent="0.3">
      <c r="A868" s="3" t="s">
        <v>1183</v>
      </c>
      <c r="B868" s="4">
        <v>8.8028169014084509E-4</v>
      </c>
    </row>
    <row r="869" spans="1:2" x14ac:dyDescent="0.3">
      <c r="A869" s="3" t="s">
        <v>1184</v>
      </c>
      <c r="B869" s="4">
        <v>8.8028169014084509E-4</v>
      </c>
    </row>
    <row r="870" spans="1:2" x14ac:dyDescent="0.3">
      <c r="A870" s="3" t="s">
        <v>1186</v>
      </c>
      <c r="B870" s="4">
        <v>8.8028169014084509E-4</v>
      </c>
    </row>
    <row r="871" spans="1:2" x14ac:dyDescent="0.3">
      <c r="A871" s="3" t="s">
        <v>1187</v>
      </c>
      <c r="B871" s="4">
        <v>8.8028169014084509E-4</v>
      </c>
    </row>
    <row r="872" spans="1:2" x14ac:dyDescent="0.3">
      <c r="A872" s="3" t="s">
        <v>1189</v>
      </c>
      <c r="B872" s="4">
        <v>8.8028169014084509E-4</v>
      </c>
    </row>
    <row r="873" spans="1:2" x14ac:dyDescent="0.3">
      <c r="A873" s="3" t="s">
        <v>1190</v>
      </c>
      <c r="B873" s="4">
        <v>8.8028169014084509E-4</v>
      </c>
    </row>
    <row r="874" spans="1:2" x14ac:dyDescent="0.3">
      <c r="A874" s="3" t="s">
        <v>1191</v>
      </c>
      <c r="B874" s="4">
        <v>8.8028169014084509E-4</v>
      </c>
    </row>
    <row r="875" spans="1:2" x14ac:dyDescent="0.3">
      <c r="A875" s="3" t="s">
        <v>1192</v>
      </c>
      <c r="B875" s="4">
        <v>8.8028169014084509E-4</v>
      </c>
    </row>
    <row r="876" spans="1:2" x14ac:dyDescent="0.3">
      <c r="A876" s="3" t="s">
        <v>1193</v>
      </c>
      <c r="B876" s="4">
        <v>8.8028169014084509E-4</v>
      </c>
    </row>
    <row r="877" spans="1:2" x14ac:dyDescent="0.3">
      <c r="A877" s="3" t="s">
        <v>1197</v>
      </c>
      <c r="B877" s="4">
        <v>8.8028169014084509E-4</v>
      </c>
    </row>
    <row r="878" spans="1:2" x14ac:dyDescent="0.3">
      <c r="A878" s="3" t="s">
        <v>1198</v>
      </c>
      <c r="B878" s="4">
        <v>8.8028169014084509E-4</v>
      </c>
    </row>
    <row r="879" spans="1:2" x14ac:dyDescent="0.3">
      <c r="A879" s="3" t="s">
        <v>1200</v>
      </c>
      <c r="B879" s="4">
        <v>8.8028169014084509E-4</v>
      </c>
    </row>
    <row r="880" spans="1:2" x14ac:dyDescent="0.3">
      <c r="A880" s="3" t="s">
        <v>1203</v>
      </c>
      <c r="B880" s="4">
        <v>8.8028169014084509E-4</v>
      </c>
    </row>
    <row r="881" spans="1:2" x14ac:dyDescent="0.3">
      <c r="A881" s="3" t="s">
        <v>1204</v>
      </c>
      <c r="B881" s="4">
        <v>8.8028169014084509E-4</v>
      </c>
    </row>
    <row r="882" spans="1:2" x14ac:dyDescent="0.3">
      <c r="A882" s="3" t="s">
        <v>1205</v>
      </c>
      <c r="B882" s="4">
        <v>8.8028169014084509E-4</v>
      </c>
    </row>
    <row r="883" spans="1:2" x14ac:dyDescent="0.3">
      <c r="A883" s="3" t="s">
        <v>1206</v>
      </c>
      <c r="B883" s="4">
        <v>8.8028169014084509E-4</v>
      </c>
    </row>
    <row r="884" spans="1:2" x14ac:dyDescent="0.3">
      <c r="A884" s="3" t="s">
        <v>1207</v>
      </c>
      <c r="B884" s="4">
        <v>8.8028169014084509E-4</v>
      </c>
    </row>
    <row r="885" spans="1:2" x14ac:dyDescent="0.3">
      <c r="A885" s="3" t="s">
        <v>1208</v>
      </c>
      <c r="B885" s="4">
        <v>8.8028169014084509E-4</v>
      </c>
    </row>
    <row r="886" spans="1:2" x14ac:dyDescent="0.3">
      <c r="A886" s="3" t="s">
        <v>1211</v>
      </c>
      <c r="B886" s="4">
        <v>8.8028169014084509E-4</v>
      </c>
    </row>
    <row r="887" spans="1:2" x14ac:dyDescent="0.3">
      <c r="A887" s="3" t="s">
        <v>1212</v>
      </c>
      <c r="B887" s="4">
        <v>8.8028169014084509E-4</v>
      </c>
    </row>
    <row r="888" spans="1:2" x14ac:dyDescent="0.3">
      <c r="A888" s="3" t="s">
        <v>1214</v>
      </c>
      <c r="B888" s="4">
        <v>8.8028169014084509E-4</v>
      </c>
    </row>
    <row r="889" spans="1:2" x14ac:dyDescent="0.3">
      <c r="A889" s="3" t="s">
        <v>1215</v>
      </c>
      <c r="B889" s="4">
        <v>8.8028169014084509E-4</v>
      </c>
    </row>
    <row r="890" spans="1:2" x14ac:dyDescent="0.3">
      <c r="A890" s="3" t="s">
        <v>1216</v>
      </c>
      <c r="B890" s="4">
        <v>8.8028169014084509E-4</v>
      </c>
    </row>
    <row r="891" spans="1:2" x14ac:dyDescent="0.3">
      <c r="A891" s="3" t="s">
        <v>1217</v>
      </c>
      <c r="B891" s="4">
        <v>8.8028169014084509E-4</v>
      </c>
    </row>
    <row r="892" spans="1:2" x14ac:dyDescent="0.3">
      <c r="A892" s="3" t="s">
        <v>1218</v>
      </c>
      <c r="B892" s="4">
        <v>8.8028169014084509E-4</v>
      </c>
    </row>
    <row r="893" spans="1:2" x14ac:dyDescent="0.3">
      <c r="A893" s="3" t="s">
        <v>1219</v>
      </c>
      <c r="B893" s="4">
        <v>8.8028169014084509E-4</v>
      </c>
    </row>
    <row r="894" spans="1:2" x14ac:dyDescent="0.3">
      <c r="A894" s="3" t="s">
        <v>1221</v>
      </c>
      <c r="B894" s="4">
        <v>8.8028169014084509E-4</v>
      </c>
    </row>
    <row r="895" spans="1:2" x14ac:dyDescent="0.3">
      <c r="A895" s="3" t="s">
        <v>1223</v>
      </c>
      <c r="B895" s="4">
        <v>8.8028169014084509E-4</v>
      </c>
    </row>
    <row r="896" spans="1:2" x14ac:dyDescent="0.3">
      <c r="A896" s="3" t="s">
        <v>1224</v>
      </c>
      <c r="B896" s="4">
        <v>8.8028169014084509E-4</v>
      </c>
    </row>
    <row r="897" spans="1:2" x14ac:dyDescent="0.3">
      <c r="A897" s="3" t="s">
        <v>1225</v>
      </c>
      <c r="B897" s="4">
        <v>8.8028169014084509E-4</v>
      </c>
    </row>
    <row r="898" spans="1:2" x14ac:dyDescent="0.3">
      <c r="A898" s="3" t="s">
        <v>1226</v>
      </c>
      <c r="B898" s="4">
        <v>8.8028169014084509E-4</v>
      </c>
    </row>
    <row r="899" spans="1:2" x14ac:dyDescent="0.3">
      <c r="A899" s="3" t="s">
        <v>1227</v>
      </c>
      <c r="B899" s="4">
        <v>8.8028169014084509E-4</v>
      </c>
    </row>
    <row r="900" spans="1:2" x14ac:dyDescent="0.3">
      <c r="A900" s="3" t="s">
        <v>1228</v>
      </c>
      <c r="B900" s="4">
        <v>8.8028169014084509E-4</v>
      </c>
    </row>
    <row r="901" spans="1:2" x14ac:dyDescent="0.3">
      <c r="A901" s="3" t="s">
        <v>1229</v>
      </c>
      <c r="B901" s="4">
        <v>8.8028169014084509E-4</v>
      </c>
    </row>
    <row r="902" spans="1:2" x14ac:dyDescent="0.3">
      <c r="A902" s="3" t="s">
        <v>1230</v>
      </c>
      <c r="B902" s="4">
        <v>8.8028169014084509E-4</v>
      </c>
    </row>
    <row r="903" spans="1:2" x14ac:dyDescent="0.3">
      <c r="A903" s="3" t="s">
        <v>1231</v>
      </c>
      <c r="B903" s="4">
        <v>8.8028169014084509E-4</v>
      </c>
    </row>
    <row r="904" spans="1:2" x14ac:dyDescent="0.3">
      <c r="A904" s="3" t="s">
        <v>1232</v>
      </c>
      <c r="B904" s="4">
        <v>8.8028169014084509E-4</v>
      </c>
    </row>
    <row r="905" spans="1:2" x14ac:dyDescent="0.3">
      <c r="A905" s="3" t="s">
        <v>1233</v>
      </c>
      <c r="B905" s="4">
        <v>8.8028169014084509E-4</v>
      </c>
    </row>
    <row r="906" spans="1:2" x14ac:dyDescent="0.3">
      <c r="A906" s="3" t="s">
        <v>1234</v>
      </c>
      <c r="B906" s="4">
        <v>8.8028169014084509E-4</v>
      </c>
    </row>
    <row r="907" spans="1:2" x14ac:dyDescent="0.3">
      <c r="A907" s="3" t="s">
        <v>1235</v>
      </c>
      <c r="B907" s="4">
        <v>8.8028169014084509E-4</v>
      </c>
    </row>
    <row r="908" spans="1:2" x14ac:dyDescent="0.3">
      <c r="A908" s="3" t="s">
        <v>1236</v>
      </c>
      <c r="B908" s="4">
        <v>8.8028169014084509E-4</v>
      </c>
    </row>
    <row r="909" spans="1:2" x14ac:dyDescent="0.3">
      <c r="A909" s="3" t="s">
        <v>1237</v>
      </c>
      <c r="B909" s="4">
        <v>8.8028169014084509E-4</v>
      </c>
    </row>
    <row r="910" spans="1:2" x14ac:dyDescent="0.3">
      <c r="A910" s="3" t="s">
        <v>1238</v>
      </c>
      <c r="B910" s="4">
        <v>8.8028169014084509E-4</v>
      </c>
    </row>
    <row r="911" spans="1:2" x14ac:dyDescent="0.3">
      <c r="A911" s="3" t="s">
        <v>1239</v>
      </c>
      <c r="B911" s="4">
        <v>8.8028169014084509E-4</v>
      </c>
    </row>
    <row r="912" spans="1:2" x14ac:dyDescent="0.3">
      <c r="A912" s="3" t="s">
        <v>1240</v>
      </c>
      <c r="B912" s="4">
        <v>8.8028169014084509E-4</v>
      </c>
    </row>
    <row r="913" spans="1:2" x14ac:dyDescent="0.3">
      <c r="A913" s="3" t="s">
        <v>1242</v>
      </c>
      <c r="B913" s="4">
        <v>8.8028169014084509E-4</v>
      </c>
    </row>
    <row r="914" spans="1:2" x14ac:dyDescent="0.3">
      <c r="A914" s="3" t="s">
        <v>1243</v>
      </c>
      <c r="B914" s="4">
        <v>8.8028169014084509E-4</v>
      </c>
    </row>
    <row r="915" spans="1:2" x14ac:dyDescent="0.3">
      <c r="A915" s="3" t="s">
        <v>1245</v>
      </c>
      <c r="B915" s="4">
        <v>8.8028169014084509E-4</v>
      </c>
    </row>
    <row r="916" spans="1:2" x14ac:dyDescent="0.3">
      <c r="A916" s="3" t="s">
        <v>1246</v>
      </c>
      <c r="B916" s="4">
        <v>8.8028169014084509E-4</v>
      </c>
    </row>
    <row r="917" spans="1:2" x14ac:dyDescent="0.3">
      <c r="A917" s="3" t="s">
        <v>1247</v>
      </c>
      <c r="B917" s="4">
        <v>8.8028169014084509E-4</v>
      </c>
    </row>
    <row r="918" spans="1:2" x14ac:dyDescent="0.3">
      <c r="A918" s="3" t="s">
        <v>1248</v>
      </c>
      <c r="B918" s="4">
        <v>8.8028169014084509E-4</v>
      </c>
    </row>
    <row r="919" spans="1:2" x14ac:dyDescent="0.3">
      <c r="A919" s="3" t="s">
        <v>1251</v>
      </c>
      <c r="B919" s="4">
        <v>8.8028169014084509E-4</v>
      </c>
    </row>
    <row r="920" spans="1:2" x14ac:dyDescent="0.3">
      <c r="A920" s="3" t="s">
        <v>1252</v>
      </c>
      <c r="B920" s="4">
        <v>8.8028169014084509E-4</v>
      </c>
    </row>
    <row r="921" spans="1:2" x14ac:dyDescent="0.3">
      <c r="A921" s="3" t="s">
        <v>1253</v>
      </c>
      <c r="B921" s="4">
        <v>8.8028169014084509E-4</v>
      </c>
    </row>
    <row r="922" spans="1:2" x14ac:dyDescent="0.3">
      <c r="A922" s="3" t="s">
        <v>1255</v>
      </c>
      <c r="B922" s="4">
        <v>8.8028169014084509E-4</v>
      </c>
    </row>
    <row r="923" spans="1:2" x14ac:dyDescent="0.3">
      <c r="A923" s="3" t="s">
        <v>1256</v>
      </c>
      <c r="B923" s="4">
        <v>8.8028169014084509E-4</v>
      </c>
    </row>
    <row r="924" spans="1:2" x14ac:dyDescent="0.3">
      <c r="A924" s="3" t="s">
        <v>1258</v>
      </c>
      <c r="B924" s="4">
        <v>8.8028169014084509E-4</v>
      </c>
    </row>
    <row r="925" spans="1:2" x14ac:dyDescent="0.3">
      <c r="A925" s="3" t="s">
        <v>1260</v>
      </c>
      <c r="B925" s="4">
        <v>8.8028169014084509E-4</v>
      </c>
    </row>
    <row r="926" spans="1:2" x14ac:dyDescent="0.3">
      <c r="A926" s="3" t="s">
        <v>1261</v>
      </c>
      <c r="B926" s="4">
        <v>8.8028169014084509E-4</v>
      </c>
    </row>
    <row r="927" spans="1:2" x14ac:dyDescent="0.3">
      <c r="A927" s="3" t="s">
        <v>1263</v>
      </c>
      <c r="B927" s="4">
        <v>8.8028169014084509E-4</v>
      </c>
    </row>
    <row r="928" spans="1:2" x14ac:dyDescent="0.3">
      <c r="A928" s="3" t="s">
        <v>1264</v>
      </c>
      <c r="B928" s="4">
        <v>8.8028169014084509E-4</v>
      </c>
    </row>
    <row r="929" spans="1:2" x14ac:dyDescent="0.3">
      <c r="A929" s="3" t="s">
        <v>1265</v>
      </c>
      <c r="B929" s="4">
        <v>8.8028169014084509E-4</v>
      </c>
    </row>
    <row r="930" spans="1:2" x14ac:dyDescent="0.3">
      <c r="A930" s="3" t="s">
        <v>1266</v>
      </c>
      <c r="B930" s="4">
        <v>8.8028169014084509E-4</v>
      </c>
    </row>
    <row r="931" spans="1:2" x14ac:dyDescent="0.3">
      <c r="A931" s="3" t="s">
        <v>1267</v>
      </c>
      <c r="B931" s="4">
        <v>8.8028169014084509E-4</v>
      </c>
    </row>
    <row r="932" spans="1:2" x14ac:dyDescent="0.3">
      <c r="A932" s="3" t="s">
        <v>1269</v>
      </c>
      <c r="B932" s="4">
        <v>8.8028169014084509E-4</v>
      </c>
    </row>
    <row r="933" spans="1:2" x14ac:dyDescent="0.3">
      <c r="A933" s="3" t="s">
        <v>1271</v>
      </c>
      <c r="B933" s="4">
        <v>8.8028169014084509E-4</v>
      </c>
    </row>
    <row r="934" spans="1:2" x14ac:dyDescent="0.3">
      <c r="A934" s="3" t="s">
        <v>1273</v>
      </c>
      <c r="B934" s="4">
        <v>8.8028169014084509E-4</v>
      </c>
    </row>
    <row r="935" spans="1:2" x14ac:dyDescent="0.3">
      <c r="A935" s="3" t="s">
        <v>1274</v>
      </c>
      <c r="B935" s="4">
        <v>8.8028169014084509E-4</v>
      </c>
    </row>
    <row r="936" spans="1:2" x14ac:dyDescent="0.3">
      <c r="A936" s="3" t="s">
        <v>1275</v>
      </c>
      <c r="B936" s="4">
        <v>8.8028169014084509E-4</v>
      </c>
    </row>
    <row r="937" spans="1:2" x14ac:dyDescent="0.3">
      <c r="A937" s="3" t="s">
        <v>1276</v>
      </c>
      <c r="B937" s="4">
        <v>8.8028169014084509E-4</v>
      </c>
    </row>
    <row r="938" spans="1:2" x14ac:dyDescent="0.3">
      <c r="A938" s="3" t="s">
        <v>1277</v>
      </c>
      <c r="B938" s="4">
        <v>8.8028169014084509E-4</v>
      </c>
    </row>
    <row r="939" spans="1:2" x14ac:dyDescent="0.3">
      <c r="A939" s="3" t="s">
        <v>1278</v>
      </c>
      <c r="B939" s="4">
        <v>8.8028169014084509E-4</v>
      </c>
    </row>
    <row r="940" spans="1:2" x14ac:dyDescent="0.3">
      <c r="A940" s="3" t="s">
        <v>1283</v>
      </c>
      <c r="B940" s="4">
        <v>8.8028169014084509E-4</v>
      </c>
    </row>
    <row r="941" spans="1:2" x14ac:dyDescent="0.3">
      <c r="A941" s="3" t="s">
        <v>1284</v>
      </c>
      <c r="B941" s="4">
        <v>8.8028169014084509E-4</v>
      </c>
    </row>
    <row r="942" spans="1:2" x14ac:dyDescent="0.3">
      <c r="A942" s="3" t="s">
        <v>1286</v>
      </c>
      <c r="B942" s="4">
        <v>8.8028169014084509E-4</v>
      </c>
    </row>
    <row r="943" spans="1:2" x14ac:dyDescent="0.3">
      <c r="A943" s="3" t="s">
        <v>1287</v>
      </c>
      <c r="B943" s="4">
        <v>8.8028169014084509E-4</v>
      </c>
    </row>
    <row r="944" spans="1:2" x14ac:dyDescent="0.3">
      <c r="A944" s="3" t="s">
        <v>1288</v>
      </c>
      <c r="B944" s="4">
        <v>8.8028169014084509E-4</v>
      </c>
    </row>
    <row r="945" spans="1:2" x14ac:dyDescent="0.3">
      <c r="A945" s="3" t="s">
        <v>1289</v>
      </c>
      <c r="B945" s="4">
        <v>8.8028169014084509E-4</v>
      </c>
    </row>
    <row r="946" spans="1:2" x14ac:dyDescent="0.3">
      <c r="A946" s="3" t="s">
        <v>1291</v>
      </c>
      <c r="B946" s="4">
        <v>8.8028169014084509E-4</v>
      </c>
    </row>
    <row r="947" spans="1:2" x14ac:dyDescent="0.3">
      <c r="A947" s="3" t="s">
        <v>1292</v>
      </c>
      <c r="B947" s="4">
        <v>8.8028169014084509E-4</v>
      </c>
    </row>
    <row r="948" spans="1:2" x14ac:dyDescent="0.3">
      <c r="A948" s="3" t="s">
        <v>1294</v>
      </c>
      <c r="B948" s="4">
        <v>8.8028169014084509E-4</v>
      </c>
    </row>
    <row r="949" spans="1:2" x14ac:dyDescent="0.3">
      <c r="A949" s="3" t="s">
        <v>1297</v>
      </c>
      <c r="B949" s="4">
        <v>8.8028169014084509E-4</v>
      </c>
    </row>
    <row r="950" spans="1:2" x14ac:dyDescent="0.3">
      <c r="A950" s="3" t="s">
        <v>1298</v>
      </c>
      <c r="B950" s="4">
        <v>8.8028169014084509E-4</v>
      </c>
    </row>
    <row r="951" spans="1:2" x14ac:dyDescent="0.3">
      <c r="A951" s="3" t="s">
        <v>1300</v>
      </c>
      <c r="B951" s="4">
        <v>8.8028169014084509E-4</v>
      </c>
    </row>
    <row r="952" spans="1:2" x14ac:dyDescent="0.3">
      <c r="A952" s="3" t="s">
        <v>1301</v>
      </c>
      <c r="B952" s="4">
        <v>8.8028169014084509E-4</v>
      </c>
    </row>
    <row r="953" spans="1:2" x14ac:dyDescent="0.3">
      <c r="A953" s="3" t="s">
        <v>1302</v>
      </c>
      <c r="B953" s="4">
        <v>8.8028169014084509E-4</v>
      </c>
    </row>
    <row r="954" spans="1:2" x14ac:dyDescent="0.3">
      <c r="A954" s="3" t="s">
        <v>1303</v>
      </c>
      <c r="B954" s="4">
        <v>8.8028169014084509E-4</v>
      </c>
    </row>
    <row r="955" spans="1:2" x14ac:dyDescent="0.3">
      <c r="A955" s="3" t="s">
        <v>1305</v>
      </c>
      <c r="B955" s="4">
        <v>8.8028169014084509E-4</v>
      </c>
    </row>
    <row r="956" spans="1:2" x14ac:dyDescent="0.3">
      <c r="A956" s="3" t="s">
        <v>1306</v>
      </c>
      <c r="B956" s="4">
        <v>8.8028169014084509E-4</v>
      </c>
    </row>
    <row r="957" spans="1:2" x14ac:dyDescent="0.3">
      <c r="A957" s="3" t="s">
        <v>1307</v>
      </c>
      <c r="B957" s="4">
        <v>8.8028169014084509E-4</v>
      </c>
    </row>
    <row r="958" spans="1:2" x14ac:dyDescent="0.3">
      <c r="A958" s="3" t="s">
        <v>1308</v>
      </c>
      <c r="B958" s="4">
        <v>8.8028169014084509E-4</v>
      </c>
    </row>
    <row r="959" spans="1:2" x14ac:dyDescent="0.3">
      <c r="A959" s="3" t="s">
        <v>1309</v>
      </c>
      <c r="B959" s="4">
        <v>8.8028169014084509E-4</v>
      </c>
    </row>
    <row r="960" spans="1:2" x14ac:dyDescent="0.3">
      <c r="A960" s="3" t="s">
        <v>1312</v>
      </c>
      <c r="B960" s="4">
        <v>8.8028169014084509E-4</v>
      </c>
    </row>
    <row r="961" spans="1:2" x14ac:dyDescent="0.3">
      <c r="A961" s="3" t="s">
        <v>1313</v>
      </c>
      <c r="B961" s="4">
        <v>8.8028169014084509E-4</v>
      </c>
    </row>
    <row r="962" spans="1:2" x14ac:dyDescent="0.3">
      <c r="A962" s="3" t="s">
        <v>1316</v>
      </c>
      <c r="B962" s="4">
        <v>8.8028169014084509E-4</v>
      </c>
    </row>
    <row r="963" spans="1:2" x14ac:dyDescent="0.3">
      <c r="A963" s="3" t="s">
        <v>1317</v>
      </c>
      <c r="B963" s="4">
        <v>8.8028169014084509E-4</v>
      </c>
    </row>
    <row r="964" spans="1:2" x14ac:dyDescent="0.3">
      <c r="A964" s="3" t="s">
        <v>1318</v>
      </c>
      <c r="B964" s="4">
        <v>8.8028169014084509E-4</v>
      </c>
    </row>
    <row r="965" spans="1:2" x14ac:dyDescent="0.3">
      <c r="A965" s="3" t="s">
        <v>1319</v>
      </c>
      <c r="B965" s="4">
        <v>8.8028169014084509E-4</v>
      </c>
    </row>
    <row r="966" spans="1:2" x14ac:dyDescent="0.3">
      <c r="A966" s="3" t="s">
        <v>1320</v>
      </c>
      <c r="B966" s="4">
        <v>8.8028169014084509E-4</v>
      </c>
    </row>
    <row r="967" spans="1:2" x14ac:dyDescent="0.3">
      <c r="A967" s="3" t="s">
        <v>1321</v>
      </c>
      <c r="B967" s="4">
        <v>8.8028169014084509E-4</v>
      </c>
    </row>
    <row r="968" spans="1:2" x14ac:dyDescent="0.3">
      <c r="A968" s="3" t="s">
        <v>1325</v>
      </c>
      <c r="B968" s="4">
        <v>8.8028169014084509E-4</v>
      </c>
    </row>
    <row r="969" spans="1:2" x14ac:dyDescent="0.3">
      <c r="A969" s="3" t="s">
        <v>1329</v>
      </c>
      <c r="B969" s="4">
        <v>8.8028169014084509E-4</v>
      </c>
    </row>
    <row r="970" spans="1:2" x14ac:dyDescent="0.3">
      <c r="A970" s="3" t="s">
        <v>1330</v>
      </c>
      <c r="B970" s="4">
        <v>8.8028169014084509E-4</v>
      </c>
    </row>
    <row r="971" spans="1:2" x14ac:dyDescent="0.3">
      <c r="A971" s="3" t="s">
        <v>1332</v>
      </c>
      <c r="B971" s="4">
        <v>8.8028169014084509E-4</v>
      </c>
    </row>
    <row r="972" spans="1:2" x14ac:dyDescent="0.3">
      <c r="A972" s="3" t="s">
        <v>1333</v>
      </c>
      <c r="B972" s="4">
        <v>8.8028169014084509E-4</v>
      </c>
    </row>
    <row r="973" spans="1:2" x14ac:dyDescent="0.3">
      <c r="A973" s="3" t="s">
        <v>1334</v>
      </c>
      <c r="B973" s="4">
        <v>8.8028169014084509E-4</v>
      </c>
    </row>
    <row r="974" spans="1:2" x14ac:dyDescent="0.3">
      <c r="A974" s="3" t="s">
        <v>1335</v>
      </c>
      <c r="B974" s="4">
        <v>8.8028169014084509E-4</v>
      </c>
    </row>
    <row r="975" spans="1:2" x14ac:dyDescent="0.3">
      <c r="A975" s="3" t="s">
        <v>1336</v>
      </c>
      <c r="B975" s="4">
        <v>8.8028169014084509E-4</v>
      </c>
    </row>
    <row r="976" spans="1:2" x14ac:dyDescent="0.3">
      <c r="A976" s="3" t="s">
        <v>1338</v>
      </c>
      <c r="B976" s="4">
        <v>8.8028169014084509E-4</v>
      </c>
    </row>
    <row r="977" spans="1:2" x14ac:dyDescent="0.3">
      <c r="A977" s="3" t="s">
        <v>1339</v>
      </c>
      <c r="B977" s="4">
        <v>8.8028169014084509E-4</v>
      </c>
    </row>
    <row r="978" spans="1:2" x14ac:dyDescent="0.3">
      <c r="A978" s="3" t="s">
        <v>1340</v>
      </c>
      <c r="B978" s="4">
        <v>8.8028169014084509E-4</v>
      </c>
    </row>
    <row r="979" spans="1:2" x14ac:dyDescent="0.3">
      <c r="A979" s="3" t="s">
        <v>1341</v>
      </c>
      <c r="B979" s="4">
        <v>8.8028169014084509E-4</v>
      </c>
    </row>
    <row r="980" spans="1:2" x14ac:dyDescent="0.3">
      <c r="A980" s="3" t="s">
        <v>1343</v>
      </c>
      <c r="B980" s="4">
        <v>8.8028169014084509E-4</v>
      </c>
    </row>
    <row r="981" spans="1:2" x14ac:dyDescent="0.3">
      <c r="A981" s="3" t="s">
        <v>1345</v>
      </c>
      <c r="B981" s="4">
        <v>8.8028169014084509E-4</v>
      </c>
    </row>
    <row r="982" spans="1:2" x14ac:dyDescent="0.3">
      <c r="A982" s="3" t="s">
        <v>1347</v>
      </c>
      <c r="B982" s="4">
        <v>8.8028169014084509E-4</v>
      </c>
    </row>
    <row r="983" spans="1:2" x14ac:dyDescent="0.3">
      <c r="A983" s="3" t="s">
        <v>1348</v>
      </c>
      <c r="B983" s="4">
        <v>8.8028169014084509E-4</v>
      </c>
    </row>
    <row r="984" spans="1:2" x14ac:dyDescent="0.3">
      <c r="A984" s="3" t="s">
        <v>1350</v>
      </c>
      <c r="B984" s="4">
        <v>8.8028169014084509E-4</v>
      </c>
    </row>
    <row r="985" spans="1:2" x14ac:dyDescent="0.3">
      <c r="A985" s="3" t="s">
        <v>1351</v>
      </c>
      <c r="B985" s="4">
        <v>8.8028169014084509E-4</v>
      </c>
    </row>
    <row r="986" spans="1:2" x14ac:dyDescent="0.3">
      <c r="A986" s="3" t="s">
        <v>1352</v>
      </c>
      <c r="B986" s="4">
        <v>8.8028169014084509E-4</v>
      </c>
    </row>
    <row r="987" spans="1:2" x14ac:dyDescent="0.3">
      <c r="A987" s="3" t="s">
        <v>1353</v>
      </c>
      <c r="B987" s="4">
        <v>8.8028169014084509E-4</v>
      </c>
    </row>
    <row r="988" spans="1:2" x14ac:dyDescent="0.3">
      <c r="A988" s="3" t="s">
        <v>1354</v>
      </c>
      <c r="B988" s="4">
        <v>8.8028169014084509E-4</v>
      </c>
    </row>
    <row r="989" spans="1:2" x14ac:dyDescent="0.3">
      <c r="A989" s="3" t="s">
        <v>1355</v>
      </c>
      <c r="B989" s="4">
        <v>8.8028169014084509E-4</v>
      </c>
    </row>
    <row r="990" spans="1:2" x14ac:dyDescent="0.3">
      <c r="A990" s="3" t="s">
        <v>1359</v>
      </c>
      <c r="B990" s="4">
        <v>8.8028169014084509E-4</v>
      </c>
    </row>
    <row r="991" spans="1:2" x14ac:dyDescent="0.3">
      <c r="A991" s="3" t="s">
        <v>1363</v>
      </c>
      <c r="B991" s="4">
        <v>8.8028169014084509E-4</v>
      </c>
    </row>
    <row r="992" spans="1:2" x14ac:dyDescent="0.3">
      <c r="A992" s="3" t="s">
        <v>1364</v>
      </c>
      <c r="B992" s="4">
        <v>8.8028169014084509E-4</v>
      </c>
    </row>
    <row r="993" spans="1:2" x14ac:dyDescent="0.3">
      <c r="A993" s="3" t="s">
        <v>1365</v>
      </c>
      <c r="B993" s="4">
        <v>8.8028169014084509E-4</v>
      </c>
    </row>
    <row r="994" spans="1:2" x14ac:dyDescent="0.3">
      <c r="A994" s="3" t="s">
        <v>1366</v>
      </c>
      <c r="B994" s="4">
        <v>8.8028169014084509E-4</v>
      </c>
    </row>
    <row r="995" spans="1:2" x14ac:dyDescent="0.3">
      <c r="A995" s="3" t="s">
        <v>1367</v>
      </c>
      <c r="B995" s="4">
        <v>8.8028169014084509E-4</v>
      </c>
    </row>
    <row r="996" spans="1:2" x14ac:dyDescent="0.3">
      <c r="A996" s="3" t="s">
        <v>1369</v>
      </c>
      <c r="B996" s="4">
        <v>8.8028169014084509E-4</v>
      </c>
    </row>
    <row r="997" spans="1:2" x14ac:dyDescent="0.3">
      <c r="A997" s="3" t="s">
        <v>1370</v>
      </c>
      <c r="B997" s="4">
        <v>8.8028169014084509E-4</v>
      </c>
    </row>
    <row r="998" spans="1:2" x14ac:dyDescent="0.3">
      <c r="A998" s="3" t="s">
        <v>1371</v>
      </c>
      <c r="B998" s="4">
        <v>8.8028169014084509E-4</v>
      </c>
    </row>
    <row r="999" spans="1:2" x14ac:dyDescent="0.3">
      <c r="A999" s="3" t="s">
        <v>1372</v>
      </c>
      <c r="B999" s="4">
        <v>8.8028169014084509E-4</v>
      </c>
    </row>
    <row r="1000" spans="1:2" x14ac:dyDescent="0.3">
      <c r="A1000" s="3" t="s">
        <v>1373</v>
      </c>
      <c r="B1000" s="4">
        <v>8.8028169014084509E-4</v>
      </c>
    </row>
    <row r="1001" spans="1:2" x14ac:dyDescent="0.3">
      <c r="A1001" s="3" t="s">
        <v>1374</v>
      </c>
      <c r="B1001" s="4">
        <v>8.8028169014084509E-4</v>
      </c>
    </row>
    <row r="1002" spans="1:2" x14ac:dyDescent="0.3">
      <c r="A1002" s="3" t="s">
        <v>1375</v>
      </c>
      <c r="B1002" s="4">
        <v>8.8028169014084509E-4</v>
      </c>
    </row>
    <row r="1003" spans="1:2" x14ac:dyDescent="0.3">
      <c r="A1003" s="3" t="s">
        <v>1376</v>
      </c>
      <c r="B1003" s="4">
        <v>8.8028169014084509E-4</v>
      </c>
    </row>
    <row r="1004" spans="1:2" x14ac:dyDescent="0.3">
      <c r="A1004" s="3" t="s">
        <v>1377</v>
      </c>
      <c r="B1004" s="4">
        <v>8.8028169014084509E-4</v>
      </c>
    </row>
    <row r="1005" spans="1:2" x14ac:dyDescent="0.3">
      <c r="A1005" s="3" t="s">
        <v>1380</v>
      </c>
      <c r="B1005" s="4">
        <v>8.8028169014084509E-4</v>
      </c>
    </row>
    <row r="1006" spans="1:2" x14ac:dyDescent="0.3">
      <c r="A1006" s="3" t="s">
        <v>1381</v>
      </c>
      <c r="B1006" s="4">
        <v>8.8028169014084509E-4</v>
      </c>
    </row>
    <row r="1007" spans="1:2" x14ac:dyDescent="0.3">
      <c r="A1007" s="3" t="s">
        <v>1382</v>
      </c>
      <c r="B1007" s="4">
        <v>8.8028169014084509E-4</v>
      </c>
    </row>
    <row r="1008" spans="1:2" x14ac:dyDescent="0.3">
      <c r="A1008" s="3" t="s">
        <v>1385</v>
      </c>
      <c r="B1008" s="4">
        <v>8.8028169014084509E-4</v>
      </c>
    </row>
    <row r="1009" spans="1:2" x14ac:dyDescent="0.3">
      <c r="A1009" s="3" t="s">
        <v>1386</v>
      </c>
      <c r="B1009" s="4">
        <v>8.8028169014084509E-4</v>
      </c>
    </row>
    <row r="1010" spans="1:2" x14ac:dyDescent="0.3">
      <c r="A1010" s="3" t="s">
        <v>1387</v>
      </c>
      <c r="B1010" s="4">
        <v>8.8028169014084509E-4</v>
      </c>
    </row>
    <row r="1011" spans="1:2" x14ac:dyDescent="0.3">
      <c r="A1011" s="3" t="s">
        <v>1388</v>
      </c>
      <c r="B1011" s="4">
        <v>8.8028169014084509E-4</v>
      </c>
    </row>
    <row r="1012" spans="1:2" x14ac:dyDescent="0.3">
      <c r="A1012" s="3" t="s">
        <v>1389</v>
      </c>
      <c r="B1012" s="4">
        <v>8.8028169014084509E-4</v>
      </c>
    </row>
    <row r="1013" spans="1:2" x14ac:dyDescent="0.3">
      <c r="A1013" s="3" t="s">
        <v>1390</v>
      </c>
      <c r="B1013" s="4">
        <v>8.8028169014084509E-4</v>
      </c>
    </row>
    <row r="1014" spans="1:2" x14ac:dyDescent="0.3">
      <c r="A1014" s="3" t="s">
        <v>1393</v>
      </c>
      <c r="B1014" s="4">
        <v>8.8028169014084509E-4</v>
      </c>
    </row>
    <row r="1015" spans="1:2" x14ac:dyDescent="0.3">
      <c r="A1015" s="3" t="s">
        <v>1394</v>
      </c>
      <c r="B1015" s="4">
        <v>8.8028169014084509E-4</v>
      </c>
    </row>
    <row r="1016" spans="1:2" x14ac:dyDescent="0.3">
      <c r="A1016" s="3" t="s">
        <v>1395</v>
      </c>
      <c r="B1016" s="4">
        <v>8.8028169014084509E-4</v>
      </c>
    </row>
    <row r="1017" spans="1:2" x14ac:dyDescent="0.3">
      <c r="A1017" s="3" t="s">
        <v>1396</v>
      </c>
      <c r="B1017" s="4">
        <v>8.8028169014084509E-4</v>
      </c>
    </row>
    <row r="1018" spans="1:2" x14ac:dyDescent="0.3">
      <c r="A1018" s="3" t="s">
        <v>1397</v>
      </c>
      <c r="B1018" s="4">
        <v>8.8028169014084509E-4</v>
      </c>
    </row>
    <row r="1019" spans="1:2" x14ac:dyDescent="0.3">
      <c r="A1019" s="3" t="s">
        <v>1398</v>
      </c>
      <c r="B1019" s="4">
        <v>8.8028169014084509E-4</v>
      </c>
    </row>
    <row r="1020" spans="1:2" x14ac:dyDescent="0.3">
      <c r="A1020" s="3" t="s">
        <v>1399</v>
      </c>
      <c r="B1020" s="4">
        <v>8.8028169014084509E-4</v>
      </c>
    </row>
    <row r="1021" spans="1:2" x14ac:dyDescent="0.3">
      <c r="A1021" s="3" t="s">
        <v>1400</v>
      </c>
      <c r="B1021" s="4">
        <v>8.8028169014084509E-4</v>
      </c>
    </row>
    <row r="1022" spans="1:2" x14ac:dyDescent="0.3">
      <c r="A1022" s="3" t="s">
        <v>1402</v>
      </c>
      <c r="B1022" s="4">
        <v>8.8028169014084509E-4</v>
      </c>
    </row>
    <row r="1023" spans="1:2" x14ac:dyDescent="0.3">
      <c r="A1023" s="3" t="s">
        <v>1403</v>
      </c>
      <c r="B1023" s="4">
        <v>8.8028169014084509E-4</v>
      </c>
    </row>
    <row r="1024" spans="1:2" x14ac:dyDescent="0.3">
      <c r="A1024" s="3" t="s">
        <v>1404</v>
      </c>
      <c r="B1024" s="4">
        <v>8.8028169014084509E-4</v>
      </c>
    </row>
    <row r="1025" spans="1:2" x14ac:dyDescent="0.3">
      <c r="A1025" s="3" t="s">
        <v>1406</v>
      </c>
      <c r="B1025" s="4">
        <v>8.8028169014084509E-4</v>
      </c>
    </row>
    <row r="1026" spans="1:2" x14ac:dyDescent="0.3">
      <c r="A1026" s="3" t="s">
        <v>1408</v>
      </c>
      <c r="B1026" s="4">
        <v>8.8028169014084509E-4</v>
      </c>
    </row>
    <row r="1027" spans="1:2" x14ac:dyDescent="0.3">
      <c r="A1027" s="3" t="s">
        <v>1410</v>
      </c>
      <c r="B1027" s="4">
        <v>8.8028169014084509E-4</v>
      </c>
    </row>
    <row r="1028" spans="1:2" x14ac:dyDescent="0.3">
      <c r="A1028" s="3" t="s">
        <v>1411</v>
      </c>
      <c r="B1028" s="4">
        <v>8.8028169014084509E-4</v>
      </c>
    </row>
    <row r="1029" spans="1:2" x14ac:dyDescent="0.3">
      <c r="A1029" s="3" t="s">
        <v>1412</v>
      </c>
      <c r="B1029" s="4">
        <v>8.8028169014084509E-4</v>
      </c>
    </row>
    <row r="1030" spans="1:2" x14ac:dyDescent="0.3">
      <c r="A1030" s="3" t="s">
        <v>1414</v>
      </c>
      <c r="B1030" s="4">
        <v>8.8028169014084509E-4</v>
      </c>
    </row>
    <row r="1031" spans="1:2" x14ac:dyDescent="0.3">
      <c r="A1031" s="3" t="s">
        <v>1415</v>
      </c>
      <c r="B1031" s="4">
        <v>8.8028169014084509E-4</v>
      </c>
    </row>
    <row r="1032" spans="1:2" x14ac:dyDescent="0.3">
      <c r="A1032" s="3" t="s">
        <v>1416</v>
      </c>
      <c r="B1032" s="4">
        <v>8.8028169014084509E-4</v>
      </c>
    </row>
    <row r="1033" spans="1:2" x14ac:dyDescent="0.3">
      <c r="A1033" s="3" t="s">
        <v>1417</v>
      </c>
      <c r="B1033" s="4">
        <v>8.8028169014084509E-4</v>
      </c>
    </row>
    <row r="1034" spans="1:2" x14ac:dyDescent="0.3">
      <c r="A1034" s="3" t="s">
        <v>1418</v>
      </c>
      <c r="B1034" s="4">
        <v>8.8028169014084509E-4</v>
      </c>
    </row>
    <row r="1035" spans="1:2" x14ac:dyDescent="0.3">
      <c r="A1035" s="3" t="s">
        <v>1419</v>
      </c>
      <c r="B1035" s="4">
        <v>8.8028169014084509E-4</v>
      </c>
    </row>
    <row r="1036" spans="1:2" x14ac:dyDescent="0.3">
      <c r="A1036" s="3" t="s">
        <v>1420</v>
      </c>
      <c r="B1036" s="4">
        <v>8.8028169014084509E-4</v>
      </c>
    </row>
    <row r="1037" spans="1:2" x14ac:dyDescent="0.3">
      <c r="A1037" s="3" t="s">
        <v>1421</v>
      </c>
      <c r="B1037" s="4">
        <v>8.8028169014084509E-4</v>
      </c>
    </row>
    <row r="1038" spans="1:2" x14ac:dyDescent="0.3">
      <c r="A1038" s="3" t="s">
        <v>1422</v>
      </c>
      <c r="B1038" s="4">
        <v>8.8028169014084509E-4</v>
      </c>
    </row>
    <row r="1039" spans="1:2" x14ac:dyDescent="0.3">
      <c r="A1039" s="3" t="s">
        <v>1423</v>
      </c>
      <c r="B1039" s="4">
        <v>8.8028169014084509E-4</v>
      </c>
    </row>
    <row r="1040" spans="1:2" x14ac:dyDescent="0.3">
      <c r="A1040" s="3" t="s">
        <v>1424</v>
      </c>
      <c r="B1040" s="4">
        <v>8.8028169014084509E-4</v>
      </c>
    </row>
    <row r="1041" spans="1:2" x14ac:dyDescent="0.3">
      <c r="A1041" s="3" t="s">
        <v>1425</v>
      </c>
      <c r="B1041" s="4">
        <v>8.8028169014084509E-4</v>
      </c>
    </row>
    <row r="1042" spans="1:2" x14ac:dyDescent="0.3">
      <c r="A1042" s="3" t="s">
        <v>1426</v>
      </c>
      <c r="B1042" s="4">
        <v>8.8028169014084509E-4</v>
      </c>
    </row>
    <row r="1043" spans="1:2" x14ac:dyDescent="0.3">
      <c r="A1043" s="3" t="s">
        <v>1427</v>
      </c>
      <c r="B1043" s="4">
        <v>8.8028169014084509E-4</v>
      </c>
    </row>
    <row r="1044" spans="1:2" x14ac:dyDescent="0.3">
      <c r="A1044" s="3" t="s">
        <v>1428</v>
      </c>
      <c r="B1044" s="4">
        <v>8.8028169014084509E-4</v>
      </c>
    </row>
    <row r="1045" spans="1:2" x14ac:dyDescent="0.3">
      <c r="A1045" s="3" t="s">
        <v>1429</v>
      </c>
      <c r="B1045" s="4">
        <v>8.8028169014084509E-4</v>
      </c>
    </row>
    <row r="1046" spans="1:2" x14ac:dyDescent="0.3">
      <c r="A1046" s="3" t="s">
        <v>1430</v>
      </c>
      <c r="B1046" s="4">
        <v>8.8028169014084509E-4</v>
      </c>
    </row>
    <row r="1047" spans="1:2" x14ac:dyDescent="0.3">
      <c r="A1047" s="3" t="s">
        <v>1432</v>
      </c>
      <c r="B1047" s="4">
        <v>8.8028169014084509E-4</v>
      </c>
    </row>
    <row r="1048" spans="1:2" x14ac:dyDescent="0.3">
      <c r="A1048" s="3" t="s">
        <v>1433</v>
      </c>
      <c r="B1048" s="4">
        <v>8.8028169014084509E-4</v>
      </c>
    </row>
    <row r="1049" spans="1:2" x14ac:dyDescent="0.3">
      <c r="A1049" s="3" t="s">
        <v>1435</v>
      </c>
      <c r="B1049" s="4">
        <v>8.8028169014084509E-4</v>
      </c>
    </row>
    <row r="1050" spans="1:2" x14ac:dyDescent="0.3">
      <c r="A1050" s="3" t="s">
        <v>1436</v>
      </c>
      <c r="B1050" s="4">
        <v>8.8028169014084509E-4</v>
      </c>
    </row>
    <row r="1051" spans="1:2" x14ac:dyDescent="0.3">
      <c r="A1051" s="3" t="s">
        <v>1437</v>
      </c>
      <c r="B1051" s="4">
        <v>8.8028169014084509E-4</v>
      </c>
    </row>
    <row r="1052" spans="1:2" x14ac:dyDescent="0.3">
      <c r="A1052" s="3" t="s">
        <v>1439</v>
      </c>
      <c r="B1052" s="4">
        <v>8.8028169014084509E-4</v>
      </c>
    </row>
    <row r="1053" spans="1:2" x14ac:dyDescent="0.3">
      <c r="A1053" s="3" t="s">
        <v>1440</v>
      </c>
      <c r="B1053" s="4">
        <v>8.8028169014084509E-4</v>
      </c>
    </row>
    <row r="1054" spans="1:2" x14ac:dyDescent="0.3">
      <c r="A1054" s="3" t="s">
        <v>1441</v>
      </c>
      <c r="B1054" s="4">
        <v>8.8028169014084509E-4</v>
      </c>
    </row>
    <row r="1055" spans="1:2" x14ac:dyDescent="0.3">
      <c r="A1055" s="3" t="s">
        <v>1443</v>
      </c>
      <c r="B1055" s="4">
        <v>8.8028169014084509E-4</v>
      </c>
    </row>
    <row r="1056" spans="1:2" x14ac:dyDescent="0.3">
      <c r="A1056" s="3" t="s">
        <v>1444</v>
      </c>
      <c r="B1056" s="4">
        <v>8.8028169014084509E-4</v>
      </c>
    </row>
    <row r="1057" spans="1:2" x14ac:dyDescent="0.3">
      <c r="A1057" s="3" t="s">
        <v>1445</v>
      </c>
      <c r="B1057" s="4">
        <v>8.8028169014084509E-4</v>
      </c>
    </row>
    <row r="1058" spans="1:2" x14ac:dyDescent="0.3">
      <c r="A1058" s="3" t="s">
        <v>1446</v>
      </c>
      <c r="B1058" s="4">
        <v>8.8028169014084509E-4</v>
      </c>
    </row>
    <row r="1059" spans="1:2" x14ac:dyDescent="0.3">
      <c r="A1059" s="3" t="s">
        <v>1447</v>
      </c>
      <c r="B1059" s="4">
        <v>8.8028169014084509E-4</v>
      </c>
    </row>
    <row r="1060" spans="1:2" x14ac:dyDescent="0.3">
      <c r="A1060" s="3" t="s">
        <v>1448</v>
      </c>
      <c r="B1060" s="4">
        <v>8.8028169014084509E-4</v>
      </c>
    </row>
    <row r="1061" spans="1:2" x14ac:dyDescent="0.3">
      <c r="A1061" s="3" t="s">
        <v>1449</v>
      </c>
      <c r="B1061" s="4">
        <v>8.8028169014084509E-4</v>
      </c>
    </row>
    <row r="1062" spans="1:2" x14ac:dyDescent="0.3">
      <c r="A1062" s="3" t="s">
        <v>1450</v>
      </c>
      <c r="B1062" s="4">
        <v>8.8028169014084509E-4</v>
      </c>
    </row>
    <row r="1063" spans="1:2" x14ac:dyDescent="0.3">
      <c r="A1063" s="3" t="s">
        <v>1451</v>
      </c>
      <c r="B1063" s="4">
        <v>8.8028169014084509E-4</v>
      </c>
    </row>
    <row r="1064" spans="1:2" x14ac:dyDescent="0.3">
      <c r="A1064" s="3" t="s">
        <v>1452</v>
      </c>
      <c r="B1064" s="4">
        <v>8.8028169014084509E-4</v>
      </c>
    </row>
    <row r="1065" spans="1:2" x14ac:dyDescent="0.3">
      <c r="A1065" s="3" t="s">
        <v>1454</v>
      </c>
      <c r="B1065" s="4">
        <v>8.8028169014084509E-4</v>
      </c>
    </row>
    <row r="1066" spans="1:2" x14ac:dyDescent="0.3">
      <c r="A1066" s="3" t="s">
        <v>1455</v>
      </c>
      <c r="B1066" s="4">
        <v>8.8028169014084509E-4</v>
      </c>
    </row>
    <row r="1067" spans="1:2" x14ac:dyDescent="0.3">
      <c r="A1067" s="3" t="s">
        <v>1457</v>
      </c>
      <c r="B1067" s="4">
        <v>8.8028169014084509E-4</v>
      </c>
    </row>
    <row r="1068" spans="1:2" x14ac:dyDescent="0.3">
      <c r="A1068" s="3" t="s">
        <v>1458</v>
      </c>
      <c r="B1068" s="4">
        <v>8.8028169014084509E-4</v>
      </c>
    </row>
    <row r="1069" spans="1:2" x14ac:dyDescent="0.3">
      <c r="A1069" s="3" t="s">
        <v>1459</v>
      </c>
      <c r="B1069" s="4">
        <v>8.8028169014084509E-4</v>
      </c>
    </row>
    <row r="1070" spans="1:2" x14ac:dyDescent="0.3">
      <c r="A1070" s="3" t="s">
        <v>1460</v>
      </c>
      <c r="B1070" s="4">
        <v>8.8028169014084509E-4</v>
      </c>
    </row>
    <row r="1071" spans="1:2" x14ac:dyDescent="0.3">
      <c r="A1071" s="3" t="s">
        <v>1461</v>
      </c>
      <c r="B1071" s="4">
        <v>8.8028169014084509E-4</v>
      </c>
    </row>
    <row r="1072" spans="1:2" x14ac:dyDescent="0.3">
      <c r="A1072" s="3" t="s">
        <v>1462</v>
      </c>
      <c r="B1072" s="4">
        <v>8.8028169014084509E-4</v>
      </c>
    </row>
    <row r="1073" spans="1:2" x14ac:dyDescent="0.3">
      <c r="A1073" s="3" t="s">
        <v>1464</v>
      </c>
      <c r="B1073" s="4">
        <v>8.8028169014084509E-4</v>
      </c>
    </row>
    <row r="1074" spans="1:2" x14ac:dyDescent="0.3">
      <c r="A1074" s="3" t="s">
        <v>1466</v>
      </c>
      <c r="B1074" s="4">
        <v>8.8028169014084509E-4</v>
      </c>
    </row>
    <row r="1075" spans="1:2" x14ac:dyDescent="0.3">
      <c r="A1075" s="3" t="s">
        <v>1467</v>
      </c>
      <c r="B1075" s="4">
        <v>8.8028169014084509E-4</v>
      </c>
    </row>
    <row r="1076" spans="1:2" x14ac:dyDescent="0.3">
      <c r="A1076" s="3" t="s">
        <v>1470</v>
      </c>
      <c r="B1076" s="4">
        <v>8.8028169014084509E-4</v>
      </c>
    </row>
    <row r="1077" spans="1:2" x14ac:dyDescent="0.3">
      <c r="A1077" s="3" t="s">
        <v>1472</v>
      </c>
      <c r="B1077" s="4">
        <v>8.8028169014084509E-4</v>
      </c>
    </row>
    <row r="1078" spans="1:2" x14ac:dyDescent="0.3">
      <c r="A1078" s="3" t="s">
        <v>1473</v>
      </c>
      <c r="B1078" s="4">
        <v>8.8028169014084509E-4</v>
      </c>
    </row>
    <row r="1079" spans="1:2" x14ac:dyDescent="0.3">
      <c r="A1079" s="3" t="s">
        <v>1474</v>
      </c>
      <c r="B1079" s="4">
        <v>8.8028169014084509E-4</v>
      </c>
    </row>
    <row r="1080" spans="1:2" x14ac:dyDescent="0.3">
      <c r="A1080" s="3" t="s">
        <v>1475</v>
      </c>
      <c r="B1080" s="4">
        <v>8.8028169014084509E-4</v>
      </c>
    </row>
    <row r="1081" spans="1:2" x14ac:dyDescent="0.3">
      <c r="A1081" s="3" t="s">
        <v>1476</v>
      </c>
      <c r="B1081" s="4">
        <v>8.8028169014084509E-4</v>
      </c>
    </row>
    <row r="1082" spans="1:2" x14ac:dyDescent="0.3">
      <c r="A1082" s="3" t="s">
        <v>1478</v>
      </c>
      <c r="B1082" s="4">
        <v>8.8028169014084509E-4</v>
      </c>
    </row>
    <row r="1083" spans="1:2" x14ac:dyDescent="0.3">
      <c r="A1083" s="3" t="s">
        <v>1479</v>
      </c>
      <c r="B1083" s="4">
        <v>8.8028169014084509E-4</v>
      </c>
    </row>
    <row r="1084" spans="1:2" x14ac:dyDescent="0.3">
      <c r="A1084" s="3" t="s">
        <v>1480</v>
      </c>
      <c r="B1084" s="4">
        <v>8.8028169014084509E-4</v>
      </c>
    </row>
    <row r="1085" spans="1:2" x14ac:dyDescent="0.3">
      <c r="A1085" s="3" t="s">
        <v>1482</v>
      </c>
      <c r="B1085" s="4">
        <v>8.8028169014084509E-4</v>
      </c>
    </row>
    <row r="1086" spans="1:2" x14ac:dyDescent="0.3">
      <c r="A1086" s="3" t="s">
        <v>1483</v>
      </c>
      <c r="B1086" s="4">
        <v>8.8028169014084509E-4</v>
      </c>
    </row>
    <row r="1087" spans="1:2" x14ac:dyDescent="0.3">
      <c r="A1087" s="3" t="s">
        <v>1484</v>
      </c>
      <c r="B1087" s="4">
        <v>8.8028169014084509E-4</v>
      </c>
    </row>
    <row r="1088" spans="1:2" x14ac:dyDescent="0.3">
      <c r="A1088" s="3" t="s">
        <v>1485</v>
      </c>
      <c r="B1088" s="4">
        <v>8.8028169014084509E-4</v>
      </c>
    </row>
    <row r="1089" spans="1:2" x14ac:dyDescent="0.3">
      <c r="A1089" s="3" t="s">
        <v>1486</v>
      </c>
      <c r="B1089" s="4">
        <v>8.8028169014084509E-4</v>
      </c>
    </row>
    <row r="1090" spans="1:2" x14ac:dyDescent="0.3">
      <c r="A1090" s="3" t="s">
        <v>1488</v>
      </c>
      <c r="B1090" s="4">
        <v>8.8028169014084509E-4</v>
      </c>
    </row>
    <row r="1091" spans="1:2" x14ac:dyDescent="0.3">
      <c r="A1091" s="3" t="s">
        <v>1491</v>
      </c>
      <c r="B1091" s="4">
        <v>8.8028169014084509E-4</v>
      </c>
    </row>
    <row r="1092" spans="1:2" x14ac:dyDescent="0.3">
      <c r="A1092" s="3" t="s">
        <v>1492</v>
      </c>
      <c r="B1092" s="4">
        <v>8.8028169014084509E-4</v>
      </c>
    </row>
    <row r="1093" spans="1:2" x14ac:dyDescent="0.3">
      <c r="A1093" s="3" t="s">
        <v>1493</v>
      </c>
      <c r="B1093" s="4">
        <v>8.8028169014084509E-4</v>
      </c>
    </row>
    <row r="1094" spans="1:2" x14ac:dyDescent="0.3">
      <c r="A1094" s="3" t="s">
        <v>1495</v>
      </c>
      <c r="B1094" s="4">
        <v>8.8028169014084509E-4</v>
      </c>
    </row>
    <row r="1095" spans="1:2" x14ac:dyDescent="0.3">
      <c r="A1095" s="3" t="s">
        <v>1496</v>
      </c>
      <c r="B1095" s="4">
        <v>8.8028169014084509E-4</v>
      </c>
    </row>
    <row r="1096" spans="1:2" x14ac:dyDescent="0.3">
      <c r="A1096" s="3" t="s">
        <v>1497</v>
      </c>
      <c r="B1096" s="4">
        <v>8.8028169014084509E-4</v>
      </c>
    </row>
    <row r="1097" spans="1:2" x14ac:dyDescent="0.3">
      <c r="A1097" s="3" t="s">
        <v>1498</v>
      </c>
      <c r="B1097" s="4">
        <v>8.8028169014084509E-4</v>
      </c>
    </row>
    <row r="1098" spans="1:2" x14ac:dyDescent="0.3">
      <c r="A1098" s="3" t="s">
        <v>1499</v>
      </c>
      <c r="B1098" s="4">
        <v>8.8028169014084509E-4</v>
      </c>
    </row>
    <row r="1099" spans="1:2" x14ac:dyDescent="0.3">
      <c r="A1099" s="3" t="s">
        <v>1500</v>
      </c>
      <c r="B1099" s="4">
        <v>8.8028169014084509E-4</v>
      </c>
    </row>
    <row r="1100" spans="1:2" x14ac:dyDescent="0.3">
      <c r="A1100" s="3" t="s">
        <v>1501</v>
      </c>
      <c r="B1100" s="4">
        <v>8.8028169014084509E-4</v>
      </c>
    </row>
    <row r="1101" spans="1:2" x14ac:dyDescent="0.3">
      <c r="A1101" s="3" t="s">
        <v>1502</v>
      </c>
      <c r="B1101" s="4">
        <v>8.8028169014084509E-4</v>
      </c>
    </row>
    <row r="1102" spans="1:2" x14ac:dyDescent="0.3">
      <c r="A1102" s="3" t="s">
        <v>1503</v>
      </c>
      <c r="B1102" s="4">
        <v>8.8028169014084509E-4</v>
      </c>
    </row>
    <row r="1103" spans="1:2" x14ac:dyDescent="0.3">
      <c r="A1103" s="3" t="s">
        <v>1504</v>
      </c>
      <c r="B1103" s="4">
        <v>8.8028169014084509E-4</v>
      </c>
    </row>
    <row r="1104" spans="1:2" x14ac:dyDescent="0.3">
      <c r="A1104" s="3" t="s">
        <v>1505</v>
      </c>
      <c r="B1104" s="4">
        <v>8.8028169014084509E-4</v>
      </c>
    </row>
    <row r="1105" spans="1:2" x14ac:dyDescent="0.3">
      <c r="A1105" s="3" t="s">
        <v>1506</v>
      </c>
      <c r="B1105" s="4">
        <v>8.8028169014084509E-4</v>
      </c>
    </row>
    <row r="1106" spans="1:2" x14ac:dyDescent="0.3">
      <c r="A1106" s="3" t="s">
        <v>1509</v>
      </c>
      <c r="B1106" s="4">
        <v>8.8028169014084509E-4</v>
      </c>
    </row>
    <row r="1107" spans="1:2" x14ac:dyDescent="0.3">
      <c r="A1107" s="3" t="s">
        <v>1510</v>
      </c>
      <c r="B1107" s="4">
        <v>8.8028169014084509E-4</v>
      </c>
    </row>
    <row r="1108" spans="1:2" x14ac:dyDescent="0.3">
      <c r="A1108" s="3" t="s">
        <v>1511</v>
      </c>
      <c r="B1108" s="4">
        <v>8.8028169014084509E-4</v>
      </c>
    </row>
    <row r="1109" spans="1:2" x14ac:dyDescent="0.3">
      <c r="A1109" s="3" t="s">
        <v>1513</v>
      </c>
      <c r="B1109" s="4">
        <v>8.8028169014084509E-4</v>
      </c>
    </row>
    <row r="1110" spans="1:2" x14ac:dyDescent="0.3">
      <c r="A1110" s="3" t="s">
        <v>1518</v>
      </c>
      <c r="B1110" s="4">
        <v>8.8028169014084509E-4</v>
      </c>
    </row>
    <row r="1111" spans="1:2" x14ac:dyDescent="0.3">
      <c r="A1111" s="3" t="s">
        <v>1521</v>
      </c>
      <c r="B1111" s="4">
        <v>8.8028169014084509E-4</v>
      </c>
    </row>
    <row r="1112" spans="1:2" x14ac:dyDescent="0.3">
      <c r="A1112" s="3" t="s">
        <v>1524</v>
      </c>
      <c r="B1112" s="4">
        <v>8.8028169014084509E-4</v>
      </c>
    </row>
    <row r="1113" spans="1:2" x14ac:dyDescent="0.3">
      <c r="A1113" s="3" t="s">
        <v>1525</v>
      </c>
      <c r="B1113" s="4">
        <v>8.8028169014084509E-4</v>
      </c>
    </row>
    <row r="1114" spans="1:2" x14ac:dyDescent="0.3">
      <c r="A1114" s="3" t="s">
        <v>1526</v>
      </c>
      <c r="B1114" s="4">
        <v>8.8028169014084509E-4</v>
      </c>
    </row>
    <row r="1115" spans="1:2" x14ac:dyDescent="0.3">
      <c r="A1115" s="3" t="s">
        <v>1527</v>
      </c>
      <c r="B1115" s="4">
        <v>8.8028169014084509E-4</v>
      </c>
    </row>
    <row r="1116" spans="1:2" x14ac:dyDescent="0.3">
      <c r="A1116" s="3" t="s">
        <v>1529</v>
      </c>
      <c r="B1116" s="4">
        <v>8.8028169014084509E-4</v>
      </c>
    </row>
    <row r="1117" spans="1:2" x14ac:dyDescent="0.3">
      <c r="A1117" s="3" t="s">
        <v>1530</v>
      </c>
      <c r="B1117" s="4">
        <v>8.8028169014084509E-4</v>
      </c>
    </row>
    <row r="1118" spans="1:2" x14ac:dyDescent="0.3">
      <c r="A1118" s="3" t="s">
        <v>1531</v>
      </c>
      <c r="B1118" s="4">
        <v>8.8028169014084509E-4</v>
      </c>
    </row>
    <row r="1119" spans="1:2" x14ac:dyDescent="0.3">
      <c r="A1119" s="3" t="s">
        <v>1533</v>
      </c>
      <c r="B1119" s="4">
        <v>8.8028169014084509E-4</v>
      </c>
    </row>
    <row r="1120" spans="1:2" x14ac:dyDescent="0.3">
      <c r="A1120" s="3" t="s">
        <v>1534</v>
      </c>
      <c r="B1120" s="4">
        <v>8.8028169014084509E-4</v>
      </c>
    </row>
    <row r="1121" spans="1:2" x14ac:dyDescent="0.3">
      <c r="A1121" s="3" t="s">
        <v>1535</v>
      </c>
      <c r="B1121" s="4">
        <v>8.8028169014084509E-4</v>
      </c>
    </row>
    <row r="1122" spans="1:2" x14ac:dyDescent="0.3">
      <c r="A1122" s="3" t="s">
        <v>1537</v>
      </c>
      <c r="B1122" s="4">
        <v>8.8028169014084509E-4</v>
      </c>
    </row>
    <row r="1123" spans="1:2" x14ac:dyDescent="0.3">
      <c r="A1123" s="3" t="s">
        <v>1538</v>
      </c>
      <c r="B1123" s="4">
        <v>8.8028169014084509E-4</v>
      </c>
    </row>
    <row r="1124" spans="1:2" x14ac:dyDescent="0.3">
      <c r="A1124" s="3" t="s">
        <v>1541</v>
      </c>
      <c r="B1124" s="4">
        <v>8.8028169014084509E-4</v>
      </c>
    </row>
    <row r="1125" spans="1:2" x14ac:dyDescent="0.3">
      <c r="A1125" s="3" t="s">
        <v>1543</v>
      </c>
      <c r="B1125" s="4">
        <v>8.8028169014084509E-4</v>
      </c>
    </row>
    <row r="1126" spans="1:2" x14ac:dyDescent="0.3">
      <c r="A1126" s="3" t="s">
        <v>1544</v>
      </c>
      <c r="B1126" s="4">
        <v>8.8028169014084509E-4</v>
      </c>
    </row>
    <row r="1127" spans="1:2" x14ac:dyDescent="0.3">
      <c r="A1127" s="3" t="s">
        <v>1545</v>
      </c>
      <c r="B1127" s="4">
        <v>8.8028169014084509E-4</v>
      </c>
    </row>
    <row r="1128" spans="1:2" x14ac:dyDescent="0.3">
      <c r="A1128" s="3" t="s">
        <v>1546</v>
      </c>
      <c r="B1128" s="4">
        <v>8.8028169014084509E-4</v>
      </c>
    </row>
    <row r="1129" spans="1:2" x14ac:dyDescent="0.3">
      <c r="A1129" s="3" t="s">
        <v>1547</v>
      </c>
      <c r="B1129" s="4">
        <v>8.8028169014084509E-4</v>
      </c>
    </row>
    <row r="1130" spans="1:2" x14ac:dyDescent="0.3">
      <c r="A1130" s="3" t="s">
        <v>1548</v>
      </c>
      <c r="B1130" s="4">
        <v>8.8028169014084509E-4</v>
      </c>
    </row>
    <row r="1131" spans="1:2" x14ac:dyDescent="0.3">
      <c r="A1131" s="3" t="s">
        <v>1549</v>
      </c>
      <c r="B1131" s="4">
        <v>8.8028169014084509E-4</v>
      </c>
    </row>
    <row r="1132" spans="1:2" x14ac:dyDescent="0.3">
      <c r="A1132" s="3" t="s">
        <v>1550</v>
      </c>
      <c r="B1132" s="4">
        <v>8.8028169014084509E-4</v>
      </c>
    </row>
    <row r="1133" spans="1:2" x14ac:dyDescent="0.3">
      <c r="A1133" s="3" t="s">
        <v>1552</v>
      </c>
      <c r="B1133" s="4">
        <v>8.8028169014084509E-4</v>
      </c>
    </row>
    <row r="1134" spans="1:2" x14ac:dyDescent="0.3">
      <c r="A1134" s="3" t="s">
        <v>1553</v>
      </c>
      <c r="B1134" s="4">
        <v>8.8028169014084509E-4</v>
      </c>
    </row>
    <row r="1135" spans="1:2" x14ac:dyDescent="0.3">
      <c r="A1135" s="3" t="s">
        <v>1554</v>
      </c>
      <c r="B1135" s="4">
        <v>8.8028169014084509E-4</v>
      </c>
    </row>
    <row r="1136" spans="1:2" x14ac:dyDescent="0.3">
      <c r="A1136" s="3" t="s">
        <v>1557</v>
      </c>
      <c r="B1136" s="4">
        <v>8.8028169014084509E-4</v>
      </c>
    </row>
    <row r="1137" spans="1:2" x14ac:dyDescent="0.3">
      <c r="A1137" s="3" t="s">
        <v>1558</v>
      </c>
      <c r="B1137" s="4">
        <v>8.8028169014084509E-4</v>
      </c>
    </row>
    <row r="1138" spans="1:2" x14ac:dyDescent="0.3">
      <c r="A1138" s="3" t="s">
        <v>1559</v>
      </c>
      <c r="B1138" s="4">
        <v>8.8028169014084509E-4</v>
      </c>
    </row>
    <row r="1139" spans="1:2" x14ac:dyDescent="0.3">
      <c r="A1139" s="3" t="s">
        <v>1560</v>
      </c>
      <c r="B1139" s="4">
        <v>8.8028169014084509E-4</v>
      </c>
    </row>
    <row r="1140" spans="1:2" x14ac:dyDescent="0.3">
      <c r="A1140" s="3" t="s">
        <v>1561</v>
      </c>
      <c r="B1140" s="4">
        <v>8.8028169014084509E-4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97B1A-30DE-4AED-99CA-902620ED75AC}">
  <dimension ref="A3:C7"/>
  <sheetViews>
    <sheetView workbookViewId="0">
      <selection activeCell="C6" sqref="C6"/>
    </sheetView>
  </sheetViews>
  <sheetFormatPr defaultRowHeight="14.4" x14ac:dyDescent="0.3"/>
  <cols>
    <col min="1" max="1" width="20.77734375" bestFit="1" customWidth="1"/>
    <col min="2" max="2" width="15.5546875" bestFit="1" customWidth="1"/>
    <col min="3" max="3" width="8.5546875" bestFit="1" customWidth="1"/>
    <col min="4" max="4" width="10.5546875" bestFit="1" customWidth="1"/>
    <col min="5" max="5" width="8.5546875" bestFit="1" customWidth="1"/>
    <col min="6" max="6" width="10.5546875" bestFit="1" customWidth="1"/>
  </cols>
  <sheetData>
    <row r="3" spans="1:3" x14ac:dyDescent="0.3">
      <c r="A3" s="2" t="s">
        <v>1578</v>
      </c>
      <c r="B3" s="2" t="s">
        <v>1576</v>
      </c>
    </row>
    <row r="4" spans="1:3" x14ac:dyDescent="0.3">
      <c r="A4" s="2" t="s">
        <v>1566</v>
      </c>
      <c r="B4" t="s">
        <v>88</v>
      </c>
      <c r="C4" t="s">
        <v>37</v>
      </c>
    </row>
    <row r="5" spans="1:3" x14ac:dyDescent="0.3">
      <c r="A5" s="3" t="s">
        <v>29</v>
      </c>
      <c r="B5" s="4">
        <v>0.12857142857142856</v>
      </c>
      <c r="C5" s="4">
        <v>0.18928571428571428</v>
      </c>
    </row>
    <row r="6" spans="1:3" x14ac:dyDescent="0.3">
      <c r="A6" s="3" t="s">
        <v>20</v>
      </c>
      <c r="B6" s="4">
        <v>0.16785714285714284</v>
      </c>
      <c r="C6" s="4">
        <v>0.17499999999999999</v>
      </c>
    </row>
    <row r="7" spans="1:3" x14ac:dyDescent="0.3">
      <c r="A7" s="3" t="s">
        <v>34</v>
      </c>
      <c r="B7" s="4">
        <v>0.16785714285714284</v>
      </c>
      <c r="C7" s="4">
        <v>0.17142857142857143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0603-1397-4880-A0D9-1E172E633AEF}">
  <dimension ref="A3:E7"/>
  <sheetViews>
    <sheetView workbookViewId="0">
      <selection activeCell="B3" sqref="B3"/>
    </sheetView>
  </sheetViews>
  <sheetFormatPr defaultRowHeight="14.4" x14ac:dyDescent="0.3"/>
  <cols>
    <col min="1" max="1" width="15.109375" bestFit="1" customWidth="1"/>
    <col min="2" max="2" width="15.5546875" bestFit="1" customWidth="1"/>
    <col min="3" max="3" width="9" bestFit="1" customWidth="1"/>
    <col min="4" max="5" width="8.5546875" bestFit="1" customWidth="1"/>
    <col min="6" max="6" width="10.5546875" bestFit="1" customWidth="1"/>
  </cols>
  <sheetData>
    <row r="3" spans="1:5" x14ac:dyDescent="0.3">
      <c r="A3" s="2" t="s">
        <v>1577</v>
      </c>
      <c r="B3" s="2" t="s">
        <v>1576</v>
      </c>
    </row>
    <row r="4" spans="1:5" x14ac:dyDescent="0.3">
      <c r="A4" s="2" t="s">
        <v>1566</v>
      </c>
      <c r="B4" t="s">
        <v>88</v>
      </c>
      <c r="C4" t="s">
        <v>22</v>
      </c>
      <c r="D4" t="s">
        <v>59</v>
      </c>
      <c r="E4" t="s">
        <v>37</v>
      </c>
    </row>
    <row r="5" spans="1:5" x14ac:dyDescent="0.3">
      <c r="A5" s="3" t="s">
        <v>30</v>
      </c>
      <c r="B5" s="4">
        <v>7.9766536964980539E-2</v>
      </c>
      <c r="C5" s="4">
        <v>0.7665369649805448</v>
      </c>
      <c r="D5" s="4">
        <v>5.642023346303502E-2</v>
      </c>
      <c r="E5" s="4">
        <v>9.727626459143969E-2</v>
      </c>
    </row>
    <row r="6" spans="1:5" x14ac:dyDescent="0.3">
      <c r="A6" s="3" t="s">
        <v>21</v>
      </c>
      <c r="B6" s="4">
        <v>8.9463220675944338E-2</v>
      </c>
      <c r="C6" s="4">
        <v>0.76143141153081506</v>
      </c>
      <c r="D6" s="4">
        <v>4.5725646123260438E-2</v>
      </c>
      <c r="E6" s="4">
        <v>0.10337972166998012</v>
      </c>
    </row>
    <row r="7" spans="1:5" x14ac:dyDescent="0.3">
      <c r="A7" s="3" t="s">
        <v>54</v>
      </c>
      <c r="B7" s="4">
        <v>9.1097308488612833E-2</v>
      </c>
      <c r="C7" s="4">
        <v>0.74327122153209113</v>
      </c>
      <c r="D7" s="4">
        <v>6.6252587991718431E-2</v>
      </c>
      <c r="E7" s="4">
        <v>9.9378881987577633E-2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C6783-F2B0-4EA0-AC27-DAA0A7422043}">
  <dimension ref="A3:B7"/>
  <sheetViews>
    <sheetView workbookViewId="0">
      <selection activeCell="A4" sqref="A4"/>
    </sheetView>
  </sheetViews>
  <sheetFormatPr defaultRowHeight="14.4" x14ac:dyDescent="0.3"/>
  <cols>
    <col min="1" max="1" width="15.77734375" bestFit="1" customWidth="1"/>
    <col min="2" max="2" width="15.33203125" bestFit="1" customWidth="1"/>
  </cols>
  <sheetData>
    <row r="3" spans="1:2" x14ac:dyDescent="0.3">
      <c r="A3" s="2" t="s">
        <v>13</v>
      </c>
      <c r="B3" t="s">
        <v>1579</v>
      </c>
    </row>
    <row r="4" spans="1:2" x14ac:dyDescent="0.3">
      <c r="A4" s="3" t="s">
        <v>88</v>
      </c>
      <c r="B4" s="5">
        <v>1001.9877692307689</v>
      </c>
    </row>
    <row r="5" spans="1:2" x14ac:dyDescent="0.3">
      <c r="A5" s="3" t="s">
        <v>22</v>
      </c>
      <c r="B5" s="5">
        <v>945.83521126760468</v>
      </c>
    </row>
    <row r="6" spans="1:2" x14ac:dyDescent="0.3">
      <c r="A6" s="3" t="s">
        <v>59</v>
      </c>
      <c r="B6" s="5">
        <v>813.46976190476221</v>
      </c>
    </row>
    <row r="7" spans="1:2" x14ac:dyDescent="0.3">
      <c r="A7" s="3" t="s">
        <v>37</v>
      </c>
      <c r="B7" s="5">
        <v>912.68166666666662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7D922-9A7B-4F9D-B791-344CD7466553}">
  <dimension ref="A3:O24"/>
  <sheetViews>
    <sheetView workbookViewId="0">
      <selection activeCell="J9" sqref="J9"/>
    </sheetView>
  </sheetViews>
  <sheetFormatPr defaultRowHeight="14.4" x14ac:dyDescent="0.3"/>
  <cols>
    <col min="1" max="1" width="20.77734375" bestFit="1" customWidth="1"/>
    <col min="2" max="2" width="15.5546875" bestFit="1" customWidth="1"/>
    <col min="3" max="3" width="8.5546875" bestFit="1" customWidth="1"/>
    <col min="4" max="4" width="10.5546875" bestFit="1" customWidth="1"/>
    <col min="5" max="5" width="8.5546875" bestFit="1" customWidth="1"/>
    <col min="6" max="6" width="10.5546875" bestFit="1" customWidth="1"/>
  </cols>
  <sheetData>
    <row r="3" spans="1:15" x14ac:dyDescent="0.3">
      <c r="A3" s="2" t="s">
        <v>1578</v>
      </c>
      <c r="B3" s="2" t="s">
        <v>1576</v>
      </c>
    </row>
    <row r="4" spans="1:15" x14ac:dyDescent="0.3">
      <c r="A4" s="2" t="s">
        <v>1566</v>
      </c>
      <c r="B4" t="s">
        <v>88</v>
      </c>
      <c r="C4" t="s">
        <v>37</v>
      </c>
    </row>
    <row r="5" spans="1:15" x14ac:dyDescent="0.3">
      <c r="A5" s="3" t="s">
        <v>111</v>
      </c>
      <c r="B5">
        <v>13</v>
      </c>
      <c r="C5">
        <v>2</v>
      </c>
      <c r="E5" s="6" t="s">
        <v>1580</v>
      </c>
      <c r="F5" s="6"/>
      <c r="G5" s="6"/>
      <c r="H5" s="6"/>
      <c r="I5" s="6"/>
      <c r="J5" s="6"/>
      <c r="K5" s="6"/>
      <c r="L5" s="6"/>
      <c r="M5" s="6"/>
      <c r="N5" s="6"/>
      <c r="O5" s="6"/>
    </row>
    <row r="6" spans="1:15" x14ac:dyDescent="0.3">
      <c r="A6" s="3" t="s">
        <v>66</v>
      </c>
      <c r="B6">
        <v>10</v>
      </c>
      <c r="C6">
        <v>5</v>
      </c>
    </row>
    <row r="7" spans="1:15" x14ac:dyDescent="0.3">
      <c r="A7" s="3" t="s">
        <v>40</v>
      </c>
      <c r="B7">
        <v>10</v>
      </c>
      <c r="C7">
        <v>4</v>
      </c>
    </row>
    <row r="8" spans="1:15" x14ac:dyDescent="0.3">
      <c r="A8" s="3" t="s">
        <v>73</v>
      </c>
      <c r="B8">
        <v>9</v>
      </c>
      <c r="C8">
        <v>6</v>
      </c>
    </row>
    <row r="9" spans="1:15" x14ac:dyDescent="0.3">
      <c r="A9" s="3" t="s">
        <v>87</v>
      </c>
      <c r="B9">
        <v>9</v>
      </c>
      <c r="C9">
        <v>5</v>
      </c>
    </row>
    <row r="10" spans="1:15" x14ac:dyDescent="0.3">
      <c r="A10" s="3" t="s">
        <v>75</v>
      </c>
      <c r="B10">
        <v>9</v>
      </c>
      <c r="C10">
        <v>8</v>
      </c>
    </row>
    <row r="11" spans="1:15" x14ac:dyDescent="0.3">
      <c r="A11" s="3" t="s">
        <v>32</v>
      </c>
      <c r="B11">
        <v>7</v>
      </c>
      <c r="C11">
        <v>9</v>
      </c>
    </row>
    <row r="12" spans="1:15" x14ac:dyDescent="0.3">
      <c r="A12" s="3" t="s">
        <v>68</v>
      </c>
      <c r="B12">
        <v>7</v>
      </c>
      <c r="C12">
        <v>12</v>
      </c>
    </row>
    <row r="13" spans="1:15" x14ac:dyDescent="0.3">
      <c r="A13" s="3" t="s">
        <v>50</v>
      </c>
      <c r="B13">
        <v>7</v>
      </c>
      <c r="C13">
        <v>12</v>
      </c>
    </row>
    <row r="14" spans="1:15" x14ac:dyDescent="0.3">
      <c r="A14" s="3" t="s">
        <v>100</v>
      </c>
      <c r="B14">
        <v>6</v>
      </c>
      <c r="C14">
        <v>5</v>
      </c>
    </row>
    <row r="15" spans="1:15" x14ac:dyDescent="0.3">
      <c r="A15" s="3" t="s">
        <v>92</v>
      </c>
      <c r="B15">
        <v>6</v>
      </c>
      <c r="C15">
        <v>6</v>
      </c>
    </row>
    <row r="16" spans="1:15" x14ac:dyDescent="0.3">
      <c r="A16" s="3" t="s">
        <v>18</v>
      </c>
      <c r="B16">
        <v>5</v>
      </c>
      <c r="C16">
        <v>5</v>
      </c>
    </row>
    <row r="17" spans="1:3" x14ac:dyDescent="0.3">
      <c r="A17" s="3" t="s">
        <v>115</v>
      </c>
      <c r="B17">
        <v>5</v>
      </c>
      <c r="C17">
        <v>4</v>
      </c>
    </row>
    <row r="18" spans="1:3" x14ac:dyDescent="0.3">
      <c r="A18" s="3" t="s">
        <v>28</v>
      </c>
      <c r="B18">
        <v>5</v>
      </c>
      <c r="C18">
        <v>5</v>
      </c>
    </row>
    <row r="19" spans="1:3" x14ac:dyDescent="0.3">
      <c r="A19" s="3" t="s">
        <v>120</v>
      </c>
      <c r="B19">
        <v>5</v>
      </c>
      <c r="C19">
        <v>13</v>
      </c>
    </row>
    <row r="20" spans="1:3" x14ac:dyDescent="0.3">
      <c r="A20" s="3" t="s">
        <v>79</v>
      </c>
      <c r="B20">
        <v>4</v>
      </c>
      <c r="C20">
        <v>8</v>
      </c>
    </row>
    <row r="21" spans="1:3" x14ac:dyDescent="0.3">
      <c r="A21" s="3" t="s">
        <v>44</v>
      </c>
      <c r="B21">
        <v>4</v>
      </c>
      <c r="C21">
        <v>9</v>
      </c>
    </row>
    <row r="22" spans="1:3" x14ac:dyDescent="0.3">
      <c r="A22" s="3" t="s">
        <v>56</v>
      </c>
      <c r="B22">
        <v>3</v>
      </c>
      <c r="C22">
        <v>8</v>
      </c>
    </row>
    <row r="23" spans="1:3" x14ac:dyDescent="0.3">
      <c r="A23" s="3" t="s">
        <v>62</v>
      </c>
      <c r="B23">
        <v>3</v>
      </c>
      <c r="C23">
        <v>13</v>
      </c>
    </row>
    <row r="24" spans="1:3" x14ac:dyDescent="0.3">
      <c r="A24" s="3" t="s">
        <v>53</v>
      </c>
      <c r="B24">
        <v>3</v>
      </c>
      <c r="C24">
        <v>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8B54E-91BA-4204-91B6-FCD60A6B9253}">
  <dimension ref="A3:F377"/>
  <sheetViews>
    <sheetView workbookViewId="0">
      <selection activeCell="O16" sqref="O16"/>
    </sheetView>
  </sheetViews>
  <sheetFormatPr defaultRowHeight="14.4" x14ac:dyDescent="0.3"/>
  <cols>
    <col min="1" max="1" width="18.5546875" bestFit="1" customWidth="1"/>
    <col min="2" max="2" width="15.5546875" bestFit="1" customWidth="1"/>
    <col min="3" max="3" width="7.88671875" bestFit="1" customWidth="1"/>
    <col min="4" max="4" width="10.33203125" bestFit="1" customWidth="1"/>
    <col min="5" max="5" width="7.5546875" bestFit="1" customWidth="1"/>
    <col min="6" max="6" width="11.21875" bestFit="1" customWidth="1"/>
    <col min="7" max="7" width="11" bestFit="1" customWidth="1"/>
  </cols>
  <sheetData>
    <row r="3" spans="1:6" x14ac:dyDescent="0.3">
      <c r="A3" s="2" t="s">
        <v>1571</v>
      </c>
      <c r="B3" s="2" t="s">
        <v>1576</v>
      </c>
    </row>
    <row r="4" spans="1:6" x14ac:dyDescent="0.3">
      <c r="A4" s="2" t="s">
        <v>1566</v>
      </c>
      <c r="B4" t="s">
        <v>49</v>
      </c>
      <c r="C4" t="s">
        <v>61</v>
      </c>
      <c r="D4" t="s">
        <v>17</v>
      </c>
      <c r="E4" t="s">
        <v>27</v>
      </c>
      <c r="F4" t="s">
        <v>99</v>
      </c>
    </row>
    <row r="5" spans="1:6" x14ac:dyDescent="0.3">
      <c r="A5" s="3" t="s">
        <v>1581</v>
      </c>
      <c r="B5" s="7"/>
      <c r="C5" s="7"/>
      <c r="D5" s="7"/>
      <c r="E5" s="7"/>
      <c r="F5" s="7"/>
    </row>
    <row r="6" spans="1:6" x14ac:dyDescent="0.3">
      <c r="A6" s="8" t="s">
        <v>1588</v>
      </c>
      <c r="B6" s="7"/>
      <c r="C6" s="7"/>
      <c r="D6" s="7"/>
      <c r="E6" s="7"/>
      <c r="F6" s="7"/>
    </row>
    <row r="7" spans="1:6" x14ac:dyDescent="0.3">
      <c r="A7" s="9">
        <v>45660</v>
      </c>
      <c r="B7" s="7">
        <v>16933.21</v>
      </c>
      <c r="C7" s="7">
        <v>7697.03</v>
      </c>
      <c r="D7" s="7">
        <v>22260.86</v>
      </c>
      <c r="E7" s="7">
        <v>4214.82</v>
      </c>
      <c r="F7" s="7">
        <v>25479.48</v>
      </c>
    </row>
    <row r="8" spans="1:6" x14ac:dyDescent="0.3">
      <c r="A8" s="8" t="s">
        <v>1589</v>
      </c>
      <c r="B8" s="7"/>
      <c r="C8" s="7"/>
      <c r="D8" s="7"/>
      <c r="E8" s="7"/>
      <c r="F8" s="7"/>
    </row>
    <row r="9" spans="1:6" x14ac:dyDescent="0.3">
      <c r="A9" s="9">
        <v>45661</v>
      </c>
      <c r="B9" s="7">
        <v>5126.79</v>
      </c>
      <c r="C9" s="7">
        <v>15308.23</v>
      </c>
      <c r="D9" s="7"/>
      <c r="E9" s="7">
        <v>31999.62</v>
      </c>
      <c r="F9" s="7">
        <v>6266.4</v>
      </c>
    </row>
    <row r="10" spans="1:6" x14ac:dyDescent="0.3">
      <c r="A10" s="8" t="s">
        <v>1590</v>
      </c>
      <c r="B10" s="7"/>
      <c r="C10" s="7"/>
      <c r="D10" s="7"/>
      <c r="E10" s="7"/>
      <c r="F10" s="7"/>
    </row>
    <row r="11" spans="1:6" x14ac:dyDescent="0.3">
      <c r="A11" s="9">
        <v>45662</v>
      </c>
      <c r="B11" s="7">
        <v>5920.7000000000007</v>
      </c>
      <c r="C11" s="7">
        <v>2062.4699999999998</v>
      </c>
      <c r="D11" s="7">
        <v>247.2</v>
      </c>
      <c r="E11" s="7"/>
      <c r="F11" s="7">
        <v>8586.82</v>
      </c>
    </row>
    <row r="12" spans="1:6" x14ac:dyDescent="0.3">
      <c r="A12" s="8" t="s">
        <v>1591</v>
      </c>
      <c r="B12" s="7"/>
      <c r="C12" s="7"/>
      <c r="D12" s="7"/>
      <c r="E12" s="7"/>
      <c r="F12" s="7"/>
    </row>
    <row r="13" spans="1:6" x14ac:dyDescent="0.3">
      <c r="A13" s="9">
        <v>45663</v>
      </c>
      <c r="B13" s="7"/>
      <c r="C13" s="7">
        <v>15459.83</v>
      </c>
      <c r="D13" s="7"/>
      <c r="E13" s="7">
        <v>9938.31</v>
      </c>
      <c r="F13" s="7">
        <v>10560.84</v>
      </c>
    </row>
    <row r="14" spans="1:6" x14ac:dyDescent="0.3">
      <c r="A14" s="8" t="s">
        <v>1592</v>
      </c>
      <c r="B14" s="7"/>
      <c r="C14" s="7"/>
      <c r="D14" s="7"/>
      <c r="E14" s="7"/>
      <c r="F14" s="7"/>
    </row>
    <row r="15" spans="1:6" x14ac:dyDescent="0.3">
      <c r="A15" s="9">
        <v>45664</v>
      </c>
      <c r="B15" s="7">
        <v>22826.799999999999</v>
      </c>
      <c r="C15" s="7"/>
      <c r="D15" s="7"/>
      <c r="E15" s="7">
        <v>24675.67</v>
      </c>
      <c r="F15" s="7">
        <v>11801.42</v>
      </c>
    </row>
    <row r="16" spans="1:6" x14ac:dyDescent="0.3">
      <c r="A16" s="8" t="s">
        <v>1593</v>
      </c>
      <c r="B16" s="7"/>
      <c r="C16" s="7"/>
      <c r="D16" s="7"/>
      <c r="E16" s="7"/>
      <c r="F16" s="7"/>
    </row>
    <row r="17" spans="1:6" x14ac:dyDescent="0.3">
      <c r="A17" s="9">
        <v>45665</v>
      </c>
      <c r="B17" s="7">
        <v>6609.82</v>
      </c>
      <c r="C17" s="7">
        <v>33282.020000000004</v>
      </c>
      <c r="D17" s="7"/>
      <c r="E17" s="7">
        <v>3204.03</v>
      </c>
      <c r="F17" s="7">
        <v>28353.34</v>
      </c>
    </row>
    <row r="18" spans="1:6" x14ac:dyDescent="0.3">
      <c r="A18" s="8" t="s">
        <v>1594</v>
      </c>
      <c r="B18" s="7"/>
      <c r="C18" s="7"/>
      <c r="D18" s="7"/>
      <c r="E18" s="7"/>
      <c r="F18" s="7"/>
    </row>
    <row r="19" spans="1:6" x14ac:dyDescent="0.3">
      <c r="A19" s="9">
        <v>45666</v>
      </c>
      <c r="B19" s="7"/>
      <c r="C19" s="7"/>
      <c r="D19" s="7">
        <v>28384.06</v>
      </c>
      <c r="E19" s="7">
        <v>7271.21</v>
      </c>
      <c r="F19" s="7"/>
    </row>
    <row r="20" spans="1:6" x14ac:dyDescent="0.3">
      <c r="A20" s="8" t="s">
        <v>1595</v>
      </c>
      <c r="B20" s="7"/>
      <c r="C20" s="7"/>
      <c r="D20" s="7"/>
      <c r="E20" s="7"/>
      <c r="F20" s="7"/>
    </row>
    <row r="21" spans="1:6" x14ac:dyDescent="0.3">
      <c r="A21" s="9">
        <v>45667</v>
      </c>
      <c r="B21" s="7">
        <v>9340.43</v>
      </c>
      <c r="C21" s="7">
        <v>10470.89</v>
      </c>
      <c r="D21" s="7">
        <v>13891.77</v>
      </c>
      <c r="E21" s="7">
        <v>14728.39</v>
      </c>
      <c r="F21" s="7">
        <v>6387.43</v>
      </c>
    </row>
    <row r="22" spans="1:6" x14ac:dyDescent="0.3">
      <c r="A22" s="8" t="s">
        <v>1596</v>
      </c>
      <c r="B22" s="7"/>
      <c r="C22" s="7"/>
      <c r="D22" s="7"/>
      <c r="E22" s="7"/>
      <c r="F22" s="7"/>
    </row>
    <row r="23" spans="1:6" x14ac:dyDescent="0.3">
      <c r="A23" s="9">
        <v>45668</v>
      </c>
      <c r="B23" s="7">
        <v>15597.62</v>
      </c>
      <c r="C23" s="7">
        <v>29952.820000000003</v>
      </c>
      <c r="D23" s="7"/>
      <c r="E23" s="7">
        <v>24951.1</v>
      </c>
      <c r="F23" s="7">
        <v>1911.55</v>
      </c>
    </row>
    <row r="24" spans="1:6" x14ac:dyDescent="0.3">
      <c r="A24" s="8" t="s">
        <v>1597</v>
      </c>
      <c r="B24" s="7"/>
      <c r="C24" s="7"/>
      <c r="D24" s="7"/>
      <c r="E24" s="7"/>
      <c r="F24" s="7"/>
    </row>
    <row r="25" spans="1:6" x14ac:dyDescent="0.3">
      <c r="A25" s="9">
        <v>45669</v>
      </c>
      <c r="B25" s="7">
        <v>20955.07</v>
      </c>
      <c r="C25" s="7">
        <v>21141.190000000002</v>
      </c>
      <c r="D25" s="7">
        <v>5187.6400000000003</v>
      </c>
      <c r="E25" s="7">
        <v>18581.240000000002</v>
      </c>
      <c r="F25" s="7">
        <v>2210.52</v>
      </c>
    </row>
    <row r="26" spans="1:6" x14ac:dyDescent="0.3">
      <c r="A26" s="8" t="s">
        <v>1598</v>
      </c>
      <c r="B26" s="7"/>
      <c r="C26" s="7"/>
      <c r="D26" s="7"/>
      <c r="E26" s="7"/>
      <c r="F26" s="7"/>
    </row>
    <row r="27" spans="1:6" x14ac:dyDescent="0.3">
      <c r="A27" s="9">
        <v>45670</v>
      </c>
      <c r="B27" s="7"/>
      <c r="C27" s="7">
        <v>10101.68</v>
      </c>
      <c r="D27" s="7"/>
      <c r="E27" s="7">
        <v>10695.32</v>
      </c>
      <c r="F27" s="7">
        <v>11524.52</v>
      </c>
    </row>
    <row r="28" spans="1:6" x14ac:dyDescent="0.3">
      <c r="A28" s="8" t="s">
        <v>1599</v>
      </c>
      <c r="B28" s="7"/>
      <c r="C28" s="7"/>
      <c r="D28" s="7"/>
      <c r="E28" s="7"/>
      <c r="F28" s="7"/>
    </row>
    <row r="29" spans="1:6" x14ac:dyDescent="0.3">
      <c r="A29" s="9">
        <v>45671</v>
      </c>
      <c r="B29" s="7">
        <v>462.32000000000005</v>
      </c>
      <c r="C29" s="7">
        <v>11819.4</v>
      </c>
      <c r="D29" s="7">
        <v>7174.42</v>
      </c>
      <c r="E29" s="7">
        <v>21862.080000000002</v>
      </c>
      <c r="F29" s="7">
        <v>2625.26</v>
      </c>
    </row>
    <row r="30" spans="1:6" x14ac:dyDescent="0.3">
      <c r="A30" s="8" t="s">
        <v>1600</v>
      </c>
      <c r="B30" s="7"/>
      <c r="C30" s="7"/>
      <c r="D30" s="7"/>
      <c r="E30" s="7"/>
      <c r="F30" s="7"/>
    </row>
    <row r="31" spans="1:6" x14ac:dyDescent="0.3">
      <c r="A31" s="9">
        <v>45672</v>
      </c>
      <c r="B31" s="7"/>
      <c r="C31" s="7"/>
      <c r="D31" s="7">
        <v>16995.23</v>
      </c>
      <c r="E31" s="7">
        <v>16421.150000000001</v>
      </c>
      <c r="F31" s="7">
        <v>11744.83</v>
      </c>
    </row>
    <row r="32" spans="1:6" x14ac:dyDescent="0.3">
      <c r="A32" s="8" t="s">
        <v>1601</v>
      </c>
      <c r="B32" s="7"/>
      <c r="C32" s="7"/>
      <c r="D32" s="7"/>
      <c r="E32" s="7"/>
      <c r="F32" s="7"/>
    </row>
    <row r="33" spans="1:6" x14ac:dyDescent="0.3">
      <c r="A33" s="9">
        <v>45673</v>
      </c>
      <c r="B33" s="7">
        <v>8943.4500000000007</v>
      </c>
      <c r="C33" s="7">
        <v>20595.179999999997</v>
      </c>
      <c r="D33" s="7">
        <v>26299.42</v>
      </c>
      <c r="E33" s="7">
        <v>33353.360000000008</v>
      </c>
      <c r="F33" s="7">
        <v>12531.550000000001</v>
      </c>
    </row>
    <row r="34" spans="1:6" x14ac:dyDescent="0.3">
      <c r="A34" s="8" t="s">
        <v>1602</v>
      </c>
      <c r="B34" s="7"/>
      <c r="C34" s="7"/>
      <c r="D34" s="7"/>
      <c r="E34" s="7"/>
      <c r="F34" s="7"/>
    </row>
    <row r="35" spans="1:6" x14ac:dyDescent="0.3">
      <c r="A35" s="9">
        <v>45674</v>
      </c>
      <c r="B35" s="7">
        <v>7828.95</v>
      </c>
      <c r="C35" s="7">
        <v>14420.26</v>
      </c>
      <c r="D35" s="7">
        <v>11022.79</v>
      </c>
      <c r="E35" s="7">
        <v>16654.54</v>
      </c>
      <c r="F35" s="7">
        <v>10242.220000000001</v>
      </c>
    </row>
    <row r="36" spans="1:6" x14ac:dyDescent="0.3">
      <c r="A36" s="8" t="s">
        <v>1603</v>
      </c>
      <c r="B36" s="7"/>
      <c r="C36" s="7"/>
      <c r="D36" s="7"/>
      <c r="E36" s="7"/>
      <c r="F36" s="7"/>
    </row>
    <row r="37" spans="1:6" x14ac:dyDescent="0.3">
      <c r="A37" s="9">
        <v>45675</v>
      </c>
      <c r="B37" s="7">
        <v>18762.699999999997</v>
      </c>
      <c r="C37" s="7">
        <v>16559.27</v>
      </c>
      <c r="D37" s="7"/>
      <c r="E37" s="7">
        <v>11392.65</v>
      </c>
      <c r="F37" s="7">
        <v>8705.130000000001</v>
      </c>
    </row>
    <row r="38" spans="1:6" x14ac:dyDescent="0.3">
      <c r="A38" s="8" t="s">
        <v>1604</v>
      </c>
      <c r="B38" s="7"/>
      <c r="C38" s="7"/>
      <c r="D38" s="7"/>
      <c r="E38" s="7"/>
      <c r="F38" s="7"/>
    </row>
    <row r="39" spans="1:6" x14ac:dyDescent="0.3">
      <c r="A39" s="9">
        <v>45676</v>
      </c>
      <c r="B39" s="7">
        <v>5078.91</v>
      </c>
      <c r="C39" s="7">
        <v>1561.15</v>
      </c>
      <c r="D39" s="7">
        <v>6890.9</v>
      </c>
      <c r="E39" s="7"/>
      <c r="F39" s="7">
        <v>25723.980000000003</v>
      </c>
    </row>
    <row r="40" spans="1:6" x14ac:dyDescent="0.3">
      <c r="A40" s="8" t="s">
        <v>1605</v>
      </c>
      <c r="B40" s="7"/>
      <c r="C40" s="7"/>
      <c r="D40" s="7"/>
      <c r="E40" s="7"/>
      <c r="F40" s="7"/>
    </row>
    <row r="41" spans="1:6" x14ac:dyDescent="0.3">
      <c r="A41" s="9">
        <v>45677</v>
      </c>
      <c r="B41" s="7">
        <v>2806.44</v>
      </c>
      <c r="C41" s="7"/>
      <c r="D41" s="7"/>
      <c r="E41" s="7">
        <v>14362.59</v>
      </c>
      <c r="F41" s="7">
        <v>10625.880000000001</v>
      </c>
    </row>
    <row r="42" spans="1:6" x14ac:dyDescent="0.3">
      <c r="A42" s="8" t="s">
        <v>1606</v>
      </c>
      <c r="B42" s="7"/>
      <c r="C42" s="7"/>
      <c r="D42" s="7"/>
      <c r="E42" s="7"/>
      <c r="F42" s="7"/>
    </row>
    <row r="43" spans="1:6" x14ac:dyDescent="0.3">
      <c r="A43" s="9">
        <v>45678</v>
      </c>
      <c r="B43" s="7">
        <v>31022.899999999998</v>
      </c>
      <c r="C43" s="7">
        <v>14043.42</v>
      </c>
      <c r="D43" s="7">
        <v>1807.49</v>
      </c>
      <c r="E43" s="7">
        <v>1177.03</v>
      </c>
      <c r="F43" s="7">
        <v>12801.63</v>
      </c>
    </row>
    <row r="44" spans="1:6" x14ac:dyDescent="0.3">
      <c r="A44" s="8" t="s">
        <v>1607</v>
      </c>
      <c r="B44" s="7"/>
      <c r="C44" s="7"/>
      <c r="D44" s="7"/>
      <c r="E44" s="7"/>
      <c r="F44" s="7"/>
    </row>
    <row r="45" spans="1:6" x14ac:dyDescent="0.3">
      <c r="A45" s="9">
        <v>45679</v>
      </c>
      <c r="B45" s="7">
        <v>8202.0499999999993</v>
      </c>
      <c r="C45" s="7"/>
      <c r="D45" s="7">
        <v>24970.06</v>
      </c>
      <c r="E45" s="7">
        <v>12588.88</v>
      </c>
      <c r="F45" s="7">
        <v>15675.47</v>
      </c>
    </row>
    <row r="46" spans="1:6" x14ac:dyDescent="0.3">
      <c r="A46" s="8" t="s">
        <v>1608</v>
      </c>
      <c r="B46" s="7"/>
      <c r="C46" s="7"/>
      <c r="D46" s="7"/>
      <c r="E46" s="7"/>
      <c r="F46" s="7"/>
    </row>
    <row r="47" spans="1:6" x14ac:dyDescent="0.3">
      <c r="A47" s="9">
        <v>45680</v>
      </c>
      <c r="B47" s="7">
        <v>7784.2099999999991</v>
      </c>
      <c r="C47" s="7">
        <v>15082.16</v>
      </c>
      <c r="D47" s="7">
        <v>6442</v>
      </c>
      <c r="E47" s="7">
        <v>2975.65</v>
      </c>
      <c r="F47" s="7">
        <v>10080.759999999998</v>
      </c>
    </row>
    <row r="48" spans="1:6" x14ac:dyDescent="0.3">
      <c r="A48" s="8" t="s">
        <v>1609</v>
      </c>
      <c r="B48" s="7"/>
      <c r="C48" s="7"/>
      <c r="D48" s="7"/>
      <c r="E48" s="7"/>
      <c r="F48" s="7"/>
    </row>
    <row r="49" spans="1:6" x14ac:dyDescent="0.3">
      <c r="A49" s="9">
        <v>45681</v>
      </c>
      <c r="B49" s="7">
        <v>24913.599999999999</v>
      </c>
      <c r="C49" s="7"/>
      <c r="D49" s="7">
        <v>13114.53</v>
      </c>
      <c r="E49" s="7">
        <v>14935.720000000001</v>
      </c>
      <c r="F49" s="7">
        <v>6893.31</v>
      </c>
    </row>
    <row r="50" spans="1:6" x14ac:dyDescent="0.3">
      <c r="A50" s="8" t="s">
        <v>1610</v>
      </c>
      <c r="B50" s="7"/>
      <c r="C50" s="7"/>
      <c r="D50" s="7"/>
      <c r="E50" s="7"/>
      <c r="F50" s="7"/>
    </row>
    <row r="51" spans="1:6" x14ac:dyDescent="0.3">
      <c r="A51" s="9">
        <v>45682</v>
      </c>
      <c r="B51" s="7"/>
      <c r="C51" s="7">
        <v>4212.43</v>
      </c>
      <c r="D51" s="7">
        <v>23563.239999999998</v>
      </c>
      <c r="E51" s="7">
        <v>3487.34</v>
      </c>
      <c r="F51" s="7">
        <v>37522.39</v>
      </c>
    </row>
    <row r="52" spans="1:6" x14ac:dyDescent="0.3">
      <c r="A52" s="8" t="s">
        <v>1611</v>
      </c>
      <c r="B52" s="7"/>
      <c r="C52" s="7"/>
      <c r="D52" s="7"/>
      <c r="E52" s="7"/>
      <c r="F52" s="7"/>
    </row>
    <row r="53" spans="1:6" x14ac:dyDescent="0.3">
      <c r="A53" s="9">
        <v>45683</v>
      </c>
      <c r="B53" s="7">
        <v>183.3</v>
      </c>
      <c r="C53" s="7">
        <v>19959.37</v>
      </c>
      <c r="D53" s="7"/>
      <c r="E53" s="7">
        <v>866.94</v>
      </c>
      <c r="F53" s="7">
        <v>20940.759999999998</v>
      </c>
    </row>
    <row r="54" spans="1:6" x14ac:dyDescent="0.3">
      <c r="A54" s="8" t="s">
        <v>1612</v>
      </c>
      <c r="B54" s="7"/>
      <c r="C54" s="7"/>
      <c r="D54" s="7"/>
      <c r="E54" s="7"/>
      <c r="F54" s="7"/>
    </row>
    <row r="55" spans="1:6" x14ac:dyDescent="0.3">
      <c r="A55" s="9">
        <v>45684</v>
      </c>
      <c r="B55" s="7">
        <v>8953.2999999999993</v>
      </c>
      <c r="C55" s="7">
        <v>12031.390000000001</v>
      </c>
      <c r="D55" s="7"/>
      <c r="E55" s="7">
        <v>54619.209999999992</v>
      </c>
      <c r="F55" s="7"/>
    </row>
    <row r="56" spans="1:6" x14ac:dyDescent="0.3">
      <c r="A56" s="8" t="s">
        <v>1613</v>
      </c>
      <c r="B56" s="7"/>
      <c r="C56" s="7"/>
      <c r="D56" s="7"/>
      <c r="E56" s="7"/>
      <c r="F56" s="7"/>
    </row>
    <row r="57" spans="1:6" x14ac:dyDescent="0.3">
      <c r="A57" s="9">
        <v>45685</v>
      </c>
      <c r="B57" s="7">
        <v>33705.53</v>
      </c>
      <c r="C57" s="7"/>
      <c r="D57" s="7">
        <v>4991.51</v>
      </c>
      <c r="E57" s="7">
        <v>4615.84</v>
      </c>
      <c r="F57" s="7">
        <v>12290.74</v>
      </c>
    </row>
    <row r="58" spans="1:6" x14ac:dyDescent="0.3">
      <c r="A58" s="8" t="s">
        <v>1614</v>
      </c>
      <c r="B58" s="7"/>
      <c r="C58" s="7"/>
      <c r="D58" s="7"/>
      <c r="E58" s="7"/>
      <c r="F58" s="7"/>
    </row>
    <row r="59" spans="1:6" x14ac:dyDescent="0.3">
      <c r="A59" s="9">
        <v>45686</v>
      </c>
      <c r="B59" s="7">
        <v>20518.64</v>
      </c>
      <c r="C59" s="7">
        <v>4078.94</v>
      </c>
      <c r="D59" s="7"/>
      <c r="E59" s="7">
        <v>17169.009999999998</v>
      </c>
      <c r="F59" s="7"/>
    </row>
    <row r="60" spans="1:6" x14ac:dyDescent="0.3">
      <c r="A60" s="8" t="s">
        <v>1615</v>
      </c>
      <c r="B60" s="7"/>
      <c r="C60" s="7"/>
      <c r="D60" s="7"/>
      <c r="E60" s="7"/>
      <c r="F60" s="7"/>
    </row>
    <row r="61" spans="1:6" x14ac:dyDescent="0.3">
      <c r="A61" s="9">
        <v>45687</v>
      </c>
      <c r="B61" s="7">
        <v>3116.06</v>
      </c>
      <c r="C61" s="7">
        <v>12949.32</v>
      </c>
      <c r="D61" s="7">
        <v>980.18</v>
      </c>
      <c r="E61" s="7"/>
      <c r="F61" s="7">
        <v>15369.8</v>
      </c>
    </row>
    <row r="62" spans="1:6" x14ac:dyDescent="0.3">
      <c r="A62" s="8" t="s">
        <v>1616</v>
      </c>
      <c r="B62" s="7"/>
      <c r="C62" s="7"/>
      <c r="D62" s="7"/>
      <c r="E62" s="7"/>
      <c r="F62" s="7"/>
    </row>
    <row r="63" spans="1:6" x14ac:dyDescent="0.3">
      <c r="A63" s="9">
        <v>45688</v>
      </c>
      <c r="B63" s="7">
        <v>7192.38</v>
      </c>
      <c r="C63" s="7">
        <v>22614.02</v>
      </c>
      <c r="D63" s="7">
        <v>4610.17</v>
      </c>
      <c r="E63" s="7">
        <v>3923.65</v>
      </c>
      <c r="F63" s="7">
        <v>5862.02</v>
      </c>
    </row>
    <row r="64" spans="1:6" x14ac:dyDescent="0.3">
      <c r="A64" s="3" t="s">
        <v>1582</v>
      </c>
      <c r="B64" s="7"/>
      <c r="C64" s="7"/>
      <c r="D64" s="7"/>
      <c r="E64" s="7"/>
      <c r="F64" s="7"/>
    </row>
    <row r="65" spans="1:6" x14ac:dyDescent="0.3">
      <c r="A65" s="8" t="s">
        <v>1617</v>
      </c>
      <c r="B65" s="7"/>
      <c r="C65" s="7"/>
      <c r="D65" s="7"/>
      <c r="E65" s="7"/>
      <c r="F65" s="7"/>
    </row>
    <row r="66" spans="1:6" x14ac:dyDescent="0.3">
      <c r="A66" s="9">
        <v>45689</v>
      </c>
      <c r="B66" s="7">
        <v>11785.75</v>
      </c>
      <c r="C66" s="7">
        <v>3218.73</v>
      </c>
      <c r="D66" s="7">
        <v>10216.16</v>
      </c>
      <c r="E66" s="7">
        <v>5248.65</v>
      </c>
      <c r="F66" s="7">
        <v>14518.31</v>
      </c>
    </row>
    <row r="67" spans="1:6" x14ac:dyDescent="0.3">
      <c r="A67" s="8" t="s">
        <v>1618</v>
      </c>
      <c r="B67" s="7"/>
      <c r="C67" s="7"/>
      <c r="D67" s="7"/>
      <c r="E67" s="7"/>
      <c r="F67" s="7"/>
    </row>
    <row r="68" spans="1:6" x14ac:dyDescent="0.3">
      <c r="A68" s="9">
        <v>45690</v>
      </c>
      <c r="B68" s="7">
        <v>20614.16</v>
      </c>
      <c r="C68" s="7">
        <v>9720.82</v>
      </c>
      <c r="D68" s="7">
        <v>36758.239999999998</v>
      </c>
      <c r="E68" s="7"/>
      <c r="F68" s="7">
        <v>27008.28</v>
      </c>
    </row>
    <row r="69" spans="1:6" x14ac:dyDescent="0.3">
      <c r="A69" s="8" t="s">
        <v>1619</v>
      </c>
      <c r="B69" s="7"/>
      <c r="C69" s="7"/>
      <c r="D69" s="7"/>
      <c r="E69" s="7"/>
      <c r="F69" s="7"/>
    </row>
    <row r="70" spans="1:6" x14ac:dyDescent="0.3">
      <c r="A70" s="9">
        <v>45691</v>
      </c>
      <c r="B70" s="7">
        <v>11221.72</v>
      </c>
      <c r="C70" s="7">
        <v>22327.18</v>
      </c>
      <c r="D70" s="7">
        <v>20899.53</v>
      </c>
      <c r="E70" s="7">
        <v>1275.97</v>
      </c>
      <c r="F70" s="7">
        <v>6422.63</v>
      </c>
    </row>
    <row r="71" spans="1:6" x14ac:dyDescent="0.3">
      <c r="A71" s="8" t="s">
        <v>1620</v>
      </c>
      <c r="B71" s="7"/>
      <c r="C71" s="7"/>
      <c r="D71" s="7"/>
      <c r="E71" s="7"/>
      <c r="F71" s="7"/>
    </row>
    <row r="72" spans="1:6" x14ac:dyDescent="0.3">
      <c r="A72" s="9">
        <v>45692</v>
      </c>
      <c r="B72" s="7"/>
      <c r="C72" s="7">
        <v>3268.39</v>
      </c>
      <c r="D72" s="7">
        <v>44967.77</v>
      </c>
      <c r="E72" s="7"/>
      <c r="F72" s="7">
        <v>17107.48</v>
      </c>
    </row>
    <row r="73" spans="1:6" x14ac:dyDescent="0.3">
      <c r="A73" s="8" t="s">
        <v>1621</v>
      </c>
      <c r="B73" s="7"/>
      <c r="C73" s="7"/>
      <c r="D73" s="7"/>
      <c r="E73" s="7"/>
      <c r="F73" s="7"/>
    </row>
    <row r="74" spans="1:6" x14ac:dyDescent="0.3">
      <c r="A74" s="9">
        <v>45693</v>
      </c>
      <c r="B74" s="7">
        <v>7609.27</v>
      </c>
      <c r="C74" s="7">
        <v>1428.94</v>
      </c>
      <c r="D74" s="7"/>
      <c r="E74" s="7"/>
      <c r="F74" s="7">
        <v>379.16</v>
      </c>
    </row>
    <row r="75" spans="1:6" x14ac:dyDescent="0.3">
      <c r="A75" s="8" t="s">
        <v>1622</v>
      </c>
      <c r="B75" s="7"/>
      <c r="C75" s="7"/>
      <c r="D75" s="7"/>
      <c r="E75" s="7"/>
      <c r="F75" s="7"/>
    </row>
    <row r="76" spans="1:6" x14ac:dyDescent="0.3">
      <c r="A76" s="9">
        <v>45694</v>
      </c>
      <c r="B76" s="7">
        <v>5691.3</v>
      </c>
      <c r="C76" s="7">
        <v>5062.7299999999996</v>
      </c>
      <c r="D76" s="7">
        <v>5012.6400000000003</v>
      </c>
      <c r="E76" s="7"/>
      <c r="F76" s="7">
        <v>11319.5</v>
      </c>
    </row>
    <row r="77" spans="1:6" x14ac:dyDescent="0.3">
      <c r="A77" s="8" t="s">
        <v>1623</v>
      </c>
      <c r="B77" s="7"/>
      <c r="C77" s="7"/>
      <c r="D77" s="7"/>
      <c r="E77" s="7"/>
      <c r="F77" s="7"/>
    </row>
    <row r="78" spans="1:6" x14ac:dyDescent="0.3">
      <c r="A78" s="9">
        <v>45695</v>
      </c>
      <c r="B78" s="7">
        <v>4524.47</v>
      </c>
      <c r="C78" s="7">
        <v>419.66</v>
      </c>
      <c r="D78" s="7">
        <v>25951.129999999997</v>
      </c>
      <c r="E78" s="7">
        <v>5856.71</v>
      </c>
      <c r="F78" s="7">
        <v>5560.89</v>
      </c>
    </row>
    <row r="79" spans="1:6" x14ac:dyDescent="0.3">
      <c r="A79" s="8" t="s">
        <v>1624</v>
      </c>
      <c r="B79" s="7"/>
      <c r="C79" s="7"/>
      <c r="D79" s="7"/>
      <c r="E79" s="7"/>
      <c r="F79" s="7"/>
    </row>
    <row r="80" spans="1:6" x14ac:dyDescent="0.3">
      <c r="A80" s="9">
        <v>45696</v>
      </c>
      <c r="B80" s="7"/>
      <c r="C80" s="7">
        <v>13295.630000000001</v>
      </c>
      <c r="D80" s="7">
        <v>2568.0300000000002</v>
      </c>
      <c r="E80" s="7"/>
      <c r="F80" s="7">
        <v>14580.45</v>
      </c>
    </row>
    <row r="81" spans="1:6" x14ac:dyDescent="0.3">
      <c r="A81" s="8" t="s">
        <v>1625</v>
      </c>
      <c r="B81" s="7"/>
      <c r="C81" s="7"/>
      <c r="D81" s="7"/>
      <c r="E81" s="7"/>
      <c r="F81" s="7"/>
    </row>
    <row r="82" spans="1:6" x14ac:dyDescent="0.3">
      <c r="A82" s="9">
        <v>45697</v>
      </c>
      <c r="B82" s="7">
        <v>8702.14</v>
      </c>
      <c r="C82" s="7">
        <v>7714.69</v>
      </c>
      <c r="D82" s="7">
        <v>16483.21</v>
      </c>
      <c r="E82" s="7">
        <v>5879.09</v>
      </c>
      <c r="F82" s="7">
        <v>9522.59</v>
      </c>
    </row>
    <row r="83" spans="1:6" x14ac:dyDescent="0.3">
      <c r="A83" s="8" t="s">
        <v>1626</v>
      </c>
      <c r="B83" s="7"/>
      <c r="C83" s="7"/>
      <c r="D83" s="7"/>
      <c r="E83" s="7"/>
      <c r="F83" s="7"/>
    </row>
    <row r="84" spans="1:6" x14ac:dyDescent="0.3">
      <c r="A84" s="9">
        <v>45698</v>
      </c>
      <c r="B84" s="7">
        <v>5482.9900000000007</v>
      </c>
      <c r="C84" s="7">
        <v>7399.2</v>
      </c>
      <c r="D84" s="7">
        <v>5831.62</v>
      </c>
      <c r="E84" s="7">
        <v>6325.55</v>
      </c>
      <c r="F84" s="7">
        <v>29649.73</v>
      </c>
    </row>
    <row r="85" spans="1:6" x14ac:dyDescent="0.3">
      <c r="A85" s="8" t="s">
        <v>1627</v>
      </c>
      <c r="B85" s="7"/>
      <c r="C85" s="7"/>
      <c r="D85" s="7"/>
      <c r="E85" s="7"/>
      <c r="F85" s="7"/>
    </row>
    <row r="86" spans="1:6" x14ac:dyDescent="0.3">
      <c r="A86" s="9">
        <v>45699</v>
      </c>
      <c r="B86" s="7">
        <v>8439.17</v>
      </c>
      <c r="C86" s="7"/>
      <c r="D86" s="7">
        <v>8676.83</v>
      </c>
      <c r="E86" s="7">
        <v>338.87</v>
      </c>
      <c r="F86" s="7">
        <v>2383.44</v>
      </c>
    </row>
    <row r="87" spans="1:6" x14ac:dyDescent="0.3">
      <c r="A87" s="8" t="s">
        <v>1628</v>
      </c>
      <c r="B87" s="7"/>
      <c r="C87" s="7"/>
      <c r="D87" s="7"/>
      <c r="E87" s="7"/>
      <c r="F87" s="7"/>
    </row>
    <row r="88" spans="1:6" x14ac:dyDescent="0.3">
      <c r="A88" s="9">
        <v>45700</v>
      </c>
      <c r="B88" s="7">
        <v>21980.21</v>
      </c>
      <c r="C88" s="7"/>
      <c r="D88" s="7">
        <v>16512.650000000001</v>
      </c>
      <c r="E88" s="7">
        <v>17676.88</v>
      </c>
      <c r="F88" s="7">
        <v>10366.36</v>
      </c>
    </row>
    <row r="89" spans="1:6" x14ac:dyDescent="0.3">
      <c r="A89" s="8" t="s">
        <v>1629</v>
      </c>
      <c r="B89" s="7"/>
      <c r="C89" s="7"/>
      <c r="D89" s="7"/>
      <c r="E89" s="7"/>
      <c r="F89" s="7"/>
    </row>
    <row r="90" spans="1:6" x14ac:dyDescent="0.3">
      <c r="A90" s="9">
        <v>45701</v>
      </c>
      <c r="B90" s="7">
        <v>19531.68</v>
      </c>
      <c r="C90" s="7">
        <v>351.5</v>
      </c>
      <c r="D90" s="7">
        <v>13242.730000000001</v>
      </c>
      <c r="E90" s="7">
        <v>19300.510000000002</v>
      </c>
      <c r="F90" s="7">
        <v>18055.03</v>
      </c>
    </row>
    <row r="91" spans="1:6" x14ac:dyDescent="0.3">
      <c r="A91" s="8" t="s">
        <v>1630</v>
      </c>
      <c r="B91" s="7"/>
      <c r="C91" s="7"/>
      <c r="D91" s="7"/>
      <c r="E91" s="7"/>
      <c r="F91" s="7"/>
    </row>
    <row r="92" spans="1:6" x14ac:dyDescent="0.3">
      <c r="A92" s="9">
        <v>45702</v>
      </c>
      <c r="B92" s="7">
        <v>15700.45</v>
      </c>
      <c r="C92" s="7">
        <v>15763.43</v>
      </c>
      <c r="D92" s="7">
        <v>1227.55</v>
      </c>
      <c r="E92" s="7">
        <v>4358.4799999999996</v>
      </c>
      <c r="F92" s="7">
        <v>6973.67</v>
      </c>
    </row>
    <row r="93" spans="1:6" x14ac:dyDescent="0.3">
      <c r="A93" s="8" t="s">
        <v>1631</v>
      </c>
      <c r="B93" s="7"/>
      <c r="C93" s="7"/>
      <c r="D93" s="7"/>
      <c r="E93" s="7"/>
      <c r="F93" s="7"/>
    </row>
    <row r="94" spans="1:6" x14ac:dyDescent="0.3">
      <c r="A94" s="9">
        <v>45703</v>
      </c>
      <c r="B94" s="7">
        <v>3591.8999999999996</v>
      </c>
      <c r="C94" s="7">
        <v>19668.04</v>
      </c>
      <c r="D94" s="7">
        <v>33635.61</v>
      </c>
      <c r="E94" s="7">
        <v>1717.48</v>
      </c>
      <c r="F94" s="7"/>
    </row>
    <row r="95" spans="1:6" x14ac:dyDescent="0.3">
      <c r="A95" s="8" t="s">
        <v>1632</v>
      </c>
      <c r="B95" s="7"/>
      <c r="C95" s="7"/>
      <c r="D95" s="7"/>
      <c r="E95" s="7"/>
      <c r="F95" s="7"/>
    </row>
    <row r="96" spans="1:6" x14ac:dyDescent="0.3">
      <c r="A96" s="9">
        <v>45704</v>
      </c>
      <c r="B96" s="7">
        <v>27066.300000000003</v>
      </c>
      <c r="C96" s="7">
        <v>29657.789999999997</v>
      </c>
      <c r="D96" s="7">
        <v>8853.61</v>
      </c>
      <c r="E96" s="7">
        <v>442.96</v>
      </c>
      <c r="F96" s="7">
        <v>3010.18</v>
      </c>
    </row>
    <row r="97" spans="1:6" x14ac:dyDescent="0.3">
      <c r="A97" s="8" t="s">
        <v>1633</v>
      </c>
      <c r="B97" s="7"/>
      <c r="C97" s="7"/>
      <c r="D97" s="7"/>
      <c r="E97" s="7"/>
      <c r="F97" s="7"/>
    </row>
    <row r="98" spans="1:6" x14ac:dyDescent="0.3">
      <c r="A98" s="9">
        <v>45705</v>
      </c>
      <c r="B98" s="7">
        <v>5567.68</v>
      </c>
      <c r="C98" s="7">
        <v>7397.69</v>
      </c>
      <c r="D98" s="7">
        <v>3901.34</v>
      </c>
      <c r="E98" s="7">
        <v>19557.22</v>
      </c>
      <c r="F98" s="7">
        <v>1739.3</v>
      </c>
    </row>
    <row r="99" spans="1:6" x14ac:dyDescent="0.3">
      <c r="A99" s="8" t="s">
        <v>1634</v>
      </c>
      <c r="B99" s="7"/>
      <c r="C99" s="7"/>
      <c r="D99" s="7"/>
      <c r="E99" s="7"/>
      <c r="F99" s="7"/>
    </row>
    <row r="100" spans="1:6" x14ac:dyDescent="0.3">
      <c r="A100" s="9">
        <v>45706</v>
      </c>
      <c r="B100" s="7">
        <v>10778.42</v>
      </c>
      <c r="C100" s="7">
        <v>43488.03</v>
      </c>
      <c r="D100" s="7">
        <v>6433.7</v>
      </c>
      <c r="E100" s="7">
        <v>14085.42</v>
      </c>
      <c r="F100" s="7">
        <v>1323.65</v>
      </c>
    </row>
    <row r="101" spans="1:6" x14ac:dyDescent="0.3">
      <c r="A101" s="8" t="s">
        <v>1635</v>
      </c>
      <c r="B101" s="7"/>
      <c r="C101" s="7"/>
      <c r="D101" s="7"/>
      <c r="E101" s="7"/>
      <c r="F101" s="7"/>
    </row>
    <row r="102" spans="1:6" x14ac:dyDescent="0.3">
      <c r="A102" s="9">
        <v>45707</v>
      </c>
      <c r="B102" s="7">
        <v>26188.65</v>
      </c>
      <c r="C102" s="7">
        <v>9722.06</v>
      </c>
      <c r="D102" s="7">
        <v>15160.58</v>
      </c>
      <c r="E102" s="7">
        <v>11104.119999999999</v>
      </c>
      <c r="F102" s="7">
        <v>16626.660000000003</v>
      </c>
    </row>
    <row r="103" spans="1:6" x14ac:dyDescent="0.3">
      <c r="A103" s="8" t="s">
        <v>1636</v>
      </c>
      <c r="B103" s="7"/>
      <c r="C103" s="7"/>
      <c r="D103" s="7"/>
      <c r="E103" s="7"/>
      <c r="F103" s="7"/>
    </row>
    <row r="104" spans="1:6" x14ac:dyDescent="0.3">
      <c r="A104" s="9">
        <v>45708</v>
      </c>
      <c r="B104" s="7">
        <v>5618.79</v>
      </c>
      <c r="C104" s="7">
        <v>11028.27</v>
      </c>
      <c r="D104" s="7">
        <v>37242.21</v>
      </c>
      <c r="E104" s="7">
        <v>1537.3600000000001</v>
      </c>
      <c r="F104" s="7">
        <v>27332.370000000003</v>
      </c>
    </row>
    <row r="105" spans="1:6" x14ac:dyDescent="0.3">
      <c r="A105" s="8" t="s">
        <v>1637</v>
      </c>
      <c r="B105" s="7"/>
      <c r="C105" s="7"/>
      <c r="D105" s="7"/>
      <c r="E105" s="7"/>
      <c r="F105" s="7"/>
    </row>
    <row r="106" spans="1:6" x14ac:dyDescent="0.3">
      <c r="A106" s="9">
        <v>45709</v>
      </c>
      <c r="B106" s="7"/>
      <c r="C106" s="7"/>
      <c r="D106" s="7">
        <v>11101.77</v>
      </c>
      <c r="E106" s="7">
        <v>469.11</v>
      </c>
      <c r="F106" s="7">
        <v>8337.5400000000009</v>
      </c>
    </row>
    <row r="107" spans="1:6" x14ac:dyDescent="0.3">
      <c r="A107" s="8" t="s">
        <v>1638</v>
      </c>
      <c r="B107" s="7"/>
      <c r="C107" s="7"/>
      <c r="D107" s="7"/>
      <c r="E107" s="7"/>
      <c r="F107" s="7"/>
    </row>
    <row r="108" spans="1:6" x14ac:dyDescent="0.3">
      <c r="A108" s="9">
        <v>45710</v>
      </c>
      <c r="B108" s="7">
        <v>3991.74</v>
      </c>
      <c r="C108" s="7">
        <v>10265.1</v>
      </c>
      <c r="D108" s="7"/>
      <c r="E108" s="7">
        <v>8603.93</v>
      </c>
      <c r="F108" s="7">
        <v>29959.010000000002</v>
      </c>
    </row>
    <row r="109" spans="1:6" x14ac:dyDescent="0.3">
      <c r="A109" s="8" t="s">
        <v>1639</v>
      </c>
      <c r="B109" s="7"/>
      <c r="C109" s="7"/>
      <c r="D109" s="7"/>
      <c r="E109" s="7"/>
      <c r="F109" s="7"/>
    </row>
    <row r="110" spans="1:6" x14ac:dyDescent="0.3">
      <c r="A110" s="9">
        <v>45711</v>
      </c>
      <c r="B110" s="7">
        <v>26483.190000000002</v>
      </c>
      <c r="C110" s="7">
        <v>13476.279999999999</v>
      </c>
      <c r="D110" s="7">
        <v>23253.7</v>
      </c>
      <c r="E110" s="7">
        <v>30965.43</v>
      </c>
      <c r="F110" s="7">
        <v>25572.38</v>
      </c>
    </row>
    <row r="111" spans="1:6" x14ac:dyDescent="0.3">
      <c r="A111" s="8" t="s">
        <v>1640</v>
      </c>
      <c r="B111" s="7"/>
      <c r="C111" s="7"/>
      <c r="D111" s="7"/>
      <c r="E111" s="7"/>
      <c r="F111" s="7"/>
    </row>
    <row r="112" spans="1:6" x14ac:dyDescent="0.3">
      <c r="A112" s="9">
        <v>45712</v>
      </c>
      <c r="B112" s="7">
        <v>19235.650000000001</v>
      </c>
      <c r="C112" s="7">
        <v>6954.62</v>
      </c>
      <c r="D112" s="7">
        <v>4087.64</v>
      </c>
      <c r="E112" s="7">
        <v>22077.510000000002</v>
      </c>
      <c r="F112" s="7">
        <v>16557.3</v>
      </c>
    </row>
    <row r="113" spans="1:6" x14ac:dyDescent="0.3">
      <c r="A113" s="8" t="s">
        <v>1641</v>
      </c>
      <c r="B113" s="7"/>
      <c r="C113" s="7"/>
      <c r="D113" s="7"/>
      <c r="E113" s="7"/>
      <c r="F113" s="7"/>
    </row>
    <row r="114" spans="1:6" x14ac:dyDescent="0.3">
      <c r="A114" s="9">
        <v>45713</v>
      </c>
      <c r="B114" s="7">
        <v>25933.07</v>
      </c>
      <c r="C114" s="7">
        <v>3630.02</v>
      </c>
      <c r="D114" s="7">
        <v>9734.8499999999985</v>
      </c>
      <c r="E114" s="7">
        <v>2918.16</v>
      </c>
      <c r="F114" s="7">
        <v>9212.56</v>
      </c>
    </row>
    <row r="115" spans="1:6" x14ac:dyDescent="0.3">
      <c r="A115" s="8" t="s">
        <v>1642</v>
      </c>
      <c r="B115" s="7"/>
      <c r="C115" s="7"/>
      <c r="D115" s="7"/>
      <c r="E115" s="7"/>
      <c r="F115" s="7"/>
    </row>
    <row r="116" spans="1:6" x14ac:dyDescent="0.3">
      <c r="A116" s="9">
        <v>45714</v>
      </c>
      <c r="B116" s="7">
        <v>6586.5</v>
      </c>
      <c r="C116" s="7"/>
      <c r="D116" s="7">
        <v>10020.98</v>
      </c>
      <c r="E116" s="7">
        <v>4774.0200000000004</v>
      </c>
      <c r="F116" s="7">
        <v>30533.920000000002</v>
      </c>
    </row>
    <row r="117" spans="1:6" x14ac:dyDescent="0.3">
      <c r="A117" s="8" t="s">
        <v>1643</v>
      </c>
      <c r="B117" s="7"/>
      <c r="C117" s="7"/>
      <c r="D117" s="7"/>
      <c r="E117" s="7"/>
      <c r="F117" s="7"/>
    </row>
    <row r="118" spans="1:6" x14ac:dyDescent="0.3">
      <c r="A118" s="9">
        <v>45715</v>
      </c>
      <c r="B118" s="7">
        <v>12393.38</v>
      </c>
      <c r="C118" s="7">
        <v>3810.51</v>
      </c>
      <c r="D118" s="7">
        <v>11300.279999999999</v>
      </c>
      <c r="E118" s="7">
        <v>25603.62</v>
      </c>
      <c r="F118" s="7">
        <v>21266.65</v>
      </c>
    </row>
    <row r="119" spans="1:6" x14ac:dyDescent="0.3">
      <c r="A119" s="8" t="s">
        <v>1644</v>
      </c>
      <c r="B119" s="7"/>
      <c r="C119" s="7"/>
      <c r="D119" s="7"/>
      <c r="E119" s="7"/>
      <c r="F119" s="7"/>
    </row>
    <row r="120" spans="1:6" x14ac:dyDescent="0.3">
      <c r="A120" s="9">
        <v>45716</v>
      </c>
      <c r="B120" s="7">
        <v>6279.47</v>
      </c>
      <c r="C120" s="7">
        <v>5406.08</v>
      </c>
      <c r="D120" s="7">
        <v>24599.62</v>
      </c>
      <c r="E120" s="7">
        <v>10845.37</v>
      </c>
      <c r="F120" s="7">
        <v>9827.07</v>
      </c>
    </row>
    <row r="121" spans="1:6" x14ac:dyDescent="0.3">
      <c r="A121" s="3" t="s">
        <v>1583</v>
      </c>
      <c r="B121" s="7"/>
      <c r="C121" s="7"/>
      <c r="D121" s="7"/>
      <c r="E121" s="7"/>
      <c r="F121" s="7"/>
    </row>
    <row r="122" spans="1:6" x14ac:dyDescent="0.3">
      <c r="A122" s="8" t="s">
        <v>1645</v>
      </c>
      <c r="B122" s="7"/>
      <c r="C122" s="7"/>
      <c r="D122" s="7"/>
      <c r="E122" s="7"/>
      <c r="F122" s="7"/>
    </row>
    <row r="123" spans="1:6" x14ac:dyDescent="0.3">
      <c r="A123" s="9">
        <v>45717</v>
      </c>
      <c r="B123" s="7">
        <v>7129.98</v>
      </c>
      <c r="C123" s="7">
        <v>12740.84</v>
      </c>
      <c r="D123" s="7"/>
      <c r="E123" s="7">
        <v>13583.35</v>
      </c>
      <c r="F123" s="7">
        <v>21571.97</v>
      </c>
    </row>
    <row r="124" spans="1:6" x14ac:dyDescent="0.3">
      <c r="A124" s="8" t="s">
        <v>1646</v>
      </c>
      <c r="B124" s="7"/>
      <c r="C124" s="7"/>
      <c r="D124" s="7"/>
      <c r="E124" s="7"/>
      <c r="F124" s="7"/>
    </row>
    <row r="125" spans="1:6" x14ac:dyDescent="0.3">
      <c r="A125" s="9">
        <v>45718</v>
      </c>
      <c r="B125" s="7">
        <v>12452.06</v>
      </c>
      <c r="C125" s="7">
        <v>12812.8</v>
      </c>
      <c r="D125" s="7">
        <v>8146.6299999999992</v>
      </c>
      <c r="E125" s="7">
        <v>17745.78</v>
      </c>
      <c r="F125" s="7">
        <v>21131.71</v>
      </c>
    </row>
    <row r="126" spans="1:6" x14ac:dyDescent="0.3">
      <c r="A126" s="8" t="s">
        <v>1647</v>
      </c>
      <c r="B126" s="7"/>
      <c r="C126" s="7"/>
      <c r="D126" s="7"/>
      <c r="E126" s="7"/>
      <c r="F126" s="7"/>
    </row>
    <row r="127" spans="1:6" x14ac:dyDescent="0.3">
      <c r="A127" s="9">
        <v>45719</v>
      </c>
      <c r="B127" s="7">
        <v>28903.89</v>
      </c>
      <c r="C127" s="7">
        <v>4024.6</v>
      </c>
      <c r="D127" s="7">
        <v>5839.48</v>
      </c>
      <c r="E127" s="7">
        <v>1191.67</v>
      </c>
      <c r="F127" s="7">
        <v>17696.900000000001</v>
      </c>
    </row>
    <row r="128" spans="1:6" x14ac:dyDescent="0.3">
      <c r="A128" s="8" t="s">
        <v>1648</v>
      </c>
      <c r="B128" s="7"/>
      <c r="C128" s="7"/>
      <c r="D128" s="7"/>
      <c r="E128" s="7"/>
      <c r="F128" s="7"/>
    </row>
    <row r="129" spans="1:6" x14ac:dyDescent="0.3">
      <c r="A129" s="9">
        <v>45720</v>
      </c>
      <c r="B129" s="7">
        <v>27012.9</v>
      </c>
      <c r="C129" s="7">
        <v>11276.89</v>
      </c>
      <c r="D129" s="7">
        <v>3742.74</v>
      </c>
      <c r="E129" s="7">
        <v>22917.93</v>
      </c>
      <c r="F129" s="7">
        <v>14606.57</v>
      </c>
    </row>
    <row r="130" spans="1:6" x14ac:dyDescent="0.3">
      <c r="A130" s="8" t="s">
        <v>1649</v>
      </c>
      <c r="B130" s="7"/>
      <c r="C130" s="7"/>
      <c r="D130" s="7"/>
      <c r="E130" s="7"/>
      <c r="F130" s="7"/>
    </row>
    <row r="131" spans="1:6" x14ac:dyDescent="0.3">
      <c r="A131" s="9">
        <v>45721</v>
      </c>
      <c r="B131" s="7">
        <v>30160.720000000001</v>
      </c>
      <c r="C131" s="7">
        <v>3868.74</v>
      </c>
      <c r="D131" s="7">
        <v>38350.070000000007</v>
      </c>
      <c r="E131" s="7"/>
      <c r="F131" s="7"/>
    </row>
    <row r="132" spans="1:6" x14ac:dyDescent="0.3">
      <c r="A132" s="8" t="s">
        <v>1650</v>
      </c>
      <c r="B132" s="7"/>
      <c r="C132" s="7"/>
      <c r="D132" s="7"/>
      <c r="E132" s="7"/>
      <c r="F132" s="7"/>
    </row>
    <row r="133" spans="1:6" x14ac:dyDescent="0.3">
      <c r="A133" s="9">
        <v>45722</v>
      </c>
      <c r="B133" s="7">
        <v>2844.35</v>
      </c>
      <c r="C133" s="7">
        <v>8099.55</v>
      </c>
      <c r="D133" s="7">
        <v>8848.41</v>
      </c>
      <c r="E133" s="7">
        <v>23100.58</v>
      </c>
      <c r="F133" s="7">
        <v>25056.98</v>
      </c>
    </row>
    <row r="134" spans="1:6" x14ac:dyDescent="0.3">
      <c r="A134" s="8" t="s">
        <v>1651</v>
      </c>
      <c r="B134" s="7"/>
      <c r="C134" s="7"/>
      <c r="D134" s="7"/>
      <c r="E134" s="7"/>
      <c r="F134" s="7"/>
    </row>
    <row r="135" spans="1:6" x14ac:dyDescent="0.3">
      <c r="A135" s="9">
        <v>45723</v>
      </c>
      <c r="B135" s="7">
        <v>2801.28</v>
      </c>
      <c r="C135" s="7"/>
      <c r="D135" s="7"/>
      <c r="E135" s="7">
        <v>12335.02</v>
      </c>
      <c r="F135" s="7">
        <v>8051.65</v>
      </c>
    </row>
    <row r="136" spans="1:6" x14ac:dyDescent="0.3">
      <c r="A136" s="8" t="s">
        <v>1652</v>
      </c>
      <c r="B136" s="7"/>
      <c r="C136" s="7"/>
      <c r="D136" s="7"/>
      <c r="E136" s="7"/>
      <c r="F136" s="7"/>
    </row>
    <row r="137" spans="1:6" x14ac:dyDescent="0.3">
      <c r="A137" s="9">
        <v>45724</v>
      </c>
      <c r="B137" s="7"/>
      <c r="C137" s="7">
        <v>22450.07</v>
      </c>
      <c r="D137" s="7">
        <v>24200.899999999998</v>
      </c>
      <c r="E137" s="7"/>
      <c r="F137" s="7">
        <v>32204.729999999996</v>
      </c>
    </row>
    <row r="138" spans="1:6" x14ac:dyDescent="0.3">
      <c r="A138" s="8" t="s">
        <v>1653</v>
      </c>
      <c r="B138" s="7"/>
      <c r="C138" s="7"/>
      <c r="D138" s="7"/>
      <c r="E138" s="7"/>
      <c r="F138" s="7"/>
    </row>
    <row r="139" spans="1:6" x14ac:dyDescent="0.3">
      <c r="A139" s="9">
        <v>45725</v>
      </c>
      <c r="B139" s="7">
        <v>40514.199999999997</v>
      </c>
      <c r="C139" s="7">
        <v>11101.52</v>
      </c>
      <c r="D139" s="7"/>
      <c r="E139" s="7"/>
      <c r="F139" s="7">
        <v>34270.550000000003</v>
      </c>
    </row>
    <row r="140" spans="1:6" x14ac:dyDescent="0.3">
      <c r="A140" s="8" t="s">
        <v>1654</v>
      </c>
      <c r="B140" s="7"/>
      <c r="C140" s="7"/>
      <c r="D140" s="7"/>
      <c r="E140" s="7"/>
      <c r="F140" s="7"/>
    </row>
    <row r="141" spans="1:6" x14ac:dyDescent="0.3">
      <c r="A141" s="9">
        <v>45726</v>
      </c>
      <c r="B141" s="7">
        <v>9161.02</v>
      </c>
      <c r="C141" s="7"/>
      <c r="D141" s="7">
        <v>6703.04</v>
      </c>
      <c r="E141" s="7">
        <v>20793.060000000001</v>
      </c>
      <c r="F141" s="7">
        <v>35106.93</v>
      </c>
    </row>
    <row r="142" spans="1:6" x14ac:dyDescent="0.3">
      <c r="A142" s="8" t="s">
        <v>1655</v>
      </c>
      <c r="B142" s="7"/>
      <c r="C142" s="7"/>
      <c r="D142" s="7"/>
      <c r="E142" s="7"/>
      <c r="F142" s="7"/>
    </row>
    <row r="143" spans="1:6" x14ac:dyDescent="0.3">
      <c r="A143" s="9">
        <v>45727</v>
      </c>
      <c r="B143" s="7">
        <v>19945.05</v>
      </c>
      <c r="C143" s="7"/>
      <c r="D143" s="7">
        <v>501.67</v>
      </c>
      <c r="E143" s="7">
        <v>16133.01</v>
      </c>
      <c r="F143" s="7">
        <v>3018.49</v>
      </c>
    </row>
    <row r="144" spans="1:6" x14ac:dyDescent="0.3">
      <c r="A144" s="8" t="s">
        <v>1656</v>
      </c>
      <c r="B144" s="7"/>
      <c r="C144" s="7"/>
      <c r="D144" s="7"/>
      <c r="E144" s="7"/>
      <c r="F144" s="7"/>
    </row>
    <row r="145" spans="1:6" x14ac:dyDescent="0.3">
      <c r="A145" s="9">
        <v>45728</v>
      </c>
      <c r="B145" s="7">
        <v>3359.69</v>
      </c>
      <c r="C145" s="7">
        <v>14248.76</v>
      </c>
      <c r="D145" s="7"/>
      <c r="E145" s="7">
        <v>6558.1299999999992</v>
      </c>
      <c r="F145" s="7">
        <v>4181.45</v>
      </c>
    </row>
    <row r="146" spans="1:6" x14ac:dyDescent="0.3">
      <c r="A146" s="8" t="s">
        <v>1657</v>
      </c>
      <c r="B146" s="7"/>
      <c r="C146" s="7"/>
      <c r="D146" s="7"/>
      <c r="E146" s="7"/>
      <c r="F146" s="7"/>
    </row>
    <row r="147" spans="1:6" x14ac:dyDescent="0.3">
      <c r="A147" s="9">
        <v>45729</v>
      </c>
      <c r="B147" s="7"/>
      <c r="C147" s="7"/>
      <c r="D147" s="7">
        <v>10562.3</v>
      </c>
      <c r="E147" s="7"/>
      <c r="F147" s="7"/>
    </row>
    <row r="148" spans="1:6" x14ac:dyDescent="0.3">
      <c r="A148" s="8" t="s">
        <v>1658</v>
      </c>
      <c r="B148" s="7"/>
      <c r="C148" s="7"/>
      <c r="D148" s="7"/>
      <c r="E148" s="7"/>
      <c r="F148" s="7"/>
    </row>
    <row r="149" spans="1:6" x14ac:dyDescent="0.3">
      <c r="A149" s="9">
        <v>45730</v>
      </c>
      <c r="B149" s="7">
        <v>5983.7</v>
      </c>
      <c r="C149" s="7"/>
      <c r="D149" s="7">
        <v>8669.9500000000007</v>
      </c>
      <c r="E149" s="7">
        <v>32658.74</v>
      </c>
      <c r="F149" s="7">
        <v>33120.86</v>
      </c>
    </row>
    <row r="150" spans="1:6" x14ac:dyDescent="0.3">
      <c r="A150" s="8" t="s">
        <v>1659</v>
      </c>
      <c r="B150" s="7"/>
      <c r="C150" s="7"/>
      <c r="D150" s="7"/>
      <c r="E150" s="7"/>
      <c r="F150" s="7"/>
    </row>
    <row r="151" spans="1:6" x14ac:dyDescent="0.3">
      <c r="A151" s="9">
        <v>45731</v>
      </c>
      <c r="B151" s="7"/>
      <c r="C151" s="7"/>
      <c r="D151" s="7">
        <v>12651.890000000001</v>
      </c>
      <c r="E151" s="7">
        <v>20073.059999999998</v>
      </c>
      <c r="F151" s="7">
        <v>1817.66</v>
      </c>
    </row>
    <row r="152" spans="1:6" x14ac:dyDescent="0.3">
      <c r="A152" s="8" t="s">
        <v>1660</v>
      </c>
      <c r="B152" s="7"/>
      <c r="C152" s="7"/>
      <c r="D152" s="7"/>
      <c r="E152" s="7"/>
      <c r="F152" s="7"/>
    </row>
    <row r="153" spans="1:6" x14ac:dyDescent="0.3">
      <c r="A153" s="9">
        <v>45732</v>
      </c>
      <c r="B153" s="7">
        <v>943.91</v>
      </c>
      <c r="C153" s="7">
        <v>4759.57</v>
      </c>
      <c r="D153" s="7"/>
      <c r="E153" s="7">
        <v>3575.14</v>
      </c>
      <c r="F153" s="7"/>
    </row>
    <row r="154" spans="1:6" x14ac:dyDescent="0.3">
      <c r="A154" s="8" t="s">
        <v>1661</v>
      </c>
      <c r="B154" s="7"/>
      <c r="C154" s="7"/>
      <c r="D154" s="7"/>
      <c r="E154" s="7"/>
      <c r="F154" s="7"/>
    </row>
    <row r="155" spans="1:6" x14ac:dyDescent="0.3">
      <c r="A155" s="9">
        <v>45733</v>
      </c>
      <c r="B155" s="7"/>
      <c r="C155" s="7">
        <v>16299.27</v>
      </c>
      <c r="D155" s="7">
        <v>14162.759999999998</v>
      </c>
      <c r="E155" s="7">
        <v>34039.71</v>
      </c>
      <c r="F155" s="7">
        <v>23578.02</v>
      </c>
    </row>
    <row r="156" spans="1:6" x14ac:dyDescent="0.3">
      <c r="A156" s="8" t="s">
        <v>1662</v>
      </c>
      <c r="B156" s="7"/>
      <c r="C156" s="7"/>
      <c r="D156" s="7"/>
      <c r="E156" s="7"/>
      <c r="F156" s="7"/>
    </row>
    <row r="157" spans="1:6" x14ac:dyDescent="0.3">
      <c r="A157" s="9">
        <v>45734</v>
      </c>
      <c r="B157" s="7">
        <v>16897.59</v>
      </c>
      <c r="C157" s="7"/>
      <c r="D157" s="7">
        <v>19882.77</v>
      </c>
      <c r="E157" s="7">
        <v>18969.8</v>
      </c>
      <c r="F157" s="7"/>
    </row>
    <row r="158" spans="1:6" x14ac:dyDescent="0.3">
      <c r="A158" s="8" t="s">
        <v>1663</v>
      </c>
      <c r="B158" s="7"/>
      <c r="C158" s="7"/>
      <c r="D158" s="7"/>
      <c r="E158" s="7"/>
      <c r="F158" s="7"/>
    </row>
    <row r="159" spans="1:6" x14ac:dyDescent="0.3">
      <c r="A159" s="9">
        <v>45735</v>
      </c>
      <c r="B159" s="7"/>
      <c r="C159" s="7">
        <v>6815.55</v>
      </c>
      <c r="D159" s="7">
        <v>2986.24</v>
      </c>
      <c r="E159" s="7"/>
      <c r="F159" s="7">
        <v>990.58</v>
      </c>
    </row>
    <row r="160" spans="1:6" x14ac:dyDescent="0.3">
      <c r="A160" s="8" t="s">
        <v>1664</v>
      </c>
      <c r="B160" s="7"/>
      <c r="C160" s="7"/>
      <c r="D160" s="7"/>
      <c r="E160" s="7"/>
      <c r="F160" s="7"/>
    </row>
    <row r="161" spans="1:6" x14ac:dyDescent="0.3">
      <c r="A161" s="9">
        <v>45736</v>
      </c>
      <c r="B161" s="7">
        <v>1069.68</v>
      </c>
      <c r="C161" s="7"/>
      <c r="D161" s="7">
        <v>16106.94</v>
      </c>
      <c r="E161" s="7">
        <v>7197.48</v>
      </c>
      <c r="F161" s="7"/>
    </row>
    <row r="162" spans="1:6" x14ac:dyDescent="0.3">
      <c r="A162" s="8" t="s">
        <v>1665</v>
      </c>
      <c r="B162" s="7"/>
      <c r="C162" s="7"/>
      <c r="D162" s="7"/>
      <c r="E162" s="7"/>
      <c r="F162" s="7"/>
    </row>
    <row r="163" spans="1:6" x14ac:dyDescent="0.3">
      <c r="A163" s="9">
        <v>45737</v>
      </c>
      <c r="B163" s="7">
        <v>6107.28</v>
      </c>
      <c r="C163" s="7">
        <v>12156.560000000001</v>
      </c>
      <c r="D163" s="7">
        <v>9857.4599999999991</v>
      </c>
      <c r="E163" s="7">
        <v>17657.200000000004</v>
      </c>
      <c r="F163" s="7"/>
    </row>
    <row r="164" spans="1:6" x14ac:dyDescent="0.3">
      <c r="A164" s="8" t="s">
        <v>1666</v>
      </c>
      <c r="B164" s="7"/>
      <c r="C164" s="7"/>
      <c r="D164" s="7"/>
      <c r="E164" s="7"/>
      <c r="F164" s="7"/>
    </row>
    <row r="165" spans="1:6" x14ac:dyDescent="0.3">
      <c r="A165" s="9">
        <v>45738</v>
      </c>
      <c r="B165" s="7"/>
      <c r="C165" s="7">
        <v>14391.86</v>
      </c>
      <c r="D165" s="7">
        <v>15165.45</v>
      </c>
      <c r="E165" s="7">
        <v>28539.610000000004</v>
      </c>
      <c r="F165" s="7">
        <v>20605.59</v>
      </c>
    </row>
    <row r="166" spans="1:6" x14ac:dyDescent="0.3">
      <c r="A166" s="8" t="s">
        <v>1667</v>
      </c>
      <c r="B166" s="7"/>
      <c r="C166" s="7"/>
      <c r="D166" s="7"/>
      <c r="E166" s="7"/>
      <c r="F166" s="7"/>
    </row>
    <row r="167" spans="1:6" x14ac:dyDescent="0.3">
      <c r="A167" s="9">
        <v>45739</v>
      </c>
      <c r="B167" s="7">
        <v>8661.8100000000013</v>
      </c>
      <c r="C167" s="7"/>
      <c r="D167" s="7">
        <v>7575.04</v>
      </c>
      <c r="E167" s="7">
        <v>3146.24</v>
      </c>
      <c r="F167" s="7">
        <v>12506.62</v>
      </c>
    </row>
    <row r="168" spans="1:6" x14ac:dyDescent="0.3">
      <c r="A168" s="8" t="s">
        <v>1668</v>
      </c>
      <c r="B168" s="7"/>
      <c r="C168" s="7"/>
      <c r="D168" s="7"/>
      <c r="E168" s="7"/>
      <c r="F168" s="7"/>
    </row>
    <row r="169" spans="1:6" x14ac:dyDescent="0.3">
      <c r="A169" s="9">
        <v>45740</v>
      </c>
      <c r="B169" s="7"/>
      <c r="C169" s="7"/>
      <c r="D169" s="7">
        <v>7101.77</v>
      </c>
      <c r="E169" s="7">
        <v>11332.63</v>
      </c>
      <c r="F169" s="7">
        <v>58251.08</v>
      </c>
    </row>
    <row r="170" spans="1:6" x14ac:dyDescent="0.3">
      <c r="A170" s="8" t="s">
        <v>1669</v>
      </c>
      <c r="B170" s="7"/>
      <c r="C170" s="7"/>
      <c r="D170" s="7"/>
      <c r="E170" s="7"/>
      <c r="F170" s="7"/>
    </row>
    <row r="171" spans="1:6" x14ac:dyDescent="0.3">
      <c r="A171" s="9">
        <v>45741</v>
      </c>
      <c r="B171" s="7">
        <v>16407.5</v>
      </c>
      <c r="C171" s="7">
        <v>16101.81</v>
      </c>
      <c r="D171" s="7"/>
      <c r="E171" s="7">
        <v>15892.31</v>
      </c>
      <c r="F171" s="7">
        <v>3111.73</v>
      </c>
    </row>
    <row r="172" spans="1:6" x14ac:dyDescent="0.3">
      <c r="A172" s="8" t="s">
        <v>1670</v>
      </c>
      <c r="B172" s="7"/>
      <c r="C172" s="7"/>
      <c r="D172" s="7"/>
      <c r="E172" s="7"/>
      <c r="F172" s="7"/>
    </row>
    <row r="173" spans="1:6" x14ac:dyDescent="0.3">
      <c r="A173" s="9">
        <v>45742</v>
      </c>
      <c r="B173" s="7"/>
      <c r="C173" s="7">
        <v>8366.19</v>
      </c>
      <c r="D173" s="7">
        <v>17648.54</v>
      </c>
      <c r="E173" s="7">
        <v>24975.19</v>
      </c>
      <c r="F173" s="7"/>
    </row>
    <row r="174" spans="1:6" x14ac:dyDescent="0.3">
      <c r="A174" s="8" t="s">
        <v>1671</v>
      </c>
      <c r="B174" s="7"/>
      <c r="C174" s="7"/>
      <c r="D174" s="7"/>
      <c r="E174" s="7"/>
      <c r="F174" s="7"/>
    </row>
    <row r="175" spans="1:6" x14ac:dyDescent="0.3">
      <c r="A175" s="9">
        <v>45743</v>
      </c>
      <c r="B175" s="7">
        <v>27815.58</v>
      </c>
      <c r="C175" s="7">
        <v>9917.3100000000013</v>
      </c>
      <c r="D175" s="7">
        <v>9154.6</v>
      </c>
      <c r="E175" s="7">
        <v>4072.32</v>
      </c>
      <c r="F175" s="7">
        <v>3445.01</v>
      </c>
    </row>
    <row r="176" spans="1:6" x14ac:dyDescent="0.3">
      <c r="A176" s="8" t="s">
        <v>1672</v>
      </c>
      <c r="B176" s="7"/>
      <c r="C176" s="7"/>
      <c r="D176" s="7"/>
      <c r="E176" s="7"/>
      <c r="F176" s="7"/>
    </row>
    <row r="177" spans="1:6" x14ac:dyDescent="0.3">
      <c r="A177" s="9">
        <v>45744</v>
      </c>
      <c r="B177" s="7">
        <v>10670.900000000001</v>
      </c>
      <c r="C177" s="7">
        <v>3887.76</v>
      </c>
      <c r="D177" s="7">
        <v>17293.150000000001</v>
      </c>
      <c r="E177" s="7">
        <v>6435.41</v>
      </c>
      <c r="F177" s="7">
        <v>6489.03</v>
      </c>
    </row>
    <row r="178" spans="1:6" x14ac:dyDescent="0.3">
      <c r="A178" s="8" t="s">
        <v>1673</v>
      </c>
      <c r="B178" s="7"/>
      <c r="C178" s="7"/>
      <c r="D178" s="7"/>
      <c r="E178" s="7"/>
      <c r="F178" s="7"/>
    </row>
    <row r="179" spans="1:6" x14ac:dyDescent="0.3">
      <c r="A179" s="9">
        <v>45745</v>
      </c>
      <c r="B179" s="7">
        <v>49779.460000000006</v>
      </c>
      <c r="C179" s="7"/>
      <c r="D179" s="7">
        <v>11819.28</v>
      </c>
      <c r="E179" s="7">
        <v>43122.5</v>
      </c>
      <c r="F179" s="7">
        <v>315.43</v>
      </c>
    </row>
    <row r="180" spans="1:6" x14ac:dyDescent="0.3">
      <c r="A180" s="8" t="s">
        <v>1674</v>
      </c>
      <c r="B180" s="7"/>
      <c r="C180" s="7"/>
      <c r="D180" s="7"/>
      <c r="E180" s="7"/>
      <c r="F180" s="7"/>
    </row>
    <row r="181" spans="1:6" x14ac:dyDescent="0.3">
      <c r="A181" s="9">
        <v>45746</v>
      </c>
      <c r="B181" s="7"/>
      <c r="C181" s="7"/>
      <c r="D181" s="7"/>
      <c r="E181" s="7">
        <v>19623.97</v>
      </c>
      <c r="F181" s="7"/>
    </row>
    <row r="182" spans="1:6" x14ac:dyDescent="0.3">
      <c r="A182" s="8" t="s">
        <v>1675</v>
      </c>
      <c r="B182" s="7"/>
      <c r="C182" s="7"/>
      <c r="D182" s="7"/>
      <c r="E182" s="7"/>
      <c r="F182" s="7"/>
    </row>
    <row r="183" spans="1:6" x14ac:dyDescent="0.3">
      <c r="A183" s="9">
        <v>45747</v>
      </c>
      <c r="B183" s="7"/>
      <c r="C183" s="7">
        <v>20889.169999999998</v>
      </c>
      <c r="D183" s="7">
        <v>7837.5</v>
      </c>
      <c r="E183" s="7">
        <v>19673.96</v>
      </c>
      <c r="F183" s="7">
        <v>15081.91</v>
      </c>
    </row>
    <row r="184" spans="1:6" x14ac:dyDescent="0.3">
      <c r="A184" s="3" t="s">
        <v>1584</v>
      </c>
      <c r="B184" s="7"/>
      <c r="C184" s="7"/>
      <c r="D184" s="7"/>
      <c r="E184" s="7"/>
      <c r="F184" s="7"/>
    </row>
    <row r="185" spans="1:6" x14ac:dyDescent="0.3">
      <c r="A185" s="8" t="s">
        <v>1676</v>
      </c>
      <c r="B185" s="7"/>
      <c r="C185" s="7"/>
      <c r="D185" s="7"/>
      <c r="E185" s="7"/>
      <c r="F185" s="7"/>
    </row>
    <row r="186" spans="1:6" x14ac:dyDescent="0.3">
      <c r="A186" s="9">
        <v>45748</v>
      </c>
      <c r="B186" s="7">
        <v>20991.510000000002</v>
      </c>
      <c r="C186" s="7"/>
      <c r="D186" s="7">
        <v>16847.82</v>
      </c>
      <c r="E186" s="7">
        <v>9976.84</v>
      </c>
      <c r="F186" s="7">
        <v>16874.349999999999</v>
      </c>
    </row>
    <row r="187" spans="1:6" x14ac:dyDescent="0.3">
      <c r="A187" s="8" t="s">
        <v>1677</v>
      </c>
      <c r="B187" s="7"/>
      <c r="C187" s="7"/>
      <c r="D187" s="7"/>
      <c r="E187" s="7"/>
      <c r="F187" s="7"/>
    </row>
    <row r="188" spans="1:6" x14ac:dyDescent="0.3">
      <c r="A188" s="9">
        <v>45749</v>
      </c>
      <c r="B188" s="7">
        <v>19942.95</v>
      </c>
      <c r="C188" s="7">
        <v>1795.11</v>
      </c>
      <c r="D188" s="7">
        <v>4392.96</v>
      </c>
      <c r="E188" s="7">
        <v>3713.24</v>
      </c>
      <c r="F188" s="7">
        <v>15563.099999999999</v>
      </c>
    </row>
    <row r="189" spans="1:6" x14ac:dyDescent="0.3">
      <c r="A189" s="8" t="s">
        <v>1678</v>
      </c>
      <c r="B189" s="7"/>
      <c r="C189" s="7"/>
      <c r="D189" s="7"/>
      <c r="E189" s="7"/>
      <c r="F189" s="7"/>
    </row>
    <row r="190" spans="1:6" x14ac:dyDescent="0.3">
      <c r="A190" s="9">
        <v>45750</v>
      </c>
      <c r="B190" s="7">
        <v>16854.330000000002</v>
      </c>
      <c r="C190" s="7">
        <v>12673.58</v>
      </c>
      <c r="D190" s="7">
        <v>8531.01</v>
      </c>
      <c r="E190" s="7"/>
      <c r="F190" s="7">
        <v>11695.2</v>
      </c>
    </row>
    <row r="191" spans="1:6" x14ac:dyDescent="0.3">
      <c r="A191" s="8" t="s">
        <v>1679</v>
      </c>
      <c r="B191" s="7"/>
      <c r="C191" s="7"/>
      <c r="D191" s="7"/>
      <c r="E191" s="7"/>
      <c r="F191" s="7"/>
    </row>
    <row r="192" spans="1:6" x14ac:dyDescent="0.3">
      <c r="A192" s="9">
        <v>45751</v>
      </c>
      <c r="B192" s="7">
        <v>39850.199999999997</v>
      </c>
      <c r="C192" s="7">
        <v>7243.75</v>
      </c>
      <c r="D192" s="7">
        <v>13136.52</v>
      </c>
      <c r="E192" s="7">
        <v>2125.61</v>
      </c>
      <c r="F192" s="7">
        <v>3037.84</v>
      </c>
    </row>
    <row r="193" spans="1:6" x14ac:dyDescent="0.3">
      <c r="A193" s="8" t="s">
        <v>1680</v>
      </c>
      <c r="B193" s="7"/>
      <c r="C193" s="7"/>
      <c r="D193" s="7"/>
      <c r="E193" s="7"/>
      <c r="F193" s="7"/>
    </row>
    <row r="194" spans="1:6" x14ac:dyDescent="0.3">
      <c r="A194" s="9">
        <v>45752</v>
      </c>
      <c r="B194" s="7">
        <v>21876.260000000002</v>
      </c>
      <c r="C194" s="7">
        <v>6082.27</v>
      </c>
      <c r="D194" s="7">
        <v>18095.269999999997</v>
      </c>
      <c r="E194" s="7"/>
      <c r="F194" s="7">
        <v>4142.03</v>
      </c>
    </row>
    <row r="195" spans="1:6" x14ac:dyDescent="0.3">
      <c r="A195" s="8" t="s">
        <v>1681</v>
      </c>
      <c r="B195" s="7"/>
      <c r="C195" s="7"/>
      <c r="D195" s="7"/>
      <c r="E195" s="7"/>
      <c r="F195" s="7"/>
    </row>
    <row r="196" spans="1:6" x14ac:dyDescent="0.3">
      <c r="A196" s="9">
        <v>45753</v>
      </c>
      <c r="B196" s="7">
        <v>2314.44</v>
      </c>
      <c r="C196" s="7"/>
      <c r="D196" s="7"/>
      <c r="E196" s="7">
        <v>7302.56</v>
      </c>
      <c r="F196" s="7"/>
    </row>
    <row r="197" spans="1:6" x14ac:dyDescent="0.3">
      <c r="A197" s="8" t="s">
        <v>1682</v>
      </c>
      <c r="B197" s="7"/>
      <c r="C197" s="7"/>
      <c r="D197" s="7"/>
      <c r="E197" s="7"/>
      <c r="F197" s="7"/>
    </row>
    <row r="198" spans="1:6" x14ac:dyDescent="0.3">
      <c r="A198" s="9">
        <v>45754</v>
      </c>
      <c r="B198" s="7">
        <v>21126.57</v>
      </c>
      <c r="C198" s="7">
        <v>16379.369999999999</v>
      </c>
      <c r="D198" s="7">
        <v>18384.38</v>
      </c>
      <c r="E198" s="7">
        <v>28813.789999999997</v>
      </c>
      <c r="F198" s="7">
        <v>2311.1999999999998</v>
      </c>
    </row>
    <row r="199" spans="1:6" x14ac:dyDescent="0.3">
      <c r="A199" s="8" t="s">
        <v>1683</v>
      </c>
      <c r="B199" s="7"/>
      <c r="C199" s="7"/>
      <c r="D199" s="7"/>
      <c r="E199" s="7"/>
      <c r="F199" s="7"/>
    </row>
    <row r="200" spans="1:6" x14ac:dyDescent="0.3">
      <c r="A200" s="9">
        <v>45755</v>
      </c>
      <c r="B200" s="7">
        <v>8301.01</v>
      </c>
      <c r="C200" s="7">
        <v>20911.190000000002</v>
      </c>
      <c r="D200" s="7">
        <v>14928.279999999999</v>
      </c>
      <c r="E200" s="7">
        <v>5180.95</v>
      </c>
      <c r="F200" s="7"/>
    </row>
    <row r="201" spans="1:6" x14ac:dyDescent="0.3">
      <c r="A201" s="8" t="s">
        <v>1684</v>
      </c>
      <c r="B201" s="7"/>
      <c r="C201" s="7"/>
      <c r="D201" s="7"/>
      <c r="E201" s="7"/>
      <c r="F201" s="7"/>
    </row>
    <row r="202" spans="1:6" x14ac:dyDescent="0.3">
      <c r="A202" s="9">
        <v>45756</v>
      </c>
      <c r="B202" s="7"/>
      <c r="C202" s="7">
        <v>6316.66</v>
      </c>
      <c r="D202" s="7">
        <v>443.04</v>
      </c>
      <c r="E202" s="7">
        <v>4670.38</v>
      </c>
      <c r="F202" s="7">
        <v>11657.55</v>
      </c>
    </row>
    <row r="203" spans="1:6" x14ac:dyDescent="0.3">
      <c r="A203" s="8" t="s">
        <v>1685</v>
      </c>
      <c r="B203" s="7"/>
      <c r="C203" s="7"/>
      <c r="D203" s="7"/>
      <c r="E203" s="7"/>
      <c r="F203" s="7"/>
    </row>
    <row r="204" spans="1:6" x14ac:dyDescent="0.3">
      <c r="A204" s="9">
        <v>45757</v>
      </c>
      <c r="B204" s="7">
        <v>4725.5</v>
      </c>
      <c r="C204" s="7">
        <v>12349.2</v>
      </c>
      <c r="D204" s="7"/>
      <c r="E204" s="7">
        <v>4389.58</v>
      </c>
      <c r="F204" s="7"/>
    </row>
    <row r="205" spans="1:6" x14ac:dyDescent="0.3">
      <c r="A205" s="8" t="s">
        <v>1686</v>
      </c>
      <c r="B205" s="7"/>
      <c r="C205" s="7"/>
      <c r="D205" s="7"/>
      <c r="E205" s="7"/>
      <c r="F205" s="7"/>
    </row>
    <row r="206" spans="1:6" x14ac:dyDescent="0.3">
      <c r="A206" s="9">
        <v>45758</v>
      </c>
      <c r="B206" s="7">
        <v>14709.95</v>
      </c>
      <c r="C206" s="7">
        <v>583.17999999999995</v>
      </c>
      <c r="D206" s="7">
        <v>14770.34</v>
      </c>
      <c r="E206" s="7">
        <v>24328.720000000001</v>
      </c>
      <c r="F206" s="7">
        <v>43524</v>
      </c>
    </row>
    <row r="207" spans="1:6" x14ac:dyDescent="0.3">
      <c r="A207" s="8" t="s">
        <v>1687</v>
      </c>
      <c r="B207" s="7"/>
      <c r="C207" s="7"/>
      <c r="D207" s="7"/>
      <c r="E207" s="7"/>
      <c r="F207" s="7"/>
    </row>
    <row r="208" spans="1:6" x14ac:dyDescent="0.3">
      <c r="A208" s="9">
        <v>45759</v>
      </c>
      <c r="B208" s="7">
        <v>3554.29</v>
      </c>
      <c r="C208" s="7">
        <v>4375.92</v>
      </c>
      <c r="D208" s="7"/>
      <c r="E208" s="7">
        <v>18735.21</v>
      </c>
      <c r="F208" s="7"/>
    </row>
    <row r="209" spans="1:6" x14ac:dyDescent="0.3">
      <c r="A209" s="8" t="s">
        <v>1688</v>
      </c>
      <c r="B209" s="7"/>
      <c r="C209" s="7"/>
      <c r="D209" s="7"/>
      <c r="E209" s="7"/>
      <c r="F209" s="7"/>
    </row>
    <row r="210" spans="1:6" x14ac:dyDescent="0.3">
      <c r="A210" s="9">
        <v>45760</v>
      </c>
      <c r="B210" s="7">
        <v>30191.23</v>
      </c>
      <c r="C210" s="7">
        <v>12636.67</v>
      </c>
      <c r="D210" s="7">
        <v>3904.75</v>
      </c>
      <c r="E210" s="7">
        <v>7543.24</v>
      </c>
      <c r="F210" s="7"/>
    </row>
    <row r="211" spans="1:6" x14ac:dyDescent="0.3">
      <c r="A211" s="8" t="s">
        <v>1689</v>
      </c>
      <c r="B211" s="7"/>
      <c r="C211" s="7"/>
      <c r="D211" s="7"/>
      <c r="E211" s="7"/>
      <c r="F211" s="7"/>
    </row>
    <row r="212" spans="1:6" x14ac:dyDescent="0.3">
      <c r="A212" s="9">
        <v>45761</v>
      </c>
      <c r="B212" s="7">
        <v>949.73</v>
      </c>
      <c r="C212" s="7">
        <v>9062.56</v>
      </c>
      <c r="D212" s="7">
        <v>17603.12</v>
      </c>
      <c r="E212" s="7">
        <v>4003.1</v>
      </c>
      <c r="F212" s="7">
        <v>1598.81</v>
      </c>
    </row>
    <row r="213" spans="1:6" x14ac:dyDescent="0.3">
      <c r="A213" s="8" t="s">
        <v>1690</v>
      </c>
      <c r="B213" s="7"/>
      <c r="C213" s="7"/>
      <c r="D213" s="7"/>
      <c r="E213" s="7"/>
      <c r="F213" s="7"/>
    </row>
    <row r="214" spans="1:6" x14ac:dyDescent="0.3">
      <c r="A214" s="9">
        <v>45762</v>
      </c>
      <c r="B214" s="7">
        <v>2175.73</v>
      </c>
      <c r="C214" s="7">
        <v>6018.74</v>
      </c>
      <c r="D214" s="7"/>
      <c r="E214" s="7"/>
      <c r="F214" s="7">
        <v>9160.9399999999987</v>
      </c>
    </row>
    <row r="215" spans="1:6" x14ac:dyDescent="0.3">
      <c r="A215" s="8" t="s">
        <v>1691</v>
      </c>
      <c r="B215" s="7"/>
      <c r="C215" s="7"/>
      <c r="D215" s="7"/>
      <c r="E215" s="7"/>
      <c r="F215" s="7"/>
    </row>
    <row r="216" spans="1:6" x14ac:dyDescent="0.3">
      <c r="A216" s="9">
        <v>45763</v>
      </c>
      <c r="B216" s="7">
        <v>15828.130000000001</v>
      </c>
      <c r="C216" s="7">
        <v>2780.25</v>
      </c>
      <c r="D216" s="7">
        <v>52064.26</v>
      </c>
      <c r="E216" s="7"/>
      <c r="F216" s="7"/>
    </row>
    <row r="217" spans="1:6" x14ac:dyDescent="0.3">
      <c r="A217" s="8" t="s">
        <v>1692</v>
      </c>
      <c r="B217" s="7"/>
      <c r="C217" s="7"/>
      <c r="D217" s="7"/>
      <c r="E217" s="7"/>
      <c r="F217" s="7"/>
    </row>
    <row r="218" spans="1:6" x14ac:dyDescent="0.3">
      <c r="A218" s="9">
        <v>45764</v>
      </c>
      <c r="B218" s="7">
        <v>25002.899999999998</v>
      </c>
      <c r="C218" s="7">
        <v>24812.720000000001</v>
      </c>
      <c r="D218" s="7">
        <v>38935.410000000003</v>
      </c>
      <c r="E218" s="7">
        <v>15881.08</v>
      </c>
      <c r="F218" s="7">
        <v>5710.38</v>
      </c>
    </row>
    <row r="219" spans="1:6" x14ac:dyDescent="0.3">
      <c r="A219" s="8" t="s">
        <v>1693</v>
      </c>
      <c r="B219" s="7"/>
      <c r="C219" s="7"/>
      <c r="D219" s="7"/>
      <c r="E219" s="7"/>
      <c r="F219" s="7"/>
    </row>
    <row r="220" spans="1:6" x14ac:dyDescent="0.3">
      <c r="A220" s="9">
        <v>45765</v>
      </c>
      <c r="B220" s="7">
        <v>23420.2</v>
      </c>
      <c r="C220" s="7">
        <v>12915.5</v>
      </c>
      <c r="D220" s="7">
        <v>1682.4</v>
      </c>
      <c r="E220" s="7"/>
      <c r="F220" s="7">
        <v>13394.519999999999</v>
      </c>
    </row>
    <row r="221" spans="1:6" x14ac:dyDescent="0.3">
      <c r="A221" s="8" t="s">
        <v>1694</v>
      </c>
      <c r="B221" s="7"/>
      <c r="C221" s="7"/>
      <c r="D221" s="7"/>
      <c r="E221" s="7"/>
      <c r="F221" s="7"/>
    </row>
    <row r="222" spans="1:6" x14ac:dyDescent="0.3">
      <c r="A222" s="9">
        <v>45766</v>
      </c>
      <c r="B222" s="7"/>
      <c r="C222" s="7">
        <v>6584.1</v>
      </c>
      <c r="D222" s="7">
        <v>53410.740000000005</v>
      </c>
      <c r="E222" s="7">
        <v>5316.35</v>
      </c>
      <c r="F222" s="7"/>
    </row>
    <row r="223" spans="1:6" x14ac:dyDescent="0.3">
      <c r="A223" s="8" t="s">
        <v>1695</v>
      </c>
      <c r="B223" s="7"/>
      <c r="C223" s="7"/>
      <c r="D223" s="7"/>
      <c r="E223" s="7"/>
      <c r="F223" s="7"/>
    </row>
    <row r="224" spans="1:6" x14ac:dyDescent="0.3">
      <c r="A224" s="9">
        <v>45767</v>
      </c>
      <c r="B224" s="7">
        <v>4211.7</v>
      </c>
      <c r="C224" s="7">
        <v>15500.279999999999</v>
      </c>
      <c r="D224" s="7">
        <v>39561.160000000003</v>
      </c>
      <c r="E224" s="7">
        <v>7416.68</v>
      </c>
      <c r="F224" s="7">
        <v>64356.81</v>
      </c>
    </row>
    <row r="225" spans="1:6" x14ac:dyDescent="0.3">
      <c r="A225" s="8" t="s">
        <v>1696</v>
      </c>
      <c r="B225" s="7"/>
      <c r="C225" s="7"/>
      <c r="D225" s="7"/>
      <c r="E225" s="7"/>
      <c r="F225" s="7"/>
    </row>
    <row r="226" spans="1:6" x14ac:dyDescent="0.3">
      <c r="A226" s="9">
        <v>45768</v>
      </c>
      <c r="B226" s="7"/>
      <c r="C226" s="7"/>
      <c r="D226" s="7">
        <v>20817.559999999998</v>
      </c>
      <c r="E226" s="7"/>
      <c r="F226" s="7">
        <v>36020.129999999997</v>
      </c>
    </row>
    <row r="227" spans="1:6" x14ac:dyDescent="0.3">
      <c r="A227" s="8" t="s">
        <v>1697</v>
      </c>
      <c r="B227" s="7"/>
      <c r="C227" s="7"/>
      <c r="D227" s="7"/>
      <c r="E227" s="7"/>
      <c r="F227" s="7"/>
    </row>
    <row r="228" spans="1:6" x14ac:dyDescent="0.3">
      <c r="A228" s="9">
        <v>45769</v>
      </c>
      <c r="B228" s="7"/>
      <c r="C228" s="7">
        <v>7555.5</v>
      </c>
      <c r="D228" s="7">
        <v>6232.56</v>
      </c>
      <c r="E228" s="7">
        <v>32929.440000000002</v>
      </c>
      <c r="F228" s="7">
        <v>8222.02</v>
      </c>
    </row>
    <row r="229" spans="1:6" x14ac:dyDescent="0.3">
      <c r="A229" s="8" t="s">
        <v>1698</v>
      </c>
      <c r="B229" s="7"/>
      <c r="C229" s="7"/>
      <c r="D229" s="7"/>
      <c r="E229" s="7"/>
      <c r="F229" s="7"/>
    </row>
    <row r="230" spans="1:6" x14ac:dyDescent="0.3">
      <c r="A230" s="9">
        <v>45770</v>
      </c>
      <c r="B230" s="7">
        <v>14386.5</v>
      </c>
      <c r="C230" s="7">
        <v>10566.25</v>
      </c>
      <c r="D230" s="7">
        <v>13952.88</v>
      </c>
      <c r="E230" s="7">
        <v>2991.8599999999997</v>
      </c>
      <c r="F230" s="7"/>
    </row>
    <row r="231" spans="1:6" x14ac:dyDescent="0.3">
      <c r="A231" s="8" t="s">
        <v>1699</v>
      </c>
      <c r="B231" s="7"/>
      <c r="C231" s="7"/>
      <c r="D231" s="7"/>
      <c r="E231" s="7"/>
      <c r="F231" s="7"/>
    </row>
    <row r="232" spans="1:6" x14ac:dyDescent="0.3">
      <c r="A232" s="9">
        <v>45771</v>
      </c>
      <c r="B232" s="7">
        <v>32812.85</v>
      </c>
      <c r="C232" s="7"/>
      <c r="D232" s="7">
        <v>24434.39</v>
      </c>
      <c r="E232" s="7">
        <v>1863.63</v>
      </c>
      <c r="F232" s="7">
        <v>3907.1900000000005</v>
      </c>
    </row>
    <row r="233" spans="1:6" x14ac:dyDescent="0.3">
      <c r="A233" s="8" t="s">
        <v>1700</v>
      </c>
      <c r="B233" s="7"/>
      <c r="C233" s="7"/>
      <c r="D233" s="7"/>
      <c r="E233" s="7"/>
      <c r="F233" s="7"/>
    </row>
    <row r="234" spans="1:6" x14ac:dyDescent="0.3">
      <c r="A234" s="9">
        <v>45772</v>
      </c>
      <c r="B234" s="7">
        <v>11803.98</v>
      </c>
      <c r="C234" s="7">
        <v>975.3</v>
      </c>
      <c r="D234" s="7">
        <v>2161.42</v>
      </c>
      <c r="E234" s="7">
        <v>3032.14</v>
      </c>
      <c r="F234" s="7">
        <v>38514.25</v>
      </c>
    </row>
    <row r="235" spans="1:6" x14ac:dyDescent="0.3">
      <c r="A235" s="8" t="s">
        <v>1701</v>
      </c>
      <c r="B235" s="7"/>
      <c r="C235" s="7"/>
      <c r="D235" s="7"/>
      <c r="E235" s="7"/>
      <c r="F235" s="7"/>
    </row>
    <row r="236" spans="1:6" x14ac:dyDescent="0.3">
      <c r="A236" s="9">
        <v>45773</v>
      </c>
      <c r="B236" s="7">
        <v>6164.8</v>
      </c>
      <c r="C236" s="7">
        <v>16945.46</v>
      </c>
      <c r="D236" s="7">
        <v>18177.32</v>
      </c>
      <c r="E236" s="7"/>
      <c r="F236" s="7">
        <v>6532.62</v>
      </c>
    </row>
    <row r="237" spans="1:6" x14ac:dyDescent="0.3">
      <c r="A237" s="8" t="s">
        <v>1702</v>
      </c>
      <c r="B237" s="7"/>
      <c r="C237" s="7"/>
      <c r="D237" s="7"/>
      <c r="E237" s="7"/>
      <c r="F237" s="7"/>
    </row>
    <row r="238" spans="1:6" x14ac:dyDescent="0.3">
      <c r="A238" s="9">
        <v>45774</v>
      </c>
      <c r="B238" s="7">
        <v>3538.58</v>
      </c>
      <c r="C238" s="7">
        <v>50187.130000000005</v>
      </c>
      <c r="D238" s="7">
        <v>1083.4000000000001</v>
      </c>
      <c r="E238" s="7">
        <v>7674.1</v>
      </c>
      <c r="F238" s="7"/>
    </row>
    <row r="239" spans="1:6" x14ac:dyDescent="0.3">
      <c r="A239" s="8" t="s">
        <v>1703</v>
      </c>
      <c r="B239" s="7"/>
      <c r="C239" s="7"/>
      <c r="D239" s="7"/>
      <c r="E239" s="7"/>
      <c r="F239" s="7"/>
    </row>
    <row r="240" spans="1:6" x14ac:dyDescent="0.3">
      <c r="A240" s="9">
        <v>45775</v>
      </c>
      <c r="B240" s="7">
        <v>1493.06</v>
      </c>
      <c r="C240" s="7">
        <v>8822.7099999999991</v>
      </c>
      <c r="D240" s="7">
        <v>13657.41</v>
      </c>
      <c r="E240" s="7">
        <v>26715.829999999998</v>
      </c>
      <c r="F240" s="7">
        <v>37735.22</v>
      </c>
    </row>
    <row r="241" spans="1:6" x14ac:dyDescent="0.3">
      <c r="A241" s="8" t="s">
        <v>1704</v>
      </c>
      <c r="B241" s="7"/>
      <c r="C241" s="7"/>
      <c r="D241" s="7"/>
      <c r="E241" s="7"/>
      <c r="F241" s="7"/>
    </row>
    <row r="242" spans="1:6" x14ac:dyDescent="0.3">
      <c r="A242" s="9">
        <v>45776</v>
      </c>
      <c r="B242" s="7"/>
      <c r="C242" s="7">
        <v>4075.75</v>
      </c>
      <c r="D242" s="7">
        <v>13301.44</v>
      </c>
      <c r="E242" s="7"/>
      <c r="F242" s="7">
        <v>18577.88</v>
      </c>
    </row>
    <row r="243" spans="1:6" x14ac:dyDescent="0.3">
      <c r="A243" s="8" t="s">
        <v>1705</v>
      </c>
      <c r="B243" s="7"/>
      <c r="C243" s="7"/>
      <c r="D243" s="7"/>
      <c r="E243" s="7"/>
      <c r="F243" s="7"/>
    </row>
    <row r="244" spans="1:6" x14ac:dyDescent="0.3">
      <c r="A244" s="9">
        <v>45777</v>
      </c>
      <c r="B244" s="7">
        <v>20039.439999999999</v>
      </c>
      <c r="C244" s="7">
        <v>17147.5</v>
      </c>
      <c r="D244" s="7">
        <v>6893.66</v>
      </c>
      <c r="E244" s="7">
        <v>12194.61</v>
      </c>
      <c r="F244" s="7">
        <v>14804.25</v>
      </c>
    </row>
    <row r="245" spans="1:6" x14ac:dyDescent="0.3">
      <c r="A245" s="3" t="s">
        <v>1585</v>
      </c>
      <c r="B245" s="7"/>
      <c r="C245" s="7"/>
      <c r="D245" s="7"/>
      <c r="E245" s="7"/>
      <c r="F245" s="7"/>
    </row>
    <row r="246" spans="1:6" x14ac:dyDescent="0.3">
      <c r="A246" s="8" t="s">
        <v>1706</v>
      </c>
      <c r="B246" s="7"/>
      <c r="C246" s="7"/>
      <c r="D246" s="7"/>
      <c r="E246" s="7"/>
      <c r="F246" s="7"/>
    </row>
    <row r="247" spans="1:6" x14ac:dyDescent="0.3">
      <c r="A247" s="9">
        <v>45778</v>
      </c>
      <c r="B247" s="7">
        <v>8439.4100000000017</v>
      </c>
      <c r="C247" s="7">
        <v>17647.189999999999</v>
      </c>
      <c r="D247" s="7">
        <v>1688.46</v>
      </c>
      <c r="E247" s="7"/>
      <c r="F247" s="7">
        <v>11217.28</v>
      </c>
    </row>
    <row r="248" spans="1:6" x14ac:dyDescent="0.3">
      <c r="A248" s="8" t="s">
        <v>1707</v>
      </c>
      <c r="B248" s="7"/>
      <c r="C248" s="7"/>
      <c r="D248" s="7"/>
      <c r="E248" s="7"/>
      <c r="F248" s="7"/>
    </row>
    <row r="249" spans="1:6" x14ac:dyDescent="0.3">
      <c r="A249" s="9">
        <v>45779</v>
      </c>
      <c r="B249" s="7"/>
      <c r="C249" s="7"/>
      <c r="D249" s="7"/>
      <c r="E249" s="7">
        <v>14059.7</v>
      </c>
      <c r="F249" s="7"/>
    </row>
    <row r="250" spans="1:6" x14ac:dyDescent="0.3">
      <c r="A250" s="8" t="s">
        <v>1708</v>
      </c>
      <c r="B250" s="7"/>
      <c r="C250" s="7"/>
      <c r="D250" s="7"/>
      <c r="E250" s="7"/>
      <c r="F250" s="7"/>
    </row>
    <row r="251" spans="1:6" x14ac:dyDescent="0.3">
      <c r="A251" s="9">
        <v>45780</v>
      </c>
      <c r="B251" s="7">
        <v>15063.93</v>
      </c>
      <c r="C251" s="7">
        <v>1306.4100000000001</v>
      </c>
      <c r="D251" s="7">
        <v>16298.349999999999</v>
      </c>
      <c r="E251" s="7">
        <v>28835.98</v>
      </c>
      <c r="F251" s="7">
        <v>3142.6</v>
      </c>
    </row>
    <row r="252" spans="1:6" x14ac:dyDescent="0.3">
      <c r="A252" s="8" t="s">
        <v>1709</v>
      </c>
      <c r="B252" s="7"/>
      <c r="C252" s="7"/>
      <c r="D252" s="7"/>
      <c r="E252" s="7"/>
      <c r="F252" s="7"/>
    </row>
    <row r="253" spans="1:6" x14ac:dyDescent="0.3">
      <c r="A253" s="9">
        <v>45781</v>
      </c>
      <c r="B253" s="7"/>
      <c r="C253" s="7">
        <v>6501.94</v>
      </c>
      <c r="D253" s="7">
        <v>6000.68</v>
      </c>
      <c r="E253" s="7">
        <v>6037.27</v>
      </c>
      <c r="F253" s="7">
        <v>6755.08</v>
      </c>
    </row>
    <row r="254" spans="1:6" x14ac:dyDescent="0.3">
      <c r="A254" s="8" t="s">
        <v>1710</v>
      </c>
      <c r="B254" s="7"/>
      <c r="C254" s="7"/>
      <c r="D254" s="7"/>
      <c r="E254" s="7"/>
      <c r="F254" s="7"/>
    </row>
    <row r="255" spans="1:6" x14ac:dyDescent="0.3">
      <c r="A255" s="9">
        <v>45782</v>
      </c>
      <c r="B255" s="7">
        <v>7678.29</v>
      </c>
      <c r="C255" s="7">
        <v>1865.31</v>
      </c>
      <c r="D255" s="7">
        <v>5976.6</v>
      </c>
      <c r="E255" s="7"/>
      <c r="F255" s="7">
        <v>26919.950000000004</v>
      </c>
    </row>
    <row r="256" spans="1:6" x14ac:dyDescent="0.3">
      <c r="A256" s="8" t="s">
        <v>1711</v>
      </c>
      <c r="B256" s="7"/>
      <c r="C256" s="7"/>
      <c r="D256" s="7"/>
      <c r="E256" s="7"/>
      <c r="F256" s="7"/>
    </row>
    <row r="257" spans="1:6" x14ac:dyDescent="0.3">
      <c r="A257" s="9">
        <v>45783</v>
      </c>
      <c r="B257" s="7">
        <v>10252.48</v>
      </c>
      <c r="C257" s="7">
        <v>7455.5</v>
      </c>
      <c r="D257" s="7">
        <v>41809.35</v>
      </c>
      <c r="E257" s="7"/>
      <c r="F257" s="7"/>
    </row>
    <row r="258" spans="1:6" x14ac:dyDescent="0.3">
      <c r="A258" s="8" t="s">
        <v>1712</v>
      </c>
      <c r="B258" s="7"/>
      <c r="C258" s="7"/>
      <c r="D258" s="7"/>
      <c r="E258" s="7"/>
      <c r="F258" s="7"/>
    </row>
    <row r="259" spans="1:6" x14ac:dyDescent="0.3">
      <c r="A259" s="9">
        <v>45784</v>
      </c>
      <c r="B259" s="7"/>
      <c r="C259" s="7">
        <v>12540.61</v>
      </c>
      <c r="D259" s="7">
        <v>6156.46</v>
      </c>
      <c r="E259" s="7">
        <v>6233.09</v>
      </c>
      <c r="F259" s="7">
        <v>13449.17</v>
      </c>
    </row>
    <row r="260" spans="1:6" x14ac:dyDescent="0.3">
      <c r="A260" s="8" t="s">
        <v>1713</v>
      </c>
      <c r="B260" s="7"/>
      <c r="C260" s="7"/>
      <c r="D260" s="7"/>
      <c r="E260" s="7"/>
      <c r="F260" s="7"/>
    </row>
    <row r="261" spans="1:6" x14ac:dyDescent="0.3">
      <c r="A261" s="9">
        <v>45785</v>
      </c>
      <c r="B261" s="7"/>
      <c r="C261" s="7">
        <v>11182.67</v>
      </c>
      <c r="D261" s="7">
        <v>1378.57</v>
      </c>
      <c r="E261" s="7">
        <v>27894.36</v>
      </c>
      <c r="F261" s="7">
        <v>14100.54</v>
      </c>
    </row>
    <row r="262" spans="1:6" x14ac:dyDescent="0.3">
      <c r="A262" s="8" t="s">
        <v>1714</v>
      </c>
      <c r="B262" s="7"/>
      <c r="C262" s="7"/>
      <c r="D262" s="7"/>
      <c r="E262" s="7"/>
      <c r="F262" s="7"/>
    </row>
    <row r="263" spans="1:6" x14ac:dyDescent="0.3">
      <c r="A263" s="9">
        <v>45786</v>
      </c>
      <c r="B263" s="7"/>
      <c r="C263" s="7">
        <v>3545.2599999999998</v>
      </c>
      <c r="D263" s="7">
        <v>21773.54</v>
      </c>
      <c r="E263" s="7">
        <v>17806.36</v>
      </c>
      <c r="F263" s="7">
        <v>31116.15</v>
      </c>
    </row>
    <row r="264" spans="1:6" x14ac:dyDescent="0.3">
      <c r="A264" s="8" t="s">
        <v>1715</v>
      </c>
      <c r="B264" s="7"/>
      <c r="C264" s="7"/>
      <c r="D264" s="7"/>
      <c r="E264" s="7"/>
      <c r="F264" s="7"/>
    </row>
    <row r="265" spans="1:6" x14ac:dyDescent="0.3">
      <c r="A265" s="9">
        <v>45787</v>
      </c>
      <c r="B265" s="7">
        <v>6661.81</v>
      </c>
      <c r="C265" s="7">
        <v>5962.28</v>
      </c>
      <c r="D265" s="7"/>
      <c r="E265" s="7">
        <v>25462.550000000003</v>
      </c>
      <c r="F265" s="7">
        <v>3928.42</v>
      </c>
    </row>
    <row r="266" spans="1:6" x14ac:dyDescent="0.3">
      <c r="A266" s="8" t="s">
        <v>1716</v>
      </c>
      <c r="B266" s="7"/>
      <c r="C266" s="7"/>
      <c r="D266" s="7"/>
      <c r="E266" s="7"/>
      <c r="F266" s="7"/>
    </row>
    <row r="267" spans="1:6" x14ac:dyDescent="0.3">
      <c r="A267" s="9">
        <v>45788</v>
      </c>
      <c r="B267" s="7">
        <v>21419.99</v>
      </c>
      <c r="C267" s="7">
        <v>21755.94</v>
      </c>
      <c r="D267" s="7">
        <v>11425.14</v>
      </c>
      <c r="E267" s="7">
        <v>19126.71</v>
      </c>
      <c r="F267" s="7">
        <v>34116.730000000003</v>
      </c>
    </row>
    <row r="268" spans="1:6" x14ac:dyDescent="0.3">
      <c r="A268" s="8" t="s">
        <v>1717</v>
      </c>
      <c r="B268" s="7"/>
      <c r="C268" s="7"/>
      <c r="D268" s="7"/>
      <c r="E268" s="7"/>
      <c r="F268" s="7"/>
    </row>
    <row r="269" spans="1:6" x14ac:dyDescent="0.3">
      <c r="A269" s="9">
        <v>45789</v>
      </c>
      <c r="B269" s="7">
        <v>25290.52</v>
      </c>
      <c r="C269" s="7">
        <v>13642.83</v>
      </c>
      <c r="D269" s="7">
        <v>15374.84</v>
      </c>
      <c r="E269" s="7">
        <v>5667.52</v>
      </c>
      <c r="F269" s="7"/>
    </row>
    <row r="270" spans="1:6" x14ac:dyDescent="0.3">
      <c r="A270" s="8" t="s">
        <v>1718</v>
      </c>
      <c r="B270" s="7"/>
      <c r="C270" s="7"/>
      <c r="D270" s="7"/>
      <c r="E270" s="7"/>
      <c r="F270" s="7"/>
    </row>
    <row r="271" spans="1:6" x14ac:dyDescent="0.3">
      <c r="A271" s="9">
        <v>45790</v>
      </c>
      <c r="B271" s="7">
        <v>20708.21</v>
      </c>
      <c r="C271" s="7">
        <v>15001.57</v>
      </c>
      <c r="D271" s="7"/>
      <c r="E271" s="7">
        <v>15883.47</v>
      </c>
      <c r="F271" s="7">
        <v>20538.8</v>
      </c>
    </row>
    <row r="272" spans="1:6" x14ac:dyDescent="0.3">
      <c r="A272" s="8" t="s">
        <v>1719</v>
      </c>
      <c r="B272" s="7"/>
      <c r="C272" s="7"/>
      <c r="D272" s="7"/>
      <c r="E272" s="7"/>
      <c r="F272" s="7"/>
    </row>
    <row r="273" spans="1:6" x14ac:dyDescent="0.3">
      <c r="A273" s="9">
        <v>45791</v>
      </c>
      <c r="B273" s="7">
        <v>15393.499999999998</v>
      </c>
      <c r="C273" s="7">
        <v>11259.76</v>
      </c>
      <c r="D273" s="7">
        <v>1862.6</v>
      </c>
      <c r="E273" s="7"/>
      <c r="F273" s="7">
        <v>6454.01</v>
      </c>
    </row>
    <row r="274" spans="1:6" x14ac:dyDescent="0.3">
      <c r="A274" s="8" t="s">
        <v>1720</v>
      </c>
      <c r="B274" s="7"/>
      <c r="C274" s="7"/>
      <c r="D274" s="7"/>
      <c r="E274" s="7"/>
      <c r="F274" s="7"/>
    </row>
    <row r="275" spans="1:6" x14ac:dyDescent="0.3">
      <c r="A275" s="9">
        <v>45792</v>
      </c>
      <c r="B275" s="7">
        <v>5800.68</v>
      </c>
      <c r="C275" s="7"/>
      <c r="D275" s="7">
        <v>10863.39</v>
      </c>
      <c r="E275" s="7"/>
      <c r="F275" s="7">
        <v>19655.150000000001</v>
      </c>
    </row>
    <row r="276" spans="1:6" x14ac:dyDescent="0.3">
      <c r="A276" s="8" t="s">
        <v>1721</v>
      </c>
      <c r="B276" s="7"/>
      <c r="C276" s="7"/>
      <c r="D276" s="7"/>
      <c r="E276" s="7"/>
      <c r="F276" s="7"/>
    </row>
    <row r="277" spans="1:6" x14ac:dyDescent="0.3">
      <c r="A277" s="9">
        <v>45793</v>
      </c>
      <c r="B277" s="7">
        <v>30673.339999999997</v>
      </c>
      <c r="C277" s="7">
        <v>2555.64</v>
      </c>
      <c r="D277" s="7">
        <v>11757.54</v>
      </c>
      <c r="E277" s="7">
        <v>10461.92</v>
      </c>
      <c r="F277" s="7">
        <v>8524.9600000000009</v>
      </c>
    </row>
    <row r="278" spans="1:6" x14ac:dyDescent="0.3">
      <c r="A278" s="8" t="s">
        <v>1722</v>
      </c>
      <c r="B278" s="7"/>
      <c r="C278" s="7"/>
      <c r="D278" s="7"/>
      <c r="E278" s="7"/>
      <c r="F278" s="7"/>
    </row>
    <row r="279" spans="1:6" x14ac:dyDescent="0.3">
      <c r="A279" s="9">
        <v>45794</v>
      </c>
      <c r="B279" s="7">
        <v>15624.19</v>
      </c>
      <c r="C279" s="7">
        <v>9040.82</v>
      </c>
      <c r="D279" s="7">
        <v>4396.7</v>
      </c>
      <c r="E279" s="7">
        <v>16754.669999999998</v>
      </c>
      <c r="F279" s="7"/>
    </row>
    <row r="280" spans="1:6" x14ac:dyDescent="0.3">
      <c r="A280" s="8" t="s">
        <v>1723</v>
      </c>
      <c r="B280" s="7"/>
      <c r="C280" s="7"/>
      <c r="D280" s="7"/>
      <c r="E280" s="7"/>
      <c r="F280" s="7"/>
    </row>
    <row r="281" spans="1:6" x14ac:dyDescent="0.3">
      <c r="A281" s="9">
        <v>45795</v>
      </c>
      <c r="B281" s="7"/>
      <c r="C281" s="7">
        <v>34156.76</v>
      </c>
      <c r="D281" s="7">
        <v>11972.8</v>
      </c>
      <c r="E281" s="7">
        <v>23546.92</v>
      </c>
      <c r="F281" s="7">
        <v>23193.05</v>
      </c>
    </row>
    <row r="282" spans="1:6" x14ac:dyDescent="0.3">
      <c r="A282" s="8" t="s">
        <v>1724</v>
      </c>
      <c r="B282" s="7"/>
      <c r="C282" s="7"/>
      <c r="D282" s="7"/>
      <c r="E282" s="7"/>
      <c r="F282" s="7"/>
    </row>
    <row r="283" spans="1:6" x14ac:dyDescent="0.3">
      <c r="A283" s="9">
        <v>45796</v>
      </c>
      <c r="B283" s="7">
        <v>9789.9699999999993</v>
      </c>
      <c r="C283" s="7">
        <v>10034.33</v>
      </c>
      <c r="D283" s="7"/>
      <c r="E283" s="7">
        <v>14238.83</v>
      </c>
      <c r="F283" s="7">
        <v>2275.09</v>
      </c>
    </row>
    <row r="284" spans="1:6" x14ac:dyDescent="0.3">
      <c r="A284" s="8" t="s">
        <v>1725</v>
      </c>
      <c r="B284" s="7"/>
      <c r="C284" s="7"/>
      <c r="D284" s="7"/>
      <c r="E284" s="7"/>
      <c r="F284" s="7"/>
    </row>
    <row r="285" spans="1:6" x14ac:dyDescent="0.3">
      <c r="A285" s="9">
        <v>45797</v>
      </c>
      <c r="B285" s="7">
        <v>2159.29</v>
      </c>
      <c r="C285" s="7">
        <v>23919.14</v>
      </c>
      <c r="D285" s="7">
        <v>21948.65</v>
      </c>
      <c r="E285" s="7">
        <v>20523</v>
      </c>
      <c r="F285" s="7">
        <v>4953.07</v>
      </c>
    </row>
    <row r="286" spans="1:6" x14ac:dyDescent="0.3">
      <c r="A286" s="8" t="s">
        <v>1726</v>
      </c>
      <c r="B286" s="7"/>
      <c r="C286" s="7"/>
      <c r="D286" s="7"/>
      <c r="E286" s="7"/>
      <c r="F286" s="7"/>
    </row>
    <row r="287" spans="1:6" x14ac:dyDescent="0.3">
      <c r="A287" s="9">
        <v>45798</v>
      </c>
      <c r="B287" s="7">
        <v>23333.51</v>
      </c>
      <c r="C287" s="7"/>
      <c r="D287" s="7"/>
      <c r="E287" s="7"/>
      <c r="F287" s="7">
        <v>4468.6400000000003</v>
      </c>
    </row>
    <row r="288" spans="1:6" x14ac:dyDescent="0.3">
      <c r="A288" s="8" t="s">
        <v>1727</v>
      </c>
      <c r="B288" s="7"/>
      <c r="C288" s="7"/>
      <c r="D288" s="7"/>
      <c r="E288" s="7"/>
      <c r="F288" s="7"/>
    </row>
    <row r="289" spans="1:6" x14ac:dyDescent="0.3">
      <c r="A289" s="9">
        <v>45799</v>
      </c>
      <c r="B289" s="7"/>
      <c r="C289" s="7">
        <v>42991.930000000008</v>
      </c>
      <c r="D289" s="7">
        <v>23039.68</v>
      </c>
      <c r="E289" s="7">
        <v>6950.22</v>
      </c>
      <c r="F289" s="7">
        <v>46200.71</v>
      </c>
    </row>
    <row r="290" spans="1:6" x14ac:dyDescent="0.3">
      <c r="A290" s="8" t="s">
        <v>1728</v>
      </c>
      <c r="B290" s="7"/>
      <c r="C290" s="7"/>
      <c r="D290" s="7"/>
      <c r="E290" s="7"/>
      <c r="F290" s="7"/>
    </row>
    <row r="291" spans="1:6" x14ac:dyDescent="0.3">
      <c r="A291" s="9">
        <v>45800</v>
      </c>
      <c r="B291" s="7">
        <v>2679.19</v>
      </c>
      <c r="C291" s="7"/>
      <c r="D291" s="7">
        <v>10329</v>
      </c>
      <c r="E291" s="7">
        <v>4628.59</v>
      </c>
      <c r="F291" s="7"/>
    </row>
    <row r="292" spans="1:6" x14ac:dyDescent="0.3">
      <c r="A292" s="8" t="s">
        <v>1729</v>
      </c>
      <c r="B292" s="7"/>
      <c r="C292" s="7"/>
      <c r="D292" s="7"/>
      <c r="E292" s="7"/>
      <c r="F292" s="7"/>
    </row>
    <row r="293" spans="1:6" x14ac:dyDescent="0.3">
      <c r="A293" s="9">
        <v>45801</v>
      </c>
      <c r="B293" s="7">
        <v>17712.93</v>
      </c>
      <c r="C293" s="7">
        <v>6581.84</v>
      </c>
      <c r="D293" s="7">
        <v>26663.79</v>
      </c>
      <c r="E293" s="7">
        <v>12675.74</v>
      </c>
      <c r="F293" s="7">
        <v>7369.02</v>
      </c>
    </row>
    <row r="294" spans="1:6" x14ac:dyDescent="0.3">
      <c r="A294" s="8" t="s">
        <v>1730</v>
      </c>
      <c r="B294" s="7"/>
      <c r="C294" s="7"/>
      <c r="D294" s="7"/>
      <c r="E294" s="7"/>
      <c r="F294" s="7"/>
    </row>
    <row r="295" spans="1:6" x14ac:dyDescent="0.3">
      <c r="A295" s="9">
        <v>45802</v>
      </c>
      <c r="B295" s="7">
        <v>8413.17</v>
      </c>
      <c r="C295" s="7">
        <v>20527.03</v>
      </c>
      <c r="D295" s="7">
        <v>7407.09</v>
      </c>
      <c r="E295" s="7">
        <v>5498.29</v>
      </c>
      <c r="F295" s="7"/>
    </row>
    <row r="296" spans="1:6" x14ac:dyDescent="0.3">
      <c r="A296" s="8" t="s">
        <v>1731</v>
      </c>
      <c r="B296" s="7"/>
      <c r="C296" s="7"/>
      <c r="D296" s="7"/>
      <c r="E296" s="7"/>
      <c r="F296" s="7"/>
    </row>
    <row r="297" spans="1:6" x14ac:dyDescent="0.3">
      <c r="A297" s="9">
        <v>45803</v>
      </c>
      <c r="B297" s="7">
        <v>4005.07</v>
      </c>
      <c r="C297" s="7">
        <v>4436.59</v>
      </c>
      <c r="D297" s="7">
        <v>27291.69</v>
      </c>
      <c r="E297" s="7">
        <v>3499.88</v>
      </c>
      <c r="F297" s="7">
        <v>12135.8</v>
      </c>
    </row>
    <row r="298" spans="1:6" x14ac:dyDescent="0.3">
      <c r="A298" s="8" t="s">
        <v>1732</v>
      </c>
      <c r="B298" s="7"/>
      <c r="C298" s="7"/>
      <c r="D298" s="7"/>
      <c r="E298" s="7"/>
      <c r="F298" s="7"/>
    </row>
    <row r="299" spans="1:6" x14ac:dyDescent="0.3">
      <c r="A299" s="9">
        <v>45804</v>
      </c>
      <c r="B299" s="7">
        <v>22079.760000000002</v>
      </c>
      <c r="C299" s="7">
        <v>27546.04</v>
      </c>
      <c r="D299" s="7"/>
      <c r="E299" s="7"/>
      <c r="F299" s="7">
        <v>6692.13</v>
      </c>
    </row>
    <row r="300" spans="1:6" x14ac:dyDescent="0.3">
      <c r="A300" s="8" t="s">
        <v>1733</v>
      </c>
      <c r="B300" s="7"/>
      <c r="C300" s="7"/>
      <c r="D300" s="7"/>
      <c r="E300" s="7"/>
      <c r="F300" s="7"/>
    </row>
    <row r="301" spans="1:6" x14ac:dyDescent="0.3">
      <c r="A301" s="9">
        <v>45805</v>
      </c>
      <c r="B301" s="7">
        <v>5011.13</v>
      </c>
      <c r="C301" s="7">
        <v>23945.5</v>
      </c>
      <c r="D301" s="7">
        <v>19517.939999999999</v>
      </c>
      <c r="E301" s="7">
        <v>28596.550000000003</v>
      </c>
      <c r="F301" s="7">
        <v>2377.7399999999998</v>
      </c>
    </row>
    <row r="302" spans="1:6" x14ac:dyDescent="0.3">
      <c r="A302" s="8" t="s">
        <v>1734</v>
      </c>
      <c r="B302" s="7"/>
      <c r="C302" s="7"/>
      <c r="D302" s="7"/>
      <c r="E302" s="7"/>
      <c r="F302" s="7"/>
    </row>
    <row r="303" spans="1:6" x14ac:dyDescent="0.3">
      <c r="A303" s="9">
        <v>45806</v>
      </c>
      <c r="B303" s="7">
        <v>8772.33</v>
      </c>
      <c r="C303" s="7">
        <v>31120.44</v>
      </c>
      <c r="D303" s="7">
        <v>10365.43</v>
      </c>
      <c r="E303" s="7"/>
      <c r="F303" s="7">
        <v>10685.89</v>
      </c>
    </row>
    <row r="304" spans="1:6" x14ac:dyDescent="0.3">
      <c r="A304" s="8" t="s">
        <v>1735</v>
      </c>
      <c r="B304" s="7"/>
      <c r="C304" s="7"/>
      <c r="D304" s="7"/>
      <c r="E304" s="7"/>
      <c r="F304" s="7"/>
    </row>
    <row r="305" spans="1:6" x14ac:dyDescent="0.3">
      <c r="A305" s="9">
        <v>45807</v>
      </c>
      <c r="B305" s="7">
        <v>22385.84</v>
      </c>
      <c r="C305" s="7">
        <v>10825.09</v>
      </c>
      <c r="D305" s="7">
        <v>18347</v>
      </c>
      <c r="E305" s="7"/>
      <c r="F305" s="7">
        <v>24988.39</v>
      </c>
    </row>
    <row r="306" spans="1:6" x14ac:dyDescent="0.3">
      <c r="A306" s="8" t="s">
        <v>1736</v>
      </c>
      <c r="B306" s="7"/>
      <c r="C306" s="7"/>
      <c r="D306" s="7"/>
      <c r="E306" s="7"/>
      <c r="F306" s="7"/>
    </row>
    <row r="307" spans="1:6" x14ac:dyDescent="0.3">
      <c r="A307" s="9">
        <v>45808</v>
      </c>
      <c r="B307" s="7">
        <v>10856.56</v>
      </c>
      <c r="C307" s="7">
        <v>11458.91</v>
      </c>
      <c r="D307" s="7">
        <v>15125.25</v>
      </c>
      <c r="E307" s="7">
        <v>14104.27</v>
      </c>
      <c r="F307" s="7"/>
    </row>
    <row r="308" spans="1:6" x14ac:dyDescent="0.3">
      <c r="A308" s="3" t="s">
        <v>1586</v>
      </c>
      <c r="B308" s="7"/>
      <c r="C308" s="7"/>
      <c r="D308" s="7"/>
      <c r="E308" s="7"/>
      <c r="F308" s="7"/>
    </row>
    <row r="309" spans="1:6" x14ac:dyDescent="0.3">
      <c r="A309" s="8" t="s">
        <v>1737</v>
      </c>
      <c r="B309" s="7"/>
      <c r="C309" s="7"/>
      <c r="D309" s="7"/>
      <c r="E309" s="7"/>
      <c r="F309" s="7"/>
    </row>
    <row r="310" spans="1:6" x14ac:dyDescent="0.3">
      <c r="A310" s="9">
        <v>45809</v>
      </c>
      <c r="B310" s="7"/>
      <c r="C310" s="7"/>
      <c r="D310" s="7">
        <v>22160.15</v>
      </c>
      <c r="E310" s="7">
        <v>18918.53</v>
      </c>
      <c r="F310" s="7">
        <v>1260.46</v>
      </c>
    </row>
    <row r="311" spans="1:6" x14ac:dyDescent="0.3">
      <c r="A311" s="8" t="s">
        <v>1738</v>
      </c>
      <c r="B311" s="7"/>
      <c r="C311" s="7"/>
      <c r="D311" s="7"/>
      <c r="E311" s="7"/>
      <c r="F311" s="7"/>
    </row>
    <row r="312" spans="1:6" x14ac:dyDescent="0.3">
      <c r="A312" s="9">
        <v>45810</v>
      </c>
      <c r="B312" s="7">
        <v>629.22</v>
      </c>
      <c r="C312" s="7">
        <v>8060.74</v>
      </c>
      <c r="D312" s="7">
        <v>10803.46</v>
      </c>
      <c r="E312" s="7">
        <v>24609.33</v>
      </c>
      <c r="F312" s="7">
        <v>1402.79</v>
      </c>
    </row>
    <row r="313" spans="1:6" x14ac:dyDescent="0.3">
      <c r="A313" s="8" t="s">
        <v>1739</v>
      </c>
      <c r="B313" s="7"/>
      <c r="C313" s="7"/>
      <c r="D313" s="7"/>
      <c r="E313" s="7"/>
      <c r="F313" s="7"/>
    </row>
    <row r="314" spans="1:6" x14ac:dyDescent="0.3">
      <c r="A314" s="9">
        <v>45811</v>
      </c>
      <c r="B314" s="7">
        <v>1303.8900000000001</v>
      </c>
      <c r="C314" s="7">
        <v>396.5</v>
      </c>
      <c r="D314" s="7">
        <v>3513.54</v>
      </c>
      <c r="E314" s="7">
        <v>11640.33</v>
      </c>
      <c r="F314" s="7">
        <v>5639.55</v>
      </c>
    </row>
    <row r="315" spans="1:6" x14ac:dyDescent="0.3">
      <c r="A315" s="8" t="s">
        <v>1740</v>
      </c>
      <c r="B315" s="7"/>
      <c r="C315" s="7"/>
      <c r="D315" s="7"/>
      <c r="E315" s="7"/>
      <c r="F315" s="7"/>
    </row>
    <row r="316" spans="1:6" x14ac:dyDescent="0.3">
      <c r="A316" s="9">
        <v>45812</v>
      </c>
      <c r="B316" s="7">
        <v>15232.8</v>
      </c>
      <c r="C316" s="7">
        <v>14620.53</v>
      </c>
      <c r="D316" s="7">
        <v>4889.7299999999996</v>
      </c>
      <c r="E316" s="7">
        <v>1717.46</v>
      </c>
      <c r="F316" s="7">
        <v>15916.380000000001</v>
      </c>
    </row>
    <row r="317" spans="1:6" x14ac:dyDescent="0.3">
      <c r="A317" s="8" t="s">
        <v>1741</v>
      </c>
      <c r="B317" s="7"/>
      <c r="C317" s="7"/>
      <c r="D317" s="7"/>
      <c r="E317" s="7"/>
      <c r="F317" s="7"/>
    </row>
    <row r="318" spans="1:6" x14ac:dyDescent="0.3">
      <c r="A318" s="9">
        <v>45813</v>
      </c>
      <c r="B318" s="7"/>
      <c r="C318" s="7">
        <v>26723.08</v>
      </c>
      <c r="D318" s="7">
        <v>9751.32</v>
      </c>
      <c r="E318" s="7">
        <v>7464.79</v>
      </c>
      <c r="F318" s="7"/>
    </row>
    <row r="319" spans="1:6" x14ac:dyDescent="0.3">
      <c r="A319" s="8" t="s">
        <v>1742</v>
      </c>
      <c r="B319" s="7"/>
      <c r="C319" s="7"/>
      <c r="D319" s="7"/>
      <c r="E319" s="7"/>
      <c r="F319" s="7"/>
    </row>
    <row r="320" spans="1:6" x14ac:dyDescent="0.3">
      <c r="A320" s="9">
        <v>45814</v>
      </c>
      <c r="B320" s="7">
        <v>3635.3799999999997</v>
      </c>
      <c r="C320" s="7">
        <v>3346.43</v>
      </c>
      <c r="D320" s="7">
        <v>13777.82</v>
      </c>
      <c r="E320" s="7"/>
      <c r="F320" s="7">
        <v>2952.98</v>
      </c>
    </row>
    <row r="321" spans="1:6" x14ac:dyDescent="0.3">
      <c r="A321" s="8" t="s">
        <v>1743</v>
      </c>
      <c r="B321" s="7"/>
      <c r="C321" s="7"/>
      <c r="D321" s="7"/>
      <c r="E321" s="7"/>
      <c r="F321" s="7"/>
    </row>
    <row r="322" spans="1:6" x14ac:dyDescent="0.3">
      <c r="A322" s="9">
        <v>45815</v>
      </c>
      <c r="B322" s="7"/>
      <c r="C322" s="7">
        <v>1153.72</v>
      </c>
      <c r="D322" s="7">
        <v>23961.260000000002</v>
      </c>
      <c r="E322" s="7">
        <v>20057.53</v>
      </c>
      <c r="F322" s="7">
        <v>18167.419999999998</v>
      </c>
    </row>
    <row r="323" spans="1:6" x14ac:dyDescent="0.3">
      <c r="A323" s="8" t="s">
        <v>1744</v>
      </c>
      <c r="B323" s="7"/>
      <c r="C323" s="7"/>
      <c r="D323" s="7"/>
      <c r="E323" s="7"/>
      <c r="F323" s="7"/>
    </row>
    <row r="324" spans="1:6" x14ac:dyDescent="0.3">
      <c r="A324" s="9">
        <v>45816</v>
      </c>
      <c r="B324" s="7">
        <v>22680.57</v>
      </c>
      <c r="C324" s="7">
        <v>24612.42</v>
      </c>
      <c r="D324" s="7">
        <v>8707.2900000000009</v>
      </c>
      <c r="E324" s="7">
        <v>7432.76</v>
      </c>
      <c r="F324" s="7">
        <v>27943.51</v>
      </c>
    </row>
    <row r="325" spans="1:6" x14ac:dyDescent="0.3">
      <c r="A325" s="8" t="s">
        <v>1745</v>
      </c>
      <c r="B325" s="7"/>
      <c r="C325" s="7"/>
      <c r="D325" s="7"/>
      <c r="E325" s="7"/>
      <c r="F325" s="7"/>
    </row>
    <row r="326" spans="1:6" x14ac:dyDescent="0.3">
      <c r="A326" s="9">
        <v>45817</v>
      </c>
      <c r="B326" s="7">
        <v>25661.59</v>
      </c>
      <c r="C326" s="7">
        <v>4751.82</v>
      </c>
      <c r="D326" s="7"/>
      <c r="E326" s="7">
        <v>12976.78</v>
      </c>
      <c r="F326" s="7"/>
    </row>
    <row r="327" spans="1:6" x14ac:dyDescent="0.3">
      <c r="A327" s="8" t="s">
        <v>1746</v>
      </c>
      <c r="B327" s="7"/>
      <c r="C327" s="7"/>
      <c r="D327" s="7"/>
      <c r="E327" s="7"/>
      <c r="F327" s="7"/>
    </row>
    <row r="328" spans="1:6" x14ac:dyDescent="0.3">
      <c r="A328" s="9">
        <v>45818</v>
      </c>
      <c r="B328" s="7">
        <v>18136.760000000002</v>
      </c>
      <c r="C328" s="7"/>
      <c r="D328" s="7"/>
      <c r="E328" s="7">
        <v>6292.32</v>
      </c>
      <c r="F328" s="7">
        <v>15557.599999999999</v>
      </c>
    </row>
    <row r="329" spans="1:6" x14ac:dyDescent="0.3">
      <c r="A329" s="8" t="s">
        <v>1747</v>
      </c>
      <c r="B329" s="7"/>
      <c r="C329" s="7"/>
      <c r="D329" s="7"/>
      <c r="E329" s="7"/>
      <c r="F329" s="7"/>
    </row>
    <row r="330" spans="1:6" x14ac:dyDescent="0.3">
      <c r="A330" s="9">
        <v>45819</v>
      </c>
      <c r="B330" s="7">
        <v>2122.6799999999998</v>
      </c>
      <c r="C330" s="7"/>
      <c r="D330" s="7">
        <v>4752.83</v>
      </c>
      <c r="E330" s="7">
        <v>13725.39</v>
      </c>
      <c r="F330" s="7">
        <v>16342.359999999999</v>
      </c>
    </row>
    <row r="331" spans="1:6" x14ac:dyDescent="0.3">
      <c r="A331" s="8" t="s">
        <v>1748</v>
      </c>
      <c r="B331" s="7"/>
      <c r="C331" s="7"/>
      <c r="D331" s="7"/>
      <c r="E331" s="7"/>
      <c r="F331" s="7"/>
    </row>
    <row r="332" spans="1:6" x14ac:dyDescent="0.3">
      <c r="A332" s="9">
        <v>45820</v>
      </c>
      <c r="B332" s="7"/>
      <c r="C332" s="7">
        <v>8596.15</v>
      </c>
      <c r="D332" s="7">
        <v>28632.22</v>
      </c>
      <c r="E332" s="7"/>
      <c r="F332" s="7">
        <v>9567.32</v>
      </c>
    </row>
    <row r="333" spans="1:6" x14ac:dyDescent="0.3">
      <c r="A333" s="8" t="s">
        <v>1749</v>
      </c>
      <c r="B333" s="7"/>
      <c r="C333" s="7"/>
      <c r="D333" s="7"/>
      <c r="E333" s="7"/>
      <c r="F333" s="7"/>
    </row>
    <row r="334" spans="1:6" x14ac:dyDescent="0.3">
      <c r="A334" s="9">
        <v>45821</v>
      </c>
      <c r="B334" s="7">
        <v>32377.889999999996</v>
      </c>
      <c r="C334" s="7">
        <v>15520.96</v>
      </c>
      <c r="D334" s="7"/>
      <c r="E334" s="7">
        <v>36757.269999999997</v>
      </c>
      <c r="F334" s="7">
        <v>26420.22</v>
      </c>
    </row>
    <row r="335" spans="1:6" x14ac:dyDescent="0.3">
      <c r="A335" s="8" t="s">
        <v>1750</v>
      </c>
      <c r="B335" s="7"/>
      <c r="C335" s="7"/>
      <c r="D335" s="7"/>
      <c r="E335" s="7"/>
      <c r="F335" s="7"/>
    </row>
    <row r="336" spans="1:6" x14ac:dyDescent="0.3">
      <c r="A336" s="9">
        <v>45822</v>
      </c>
      <c r="B336" s="7"/>
      <c r="C336" s="7">
        <v>7018.2899999999991</v>
      </c>
      <c r="D336" s="7">
        <v>4500.58</v>
      </c>
      <c r="E336" s="7">
        <v>4799.58</v>
      </c>
      <c r="F336" s="7">
        <v>12018.94</v>
      </c>
    </row>
    <row r="337" spans="1:6" x14ac:dyDescent="0.3">
      <c r="A337" s="8" t="s">
        <v>1751</v>
      </c>
      <c r="B337" s="7"/>
      <c r="C337" s="7"/>
      <c r="D337" s="7"/>
      <c r="E337" s="7"/>
      <c r="F337" s="7"/>
    </row>
    <row r="338" spans="1:6" x14ac:dyDescent="0.3">
      <c r="A338" s="9">
        <v>45823</v>
      </c>
      <c r="B338" s="7"/>
      <c r="C338" s="7">
        <v>2917.68</v>
      </c>
      <c r="D338" s="7">
        <v>18444.460000000003</v>
      </c>
      <c r="E338" s="7">
        <v>3460.73</v>
      </c>
      <c r="F338" s="7"/>
    </row>
    <row r="339" spans="1:6" x14ac:dyDescent="0.3">
      <c r="A339" s="8" t="s">
        <v>1752</v>
      </c>
      <c r="B339" s="7"/>
      <c r="C339" s="7"/>
      <c r="D339" s="7"/>
      <c r="E339" s="7"/>
      <c r="F339" s="7"/>
    </row>
    <row r="340" spans="1:6" x14ac:dyDescent="0.3">
      <c r="A340" s="9">
        <v>45824</v>
      </c>
      <c r="B340" s="7">
        <v>15535.480000000001</v>
      </c>
      <c r="C340" s="7">
        <v>12455.82</v>
      </c>
      <c r="D340" s="7"/>
      <c r="E340" s="7">
        <v>738.44</v>
      </c>
      <c r="F340" s="7">
        <v>16984.010000000002</v>
      </c>
    </row>
    <row r="341" spans="1:6" x14ac:dyDescent="0.3">
      <c r="A341" s="8" t="s">
        <v>1753</v>
      </c>
      <c r="B341" s="7"/>
      <c r="C341" s="7"/>
      <c r="D341" s="7"/>
      <c r="E341" s="7"/>
      <c r="F341" s="7"/>
    </row>
    <row r="342" spans="1:6" x14ac:dyDescent="0.3">
      <c r="A342" s="9">
        <v>45825</v>
      </c>
      <c r="B342" s="7">
        <v>8642.25</v>
      </c>
      <c r="C342" s="7">
        <v>8315.24</v>
      </c>
      <c r="D342" s="7">
        <v>36077.770000000004</v>
      </c>
      <c r="E342" s="7">
        <v>6106.85</v>
      </c>
      <c r="F342" s="7">
        <v>15889.35</v>
      </c>
    </row>
    <row r="343" spans="1:6" x14ac:dyDescent="0.3">
      <c r="A343" s="8" t="s">
        <v>1754</v>
      </c>
      <c r="B343" s="7"/>
      <c r="C343" s="7"/>
      <c r="D343" s="7"/>
      <c r="E343" s="7"/>
      <c r="F343" s="7"/>
    </row>
    <row r="344" spans="1:6" x14ac:dyDescent="0.3">
      <c r="A344" s="9">
        <v>45826</v>
      </c>
      <c r="B344" s="7">
        <v>24949.08</v>
      </c>
      <c r="C344" s="7">
        <v>27111.199999999997</v>
      </c>
      <c r="D344" s="7"/>
      <c r="E344" s="7">
        <v>1467.25</v>
      </c>
      <c r="F344" s="7"/>
    </row>
    <row r="345" spans="1:6" x14ac:dyDescent="0.3">
      <c r="A345" s="8" t="s">
        <v>1755</v>
      </c>
      <c r="B345" s="7"/>
      <c r="C345" s="7"/>
      <c r="D345" s="7"/>
      <c r="E345" s="7"/>
      <c r="F345" s="7"/>
    </row>
    <row r="346" spans="1:6" x14ac:dyDescent="0.3">
      <c r="A346" s="9">
        <v>45827</v>
      </c>
      <c r="B346" s="7">
        <v>21172.57</v>
      </c>
      <c r="C346" s="7">
        <v>10723.23</v>
      </c>
      <c r="D346" s="7">
        <v>5400.8899999999994</v>
      </c>
      <c r="E346" s="7">
        <v>19596.560000000001</v>
      </c>
      <c r="F346" s="7">
        <v>44892.03</v>
      </c>
    </row>
    <row r="347" spans="1:6" x14ac:dyDescent="0.3">
      <c r="A347" s="8" t="s">
        <v>1756</v>
      </c>
      <c r="B347" s="7"/>
      <c r="C347" s="7"/>
      <c r="D347" s="7"/>
      <c r="E347" s="7"/>
      <c r="F347" s="7"/>
    </row>
    <row r="348" spans="1:6" x14ac:dyDescent="0.3">
      <c r="A348" s="9">
        <v>45828</v>
      </c>
      <c r="B348" s="7">
        <v>4551.75</v>
      </c>
      <c r="C348" s="7">
        <v>4379.79</v>
      </c>
      <c r="D348" s="7">
        <v>12016.5</v>
      </c>
      <c r="E348" s="7"/>
      <c r="F348" s="7"/>
    </row>
    <row r="349" spans="1:6" x14ac:dyDescent="0.3">
      <c r="A349" s="8" t="s">
        <v>1757</v>
      </c>
      <c r="B349" s="7"/>
      <c r="C349" s="7"/>
      <c r="D349" s="7"/>
      <c r="E349" s="7"/>
      <c r="F349" s="7"/>
    </row>
    <row r="350" spans="1:6" x14ac:dyDescent="0.3">
      <c r="A350" s="9">
        <v>45829</v>
      </c>
      <c r="B350" s="7">
        <v>1010.91</v>
      </c>
      <c r="C350" s="7"/>
      <c r="D350" s="7">
        <v>5418.67</v>
      </c>
      <c r="E350" s="7">
        <v>26336.82</v>
      </c>
      <c r="F350" s="7">
        <v>92.68</v>
      </c>
    </row>
    <row r="351" spans="1:6" x14ac:dyDescent="0.3">
      <c r="A351" s="8" t="s">
        <v>1758</v>
      </c>
      <c r="B351" s="7"/>
      <c r="C351" s="7"/>
      <c r="D351" s="7"/>
      <c r="E351" s="7"/>
      <c r="F351" s="7"/>
    </row>
    <row r="352" spans="1:6" x14ac:dyDescent="0.3">
      <c r="A352" s="9">
        <v>45830</v>
      </c>
      <c r="B352" s="7">
        <v>10806.48</v>
      </c>
      <c r="C352" s="7">
        <v>9173.32</v>
      </c>
      <c r="D352" s="7">
        <v>16422.190000000002</v>
      </c>
      <c r="E352" s="7">
        <v>32617.34</v>
      </c>
      <c r="F352" s="7">
        <v>8864.49</v>
      </c>
    </row>
    <row r="353" spans="1:6" x14ac:dyDescent="0.3">
      <c r="A353" s="8" t="s">
        <v>1759</v>
      </c>
      <c r="B353" s="7"/>
      <c r="C353" s="7"/>
      <c r="D353" s="7"/>
      <c r="E353" s="7"/>
      <c r="F353" s="7"/>
    </row>
    <row r="354" spans="1:6" x14ac:dyDescent="0.3">
      <c r="A354" s="9">
        <v>45831</v>
      </c>
      <c r="B354" s="7">
        <v>13422.8</v>
      </c>
      <c r="C354" s="7">
        <v>14393.880000000001</v>
      </c>
      <c r="D354" s="7">
        <v>6963.73</v>
      </c>
      <c r="E354" s="7">
        <v>16503.04</v>
      </c>
      <c r="F354" s="7">
        <v>18384.419999999998</v>
      </c>
    </row>
    <row r="355" spans="1:6" x14ac:dyDescent="0.3">
      <c r="A355" s="8" t="s">
        <v>1760</v>
      </c>
      <c r="B355" s="7"/>
      <c r="C355" s="7"/>
      <c r="D355" s="7"/>
      <c r="E355" s="7"/>
      <c r="F355" s="7"/>
    </row>
    <row r="356" spans="1:6" x14ac:dyDescent="0.3">
      <c r="A356" s="9">
        <v>45832</v>
      </c>
      <c r="B356" s="7">
        <v>2619.5700000000002</v>
      </c>
      <c r="C356" s="7"/>
      <c r="D356" s="7"/>
      <c r="E356" s="7">
        <v>7701.82</v>
      </c>
      <c r="F356" s="7"/>
    </row>
    <row r="357" spans="1:6" x14ac:dyDescent="0.3">
      <c r="A357" s="8" t="s">
        <v>1761</v>
      </c>
      <c r="B357" s="7"/>
      <c r="C357" s="7"/>
      <c r="D357" s="7"/>
      <c r="E357" s="7"/>
      <c r="F357" s="7"/>
    </row>
    <row r="358" spans="1:6" x14ac:dyDescent="0.3">
      <c r="A358" s="9">
        <v>45833</v>
      </c>
      <c r="B358" s="7">
        <v>3633.09</v>
      </c>
      <c r="C358" s="7">
        <v>14974.92</v>
      </c>
      <c r="D358" s="7">
        <v>9692.57</v>
      </c>
      <c r="E358" s="7">
        <v>13503.01</v>
      </c>
      <c r="F358" s="7"/>
    </row>
    <row r="359" spans="1:6" x14ac:dyDescent="0.3">
      <c r="A359" s="8" t="s">
        <v>1762</v>
      </c>
      <c r="B359" s="7"/>
      <c r="C359" s="7"/>
      <c r="D359" s="7"/>
      <c r="E359" s="7"/>
      <c r="F359" s="7"/>
    </row>
    <row r="360" spans="1:6" x14ac:dyDescent="0.3">
      <c r="A360" s="9">
        <v>45834</v>
      </c>
      <c r="B360" s="7">
        <v>27373.56</v>
      </c>
      <c r="C360" s="7">
        <v>9178.9</v>
      </c>
      <c r="D360" s="7">
        <v>36555.26</v>
      </c>
      <c r="E360" s="7"/>
      <c r="F360" s="7"/>
    </row>
    <row r="361" spans="1:6" x14ac:dyDescent="0.3">
      <c r="A361" s="8" t="s">
        <v>1763</v>
      </c>
      <c r="B361" s="7"/>
      <c r="C361" s="7"/>
      <c r="D361" s="7"/>
      <c r="E361" s="7"/>
      <c r="F361" s="7"/>
    </row>
    <row r="362" spans="1:6" x14ac:dyDescent="0.3">
      <c r="A362" s="9">
        <v>45835</v>
      </c>
      <c r="B362" s="7">
        <v>3510.24</v>
      </c>
      <c r="C362" s="7"/>
      <c r="D362" s="7">
        <v>18762.45</v>
      </c>
      <c r="E362" s="7"/>
      <c r="F362" s="7">
        <v>16416.37</v>
      </c>
    </row>
    <row r="363" spans="1:6" x14ac:dyDescent="0.3">
      <c r="A363" s="8" t="s">
        <v>1764</v>
      </c>
      <c r="B363" s="7"/>
      <c r="C363" s="7"/>
      <c r="D363" s="7"/>
      <c r="E363" s="7"/>
      <c r="F363" s="7"/>
    </row>
    <row r="364" spans="1:6" x14ac:dyDescent="0.3">
      <c r="A364" s="9">
        <v>45836</v>
      </c>
      <c r="B364" s="7">
        <v>3507.24</v>
      </c>
      <c r="C364" s="7">
        <v>37531.43</v>
      </c>
      <c r="D364" s="7">
        <v>1421.38</v>
      </c>
      <c r="E364" s="7"/>
      <c r="F364" s="7">
        <v>11298.11</v>
      </c>
    </row>
    <row r="365" spans="1:6" x14ac:dyDescent="0.3">
      <c r="A365" s="8" t="s">
        <v>1765</v>
      </c>
      <c r="B365" s="7"/>
      <c r="C365" s="7"/>
      <c r="D365" s="7"/>
      <c r="E365" s="7"/>
      <c r="F365" s="7"/>
    </row>
    <row r="366" spans="1:6" x14ac:dyDescent="0.3">
      <c r="A366" s="9">
        <v>45837</v>
      </c>
      <c r="B366" s="7">
        <v>19954.68</v>
      </c>
      <c r="C366" s="7"/>
      <c r="D366" s="7">
        <v>15208.12</v>
      </c>
      <c r="E366" s="7"/>
      <c r="F366" s="7">
        <v>8947.93</v>
      </c>
    </row>
    <row r="367" spans="1:6" x14ac:dyDescent="0.3">
      <c r="A367" s="8" t="s">
        <v>1766</v>
      </c>
      <c r="B367" s="7"/>
      <c r="C367" s="7"/>
      <c r="D367" s="7"/>
      <c r="E367" s="7"/>
      <c r="F367" s="7"/>
    </row>
    <row r="368" spans="1:6" x14ac:dyDescent="0.3">
      <c r="A368" s="9">
        <v>45838</v>
      </c>
      <c r="B368" s="7">
        <v>8284.1</v>
      </c>
      <c r="C368" s="7"/>
      <c r="D368" s="7">
        <v>9129.6200000000008</v>
      </c>
      <c r="E368" s="7">
        <v>21684.010000000002</v>
      </c>
      <c r="F368" s="7">
        <v>16168.92</v>
      </c>
    </row>
    <row r="369" spans="1:6" x14ac:dyDescent="0.3">
      <c r="A369" s="3" t="s">
        <v>1587</v>
      </c>
      <c r="B369" s="7"/>
      <c r="C369" s="7"/>
      <c r="D369" s="7"/>
      <c r="E369" s="7"/>
      <c r="F369" s="7"/>
    </row>
    <row r="370" spans="1:6" x14ac:dyDescent="0.3">
      <c r="A370" s="8" t="s">
        <v>1767</v>
      </c>
      <c r="B370" s="7"/>
      <c r="C370" s="7"/>
      <c r="D370" s="7"/>
      <c r="E370" s="7"/>
      <c r="F370" s="7"/>
    </row>
    <row r="371" spans="1:6" x14ac:dyDescent="0.3">
      <c r="A371" s="9">
        <v>45839</v>
      </c>
      <c r="B371" s="7">
        <v>14436.79</v>
      </c>
      <c r="C371" s="7">
        <v>30016.89</v>
      </c>
      <c r="D371" s="7"/>
      <c r="E371" s="7">
        <v>17034.39</v>
      </c>
      <c r="F371" s="7">
        <v>5266.81</v>
      </c>
    </row>
    <row r="372" spans="1:6" x14ac:dyDescent="0.3">
      <c r="A372" s="8" t="s">
        <v>1768</v>
      </c>
      <c r="B372" s="7"/>
      <c r="C372" s="7"/>
      <c r="D372" s="7"/>
      <c r="E372" s="7"/>
      <c r="F372" s="7"/>
    </row>
    <row r="373" spans="1:6" x14ac:dyDescent="0.3">
      <c r="A373" s="9">
        <v>45840</v>
      </c>
      <c r="B373" s="7">
        <v>3621.56</v>
      </c>
      <c r="C373" s="7">
        <v>14691.41</v>
      </c>
      <c r="D373" s="7">
        <v>11312.27</v>
      </c>
      <c r="E373" s="7">
        <v>18075.8</v>
      </c>
      <c r="F373" s="7">
        <v>28556.1</v>
      </c>
    </row>
    <row r="374" spans="1:6" x14ac:dyDescent="0.3">
      <c r="A374" s="8" t="s">
        <v>1769</v>
      </c>
      <c r="B374" s="7"/>
      <c r="C374" s="7"/>
      <c r="D374" s="7"/>
      <c r="E374" s="7"/>
      <c r="F374" s="7"/>
    </row>
    <row r="375" spans="1:6" x14ac:dyDescent="0.3">
      <c r="A375" s="9">
        <v>45841</v>
      </c>
      <c r="B375" s="7">
        <v>16326.07</v>
      </c>
      <c r="C375" s="7">
        <v>5550.3</v>
      </c>
      <c r="D375" s="7">
        <v>16441.41</v>
      </c>
      <c r="E375" s="7">
        <v>12301.26</v>
      </c>
      <c r="F375" s="7"/>
    </row>
    <row r="376" spans="1:6" x14ac:dyDescent="0.3">
      <c r="A376" s="8" t="s">
        <v>1770</v>
      </c>
      <c r="B376" s="7"/>
      <c r="C376" s="7"/>
      <c r="D376" s="7"/>
      <c r="E376" s="7"/>
      <c r="F376" s="7"/>
    </row>
    <row r="377" spans="1:6" x14ac:dyDescent="0.3">
      <c r="A377" s="9">
        <v>45842</v>
      </c>
      <c r="B377" s="7"/>
      <c r="C377" s="7">
        <v>17609.72</v>
      </c>
      <c r="D377" s="7">
        <v>6605.1399999999994</v>
      </c>
      <c r="E377" s="7"/>
      <c r="F377" s="7">
        <v>27977.019999999997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AFD6D-EE6B-4B8E-A105-D6EFEA903132}">
  <dimension ref="A3:F377"/>
  <sheetViews>
    <sheetView workbookViewId="0">
      <selection activeCell="D6" sqref="D6"/>
    </sheetView>
  </sheetViews>
  <sheetFormatPr defaultRowHeight="14.4" x14ac:dyDescent="0.3"/>
  <cols>
    <col min="1" max="1" width="14.109375" bestFit="1" customWidth="1"/>
    <col min="2" max="2" width="18.5546875" bestFit="1" customWidth="1"/>
    <col min="3" max="3" width="11" bestFit="1" customWidth="1"/>
    <col min="4" max="4" width="10" bestFit="1" customWidth="1"/>
    <col min="5" max="7" width="11" bestFit="1" customWidth="1"/>
    <col min="8" max="8" width="10" bestFit="1" customWidth="1"/>
    <col min="9" max="9" width="11" bestFit="1" customWidth="1"/>
  </cols>
  <sheetData>
    <row r="3" spans="1:6" x14ac:dyDescent="0.3">
      <c r="A3" s="2" t="s">
        <v>1566</v>
      </c>
      <c r="B3" t="s">
        <v>1571</v>
      </c>
      <c r="D3" s="11" t="s">
        <v>1771</v>
      </c>
      <c r="E3" s="11"/>
      <c r="F3" s="11"/>
    </row>
    <row r="4" spans="1:6" x14ac:dyDescent="0.3">
      <c r="A4" s="3" t="s">
        <v>1581</v>
      </c>
      <c r="B4">
        <v>1540404.5200000003</v>
      </c>
    </row>
    <row r="5" spans="1:6" x14ac:dyDescent="0.3">
      <c r="A5" s="8" t="s">
        <v>1588</v>
      </c>
      <c r="B5">
        <v>76585.400000000009</v>
      </c>
    </row>
    <row r="6" spans="1:6" x14ac:dyDescent="0.3">
      <c r="A6" s="9">
        <v>45660</v>
      </c>
      <c r="B6">
        <v>76585.400000000009</v>
      </c>
    </row>
    <row r="7" spans="1:6" x14ac:dyDescent="0.3">
      <c r="A7" s="8" t="s">
        <v>1589</v>
      </c>
      <c r="B7">
        <v>58701.039999999994</v>
      </c>
    </row>
    <row r="8" spans="1:6" x14ac:dyDescent="0.3">
      <c r="A8" s="9">
        <v>45661</v>
      </c>
      <c r="B8">
        <v>58701.039999999994</v>
      </c>
    </row>
    <row r="9" spans="1:6" x14ac:dyDescent="0.3">
      <c r="A9" s="8" t="s">
        <v>1590</v>
      </c>
      <c r="B9">
        <v>16817.190000000002</v>
      </c>
    </row>
    <row r="10" spans="1:6" x14ac:dyDescent="0.3">
      <c r="A10" s="9">
        <v>45662</v>
      </c>
      <c r="B10">
        <v>16817.190000000002</v>
      </c>
    </row>
    <row r="11" spans="1:6" x14ac:dyDescent="0.3">
      <c r="A11" s="8" t="s">
        <v>1591</v>
      </c>
      <c r="B11">
        <v>35958.979999999996</v>
      </c>
    </row>
    <row r="12" spans="1:6" x14ac:dyDescent="0.3">
      <c r="A12" s="9">
        <v>45663</v>
      </c>
      <c r="B12">
        <v>35958.979999999996</v>
      </c>
    </row>
    <row r="13" spans="1:6" x14ac:dyDescent="0.3">
      <c r="A13" s="8" t="s">
        <v>1592</v>
      </c>
      <c r="B13">
        <v>59303.89</v>
      </c>
    </row>
    <row r="14" spans="1:6" x14ac:dyDescent="0.3">
      <c r="A14" s="9">
        <v>45664</v>
      </c>
      <c r="B14">
        <v>59303.89</v>
      </c>
    </row>
    <row r="15" spans="1:6" x14ac:dyDescent="0.3">
      <c r="A15" s="8" t="s">
        <v>1593</v>
      </c>
      <c r="B15">
        <v>71449.209999999992</v>
      </c>
    </row>
    <row r="16" spans="1:6" x14ac:dyDescent="0.3">
      <c r="A16" s="9">
        <v>45665</v>
      </c>
      <c r="B16">
        <v>71449.209999999992</v>
      </c>
    </row>
    <row r="17" spans="1:2" x14ac:dyDescent="0.3">
      <c r="A17" s="8" t="s">
        <v>1594</v>
      </c>
      <c r="B17">
        <v>35655.270000000004</v>
      </c>
    </row>
    <row r="18" spans="1:2" x14ac:dyDescent="0.3">
      <c r="A18" s="9">
        <v>45666</v>
      </c>
      <c r="B18">
        <v>35655.270000000004</v>
      </c>
    </row>
    <row r="19" spans="1:2" x14ac:dyDescent="0.3">
      <c r="A19" s="8" t="s">
        <v>1595</v>
      </c>
      <c r="B19">
        <v>54818.909999999996</v>
      </c>
    </row>
    <row r="20" spans="1:2" x14ac:dyDescent="0.3">
      <c r="A20" s="9">
        <v>45667</v>
      </c>
      <c r="B20">
        <v>54818.909999999996</v>
      </c>
    </row>
    <row r="21" spans="1:2" x14ac:dyDescent="0.3">
      <c r="A21" s="8" t="s">
        <v>1596</v>
      </c>
      <c r="B21">
        <v>72413.09</v>
      </c>
    </row>
    <row r="22" spans="1:2" x14ac:dyDescent="0.3">
      <c r="A22" s="9">
        <v>45668</v>
      </c>
      <c r="B22">
        <v>72413.09</v>
      </c>
    </row>
    <row r="23" spans="1:2" x14ac:dyDescent="0.3">
      <c r="A23" s="8" t="s">
        <v>1597</v>
      </c>
      <c r="B23">
        <v>68075.66</v>
      </c>
    </row>
    <row r="24" spans="1:2" x14ac:dyDescent="0.3">
      <c r="A24" s="9">
        <v>45669</v>
      </c>
      <c r="B24">
        <v>68075.66</v>
      </c>
    </row>
    <row r="25" spans="1:2" x14ac:dyDescent="0.3">
      <c r="A25" s="8" t="s">
        <v>1598</v>
      </c>
      <c r="B25">
        <v>32321.52</v>
      </c>
    </row>
    <row r="26" spans="1:2" x14ac:dyDescent="0.3">
      <c r="A26" s="9">
        <v>45670</v>
      </c>
      <c r="B26">
        <v>32321.52</v>
      </c>
    </row>
    <row r="27" spans="1:2" x14ac:dyDescent="0.3">
      <c r="A27" s="8" t="s">
        <v>1599</v>
      </c>
      <c r="B27">
        <v>43943.48000000001</v>
      </c>
    </row>
    <row r="28" spans="1:2" x14ac:dyDescent="0.3">
      <c r="A28" s="9">
        <v>45671</v>
      </c>
      <c r="B28">
        <v>43943.48000000001</v>
      </c>
    </row>
    <row r="29" spans="1:2" x14ac:dyDescent="0.3">
      <c r="A29" s="8" t="s">
        <v>1600</v>
      </c>
      <c r="B29">
        <v>45161.21</v>
      </c>
    </row>
    <row r="30" spans="1:2" x14ac:dyDescent="0.3">
      <c r="A30" s="9">
        <v>45672</v>
      </c>
      <c r="B30">
        <v>45161.21</v>
      </c>
    </row>
    <row r="31" spans="1:2" x14ac:dyDescent="0.3">
      <c r="A31" s="8" t="s">
        <v>1601</v>
      </c>
      <c r="B31">
        <v>101722.96</v>
      </c>
    </row>
    <row r="32" spans="1:2" x14ac:dyDescent="0.3">
      <c r="A32" s="9">
        <v>45673</v>
      </c>
      <c r="B32">
        <v>101722.96</v>
      </c>
    </row>
    <row r="33" spans="1:2" x14ac:dyDescent="0.3">
      <c r="A33" s="8" t="s">
        <v>1602</v>
      </c>
      <c r="B33">
        <v>60168.759999999995</v>
      </c>
    </row>
    <row r="34" spans="1:2" x14ac:dyDescent="0.3">
      <c r="A34" s="9">
        <v>45674</v>
      </c>
      <c r="B34">
        <v>60168.759999999995</v>
      </c>
    </row>
    <row r="35" spans="1:2" x14ac:dyDescent="0.3">
      <c r="A35" s="8" t="s">
        <v>1603</v>
      </c>
      <c r="B35">
        <v>55419.749999999993</v>
      </c>
    </row>
    <row r="36" spans="1:2" x14ac:dyDescent="0.3">
      <c r="A36" s="9">
        <v>45675</v>
      </c>
      <c r="B36">
        <v>55419.749999999993</v>
      </c>
    </row>
    <row r="37" spans="1:2" x14ac:dyDescent="0.3">
      <c r="A37" s="8" t="s">
        <v>1604</v>
      </c>
      <c r="B37">
        <v>39254.94</v>
      </c>
    </row>
    <row r="38" spans="1:2" x14ac:dyDescent="0.3">
      <c r="A38" s="9">
        <v>45676</v>
      </c>
      <c r="B38">
        <v>39254.94</v>
      </c>
    </row>
    <row r="39" spans="1:2" x14ac:dyDescent="0.3">
      <c r="A39" s="8" t="s">
        <v>1605</v>
      </c>
      <c r="B39">
        <v>27794.910000000003</v>
      </c>
    </row>
    <row r="40" spans="1:2" x14ac:dyDescent="0.3">
      <c r="A40" s="9">
        <v>45677</v>
      </c>
      <c r="B40">
        <v>27794.910000000003</v>
      </c>
    </row>
    <row r="41" spans="1:2" x14ac:dyDescent="0.3">
      <c r="A41" s="8" t="s">
        <v>1606</v>
      </c>
      <c r="B41">
        <v>60852.47</v>
      </c>
    </row>
    <row r="42" spans="1:2" x14ac:dyDescent="0.3">
      <c r="A42" s="9">
        <v>45678</v>
      </c>
      <c r="B42">
        <v>60852.47</v>
      </c>
    </row>
    <row r="43" spans="1:2" x14ac:dyDescent="0.3">
      <c r="A43" s="8" t="s">
        <v>1607</v>
      </c>
      <c r="B43">
        <v>61436.459999999992</v>
      </c>
    </row>
    <row r="44" spans="1:2" x14ac:dyDescent="0.3">
      <c r="A44" s="9">
        <v>45679</v>
      </c>
      <c r="B44">
        <v>61436.459999999992</v>
      </c>
    </row>
    <row r="45" spans="1:2" x14ac:dyDescent="0.3">
      <c r="A45" s="8" t="s">
        <v>1608</v>
      </c>
      <c r="B45">
        <v>42364.78</v>
      </c>
    </row>
    <row r="46" spans="1:2" x14ac:dyDescent="0.3">
      <c r="A46" s="9">
        <v>45680</v>
      </c>
      <c r="B46">
        <v>42364.78</v>
      </c>
    </row>
    <row r="47" spans="1:2" x14ac:dyDescent="0.3">
      <c r="A47" s="8" t="s">
        <v>1609</v>
      </c>
      <c r="B47">
        <v>59857.16</v>
      </c>
    </row>
    <row r="48" spans="1:2" x14ac:dyDescent="0.3">
      <c r="A48" s="9">
        <v>45681</v>
      </c>
      <c r="B48">
        <v>59857.16</v>
      </c>
    </row>
    <row r="49" spans="1:2" x14ac:dyDescent="0.3">
      <c r="A49" s="8" t="s">
        <v>1610</v>
      </c>
      <c r="B49">
        <v>68785.399999999994</v>
      </c>
    </row>
    <row r="50" spans="1:2" x14ac:dyDescent="0.3">
      <c r="A50" s="9">
        <v>45682</v>
      </c>
      <c r="B50">
        <v>68785.399999999994</v>
      </c>
    </row>
    <row r="51" spans="1:2" x14ac:dyDescent="0.3">
      <c r="A51" s="8" t="s">
        <v>1611</v>
      </c>
      <c r="B51">
        <v>41950.369999999995</v>
      </c>
    </row>
    <row r="52" spans="1:2" x14ac:dyDescent="0.3">
      <c r="A52" s="9">
        <v>45683</v>
      </c>
      <c r="B52">
        <v>41950.369999999995</v>
      </c>
    </row>
    <row r="53" spans="1:2" x14ac:dyDescent="0.3">
      <c r="A53" s="8" t="s">
        <v>1612</v>
      </c>
      <c r="B53">
        <v>75603.900000000009</v>
      </c>
    </row>
    <row r="54" spans="1:2" x14ac:dyDescent="0.3">
      <c r="A54" s="9">
        <v>45684</v>
      </c>
      <c r="B54">
        <v>75603.900000000009</v>
      </c>
    </row>
    <row r="55" spans="1:2" x14ac:dyDescent="0.3">
      <c r="A55" s="8" t="s">
        <v>1613</v>
      </c>
      <c r="B55">
        <v>55603.619999999995</v>
      </c>
    </row>
    <row r="56" spans="1:2" x14ac:dyDescent="0.3">
      <c r="A56" s="9">
        <v>45685</v>
      </c>
      <c r="B56">
        <v>55603.619999999995</v>
      </c>
    </row>
    <row r="57" spans="1:2" x14ac:dyDescent="0.3">
      <c r="A57" s="8" t="s">
        <v>1614</v>
      </c>
      <c r="B57">
        <v>41766.590000000004</v>
      </c>
    </row>
    <row r="58" spans="1:2" x14ac:dyDescent="0.3">
      <c r="A58" s="9">
        <v>45686</v>
      </c>
      <c r="B58">
        <v>41766.590000000004</v>
      </c>
    </row>
    <row r="59" spans="1:2" x14ac:dyDescent="0.3">
      <c r="A59" s="8" t="s">
        <v>1615</v>
      </c>
      <c r="B59">
        <v>32415.360000000001</v>
      </c>
    </row>
    <row r="60" spans="1:2" x14ac:dyDescent="0.3">
      <c r="A60" s="9">
        <v>45687</v>
      </c>
      <c r="B60">
        <v>32415.360000000001</v>
      </c>
    </row>
    <row r="61" spans="1:2" x14ac:dyDescent="0.3">
      <c r="A61" s="8" t="s">
        <v>1616</v>
      </c>
      <c r="B61">
        <v>44202.240000000005</v>
      </c>
    </row>
    <row r="62" spans="1:2" x14ac:dyDescent="0.3">
      <c r="A62" s="9">
        <v>45688</v>
      </c>
      <c r="B62">
        <v>44202.240000000005</v>
      </c>
    </row>
    <row r="63" spans="1:2" x14ac:dyDescent="0.3">
      <c r="A63" s="3" t="s">
        <v>1582</v>
      </c>
      <c r="B63">
        <v>1579255.9499999997</v>
      </c>
    </row>
    <row r="64" spans="1:2" x14ac:dyDescent="0.3">
      <c r="A64" s="8" t="s">
        <v>1617</v>
      </c>
      <c r="B64">
        <v>44987.599999999991</v>
      </c>
    </row>
    <row r="65" spans="1:2" x14ac:dyDescent="0.3">
      <c r="A65" s="9">
        <v>45689</v>
      </c>
      <c r="B65">
        <v>44987.599999999991</v>
      </c>
    </row>
    <row r="66" spans="1:2" x14ac:dyDescent="0.3">
      <c r="A66" s="8" t="s">
        <v>1618</v>
      </c>
      <c r="B66">
        <v>94101.499999999985</v>
      </c>
    </row>
    <row r="67" spans="1:2" x14ac:dyDescent="0.3">
      <c r="A67" s="9">
        <v>45690</v>
      </c>
      <c r="B67">
        <v>94101.499999999985</v>
      </c>
    </row>
    <row r="68" spans="1:2" x14ac:dyDescent="0.3">
      <c r="A68" s="8" t="s">
        <v>1619</v>
      </c>
      <c r="B68">
        <v>62147.030000000013</v>
      </c>
    </row>
    <row r="69" spans="1:2" x14ac:dyDescent="0.3">
      <c r="A69" s="9">
        <v>45691</v>
      </c>
      <c r="B69">
        <v>62147.030000000013</v>
      </c>
    </row>
    <row r="70" spans="1:2" x14ac:dyDescent="0.3">
      <c r="A70" s="8" t="s">
        <v>1620</v>
      </c>
      <c r="B70">
        <v>65343.64</v>
      </c>
    </row>
    <row r="71" spans="1:2" x14ac:dyDescent="0.3">
      <c r="A71" s="9">
        <v>45692</v>
      </c>
      <c r="B71">
        <v>65343.64</v>
      </c>
    </row>
    <row r="72" spans="1:2" x14ac:dyDescent="0.3">
      <c r="A72" s="8" t="s">
        <v>1621</v>
      </c>
      <c r="B72">
        <v>9417.3700000000008</v>
      </c>
    </row>
    <row r="73" spans="1:2" x14ac:dyDescent="0.3">
      <c r="A73" s="9">
        <v>45693</v>
      </c>
      <c r="B73">
        <v>9417.3700000000008</v>
      </c>
    </row>
    <row r="74" spans="1:2" x14ac:dyDescent="0.3">
      <c r="A74" s="8" t="s">
        <v>1622</v>
      </c>
      <c r="B74">
        <v>27086.17</v>
      </c>
    </row>
    <row r="75" spans="1:2" x14ac:dyDescent="0.3">
      <c r="A75" s="9">
        <v>45694</v>
      </c>
      <c r="B75">
        <v>27086.17</v>
      </c>
    </row>
    <row r="76" spans="1:2" x14ac:dyDescent="0.3">
      <c r="A76" s="8" t="s">
        <v>1623</v>
      </c>
      <c r="B76">
        <v>42312.86</v>
      </c>
    </row>
    <row r="77" spans="1:2" x14ac:dyDescent="0.3">
      <c r="A77" s="9">
        <v>45695</v>
      </c>
      <c r="B77">
        <v>42312.86</v>
      </c>
    </row>
    <row r="78" spans="1:2" x14ac:dyDescent="0.3">
      <c r="A78" s="8" t="s">
        <v>1624</v>
      </c>
      <c r="B78">
        <v>30444.110000000004</v>
      </c>
    </row>
    <row r="79" spans="1:2" x14ac:dyDescent="0.3">
      <c r="A79" s="9">
        <v>45696</v>
      </c>
      <c r="B79">
        <v>30444.110000000004</v>
      </c>
    </row>
    <row r="80" spans="1:2" x14ac:dyDescent="0.3">
      <c r="A80" s="8" t="s">
        <v>1625</v>
      </c>
      <c r="B80">
        <v>48301.72</v>
      </c>
    </row>
    <row r="81" spans="1:2" x14ac:dyDescent="0.3">
      <c r="A81" s="9">
        <v>45697</v>
      </c>
      <c r="B81">
        <v>48301.72</v>
      </c>
    </row>
    <row r="82" spans="1:2" x14ac:dyDescent="0.3">
      <c r="A82" s="8" t="s">
        <v>1626</v>
      </c>
      <c r="B82">
        <v>54689.09</v>
      </c>
    </row>
    <row r="83" spans="1:2" x14ac:dyDescent="0.3">
      <c r="A83" s="9">
        <v>45698</v>
      </c>
      <c r="B83">
        <v>54689.09</v>
      </c>
    </row>
    <row r="84" spans="1:2" x14ac:dyDescent="0.3">
      <c r="A84" s="8" t="s">
        <v>1627</v>
      </c>
      <c r="B84">
        <v>19838.309999999998</v>
      </c>
    </row>
    <row r="85" spans="1:2" x14ac:dyDescent="0.3">
      <c r="A85" s="9">
        <v>45699</v>
      </c>
      <c r="B85">
        <v>19838.309999999998</v>
      </c>
    </row>
    <row r="86" spans="1:2" x14ac:dyDescent="0.3">
      <c r="A86" s="8" t="s">
        <v>1628</v>
      </c>
      <c r="B86">
        <v>66536.099999999991</v>
      </c>
    </row>
    <row r="87" spans="1:2" x14ac:dyDescent="0.3">
      <c r="A87" s="9">
        <v>45700</v>
      </c>
      <c r="B87">
        <v>66536.099999999991</v>
      </c>
    </row>
    <row r="88" spans="1:2" x14ac:dyDescent="0.3">
      <c r="A88" s="8" t="s">
        <v>1629</v>
      </c>
      <c r="B88">
        <v>70481.450000000012</v>
      </c>
    </row>
    <row r="89" spans="1:2" x14ac:dyDescent="0.3">
      <c r="A89" s="9">
        <v>45701</v>
      </c>
      <c r="B89">
        <v>70481.450000000012</v>
      </c>
    </row>
    <row r="90" spans="1:2" x14ac:dyDescent="0.3">
      <c r="A90" s="8" t="s">
        <v>1630</v>
      </c>
      <c r="B90">
        <v>44023.58</v>
      </c>
    </row>
    <row r="91" spans="1:2" x14ac:dyDescent="0.3">
      <c r="A91" s="9">
        <v>45702</v>
      </c>
      <c r="B91">
        <v>44023.58</v>
      </c>
    </row>
    <row r="92" spans="1:2" x14ac:dyDescent="0.3">
      <c r="A92" s="8" t="s">
        <v>1631</v>
      </c>
      <c r="B92">
        <v>58613.030000000006</v>
      </c>
    </row>
    <row r="93" spans="1:2" x14ac:dyDescent="0.3">
      <c r="A93" s="9">
        <v>45703</v>
      </c>
      <c r="B93">
        <v>58613.030000000006</v>
      </c>
    </row>
    <row r="94" spans="1:2" x14ac:dyDescent="0.3">
      <c r="A94" s="8" t="s">
        <v>1632</v>
      </c>
      <c r="B94">
        <v>69030.840000000011</v>
      </c>
    </row>
    <row r="95" spans="1:2" x14ac:dyDescent="0.3">
      <c r="A95" s="9">
        <v>45704</v>
      </c>
      <c r="B95">
        <v>69030.840000000011</v>
      </c>
    </row>
    <row r="96" spans="1:2" x14ac:dyDescent="0.3">
      <c r="A96" s="8" t="s">
        <v>1633</v>
      </c>
      <c r="B96">
        <v>38163.229999999996</v>
      </c>
    </row>
    <row r="97" spans="1:2" x14ac:dyDescent="0.3">
      <c r="A97" s="9">
        <v>45705</v>
      </c>
      <c r="B97">
        <v>38163.229999999996</v>
      </c>
    </row>
    <row r="98" spans="1:2" x14ac:dyDescent="0.3">
      <c r="A98" s="8" t="s">
        <v>1634</v>
      </c>
      <c r="B98">
        <v>76109.22</v>
      </c>
    </row>
    <row r="99" spans="1:2" x14ac:dyDescent="0.3">
      <c r="A99" s="9">
        <v>45706</v>
      </c>
      <c r="B99">
        <v>76109.22</v>
      </c>
    </row>
    <row r="100" spans="1:2" x14ac:dyDescent="0.3">
      <c r="A100" s="8" t="s">
        <v>1635</v>
      </c>
      <c r="B100">
        <v>78802.070000000007</v>
      </c>
    </row>
    <row r="101" spans="1:2" x14ac:dyDescent="0.3">
      <c r="A101" s="9">
        <v>45707</v>
      </c>
      <c r="B101">
        <v>78802.070000000007</v>
      </c>
    </row>
    <row r="102" spans="1:2" x14ac:dyDescent="0.3">
      <c r="A102" s="8" t="s">
        <v>1636</v>
      </c>
      <c r="B102">
        <v>82758.999999999985</v>
      </c>
    </row>
    <row r="103" spans="1:2" x14ac:dyDescent="0.3">
      <c r="A103" s="9">
        <v>45708</v>
      </c>
      <c r="B103">
        <v>82758.999999999985</v>
      </c>
    </row>
    <row r="104" spans="1:2" x14ac:dyDescent="0.3">
      <c r="A104" s="8" t="s">
        <v>1637</v>
      </c>
      <c r="B104">
        <v>19908.420000000002</v>
      </c>
    </row>
    <row r="105" spans="1:2" x14ac:dyDescent="0.3">
      <c r="A105" s="9">
        <v>45709</v>
      </c>
      <c r="B105">
        <v>19908.420000000002</v>
      </c>
    </row>
    <row r="106" spans="1:2" x14ac:dyDescent="0.3">
      <c r="A106" s="8" t="s">
        <v>1638</v>
      </c>
      <c r="B106">
        <v>52819.78</v>
      </c>
    </row>
    <row r="107" spans="1:2" x14ac:dyDescent="0.3">
      <c r="A107" s="9">
        <v>45710</v>
      </c>
      <c r="B107">
        <v>52819.78</v>
      </c>
    </row>
    <row r="108" spans="1:2" x14ac:dyDescent="0.3">
      <c r="A108" s="8" t="s">
        <v>1639</v>
      </c>
      <c r="B108">
        <v>119750.98</v>
      </c>
    </row>
    <row r="109" spans="1:2" x14ac:dyDescent="0.3">
      <c r="A109" s="9">
        <v>45711</v>
      </c>
      <c r="B109">
        <v>119750.98</v>
      </c>
    </row>
    <row r="110" spans="1:2" x14ac:dyDescent="0.3">
      <c r="A110" s="8" t="s">
        <v>1640</v>
      </c>
      <c r="B110">
        <v>68912.72</v>
      </c>
    </row>
    <row r="111" spans="1:2" x14ac:dyDescent="0.3">
      <c r="A111" s="9">
        <v>45712</v>
      </c>
      <c r="B111">
        <v>68912.72</v>
      </c>
    </row>
    <row r="112" spans="1:2" x14ac:dyDescent="0.3">
      <c r="A112" s="8" t="s">
        <v>1641</v>
      </c>
      <c r="B112">
        <v>51428.659999999996</v>
      </c>
    </row>
    <row r="113" spans="1:2" x14ac:dyDescent="0.3">
      <c r="A113" s="9">
        <v>45713</v>
      </c>
      <c r="B113">
        <v>51428.659999999996</v>
      </c>
    </row>
    <row r="114" spans="1:2" x14ac:dyDescent="0.3">
      <c r="A114" s="8" t="s">
        <v>1642</v>
      </c>
      <c r="B114">
        <v>51915.420000000006</v>
      </c>
    </row>
    <row r="115" spans="1:2" x14ac:dyDescent="0.3">
      <c r="A115" s="9">
        <v>45714</v>
      </c>
      <c r="B115">
        <v>51915.420000000006</v>
      </c>
    </row>
    <row r="116" spans="1:2" x14ac:dyDescent="0.3">
      <c r="A116" s="8" t="s">
        <v>1643</v>
      </c>
      <c r="B116">
        <v>74374.44</v>
      </c>
    </row>
    <row r="117" spans="1:2" x14ac:dyDescent="0.3">
      <c r="A117" s="9">
        <v>45715</v>
      </c>
      <c r="B117">
        <v>74374.44</v>
      </c>
    </row>
    <row r="118" spans="1:2" x14ac:dyDescent="0.3">
      <c r="A118" s="8" t="s">
        <v>1644</v>
      </c>
      <c r="B118">
        <v>56957.610000000008</v>
      </c>
    </row>
    <row r="119" spans="1:2" x14ac:dyDescent="0.3">
      <c r="A119" s="9">
        <v>45716</v>
      </c>
      <c r="B119">
        <v>56957.610000000008</v>
      </c>
    </row>
    <row r="120" spans="1:2" x14ac:dyDescent="0.3">
      <c r="A120" s="3" t="s">
        <v>1583</v>
      </c>
      <c r="B120">
        <v>1669195.2</v>
      </c>
    </row>
    <row r="121" spans="1:2" x14ac:dyDescent="0.3">
      <c r="A121" s="8" t="s">
        <v>1645</v>
      </c>
      <c r="B121">
        <v>55026.139999999992</v>
      </c>
    </row>
    <row r="122" spans="1:2" x14ac:dyDescent="0.3">
      <c r="A122" s="9">
        <v>45717</v>
      </c>
      <c r="B122">
        <v>55026.139999999992</v>
      </c>
    </row>
    <row r="123" spans="1:2" x14ac:dyDescent="0.3">
      <c r="A123" s="8" t="s">
        <v>1646</v>
      </c>
      <c r="B123">
        <v>72288.979999999981</v>
      </c>
    </row>
    <row r="124" spans="1:2" x14ac:dyDescent="0.3">
      <c r="A124" s="9">
        <v>45718</v>
      </c>
      <c r="B124">
        <v>72288.979999999981</v>
      </c>
    </row>
    <row r="125" spans="1:2" x14ac:dyDescent="0.3">
      <c r="A125" s="8" t="s">
        <v>1647</v>
      </c>
      <c r="B125">
        <v>57656.539999999994</v>
      </c>
    </row>
    <row r="126" spans="1:2" x14ac:dyDescent="0.3">
      <c r="A126" s="9">
        <v>45719</v>
      </c>
      <c r="B126">
        <v>57656.539999999994</v>
      </c>
    </row>
    <row r="127" spans="1:2" x14ac:dyDescent="0.3">
      <c r="A127" s="8" t="s">
        <v>1648</v>
      </c>
      <c r="B127">
        <v>79557.03</v>
      </c>
    </row>
    <row r="128" spans="1:2" x14ac:dyDescent="0.3">
      <c r="A128" s="9">
        <v>45720</v>
      </c>
      <c r="B128">
        <v>79557.03</v>
      </c>
    </row>
    <row r="129" spans="1:2" x14ac:dyDescent="0.3">
      <c r="A129" s="8" t="s">
        <v>1649</v>
      </c>
      <c r="B129">
        <v>72379.53</v>
      </c>
    </row>
    <row r="130" spans="1:2" x14ac:dyDescent="0.3">
      <c r="A130" s="9">
        <v>45721</v>
      </c>
      <c r="B130">
        <v>72379.53</v>
      </c>
    </row>
    <row r="131" spans="1:2" x14ac:dyDescent="0.3">
      <c r="A131" s="8" t="s">
        <v>1650</v>
      </c>
      <c r="B131">
        <v>67949.87000000001</v>
      </c>
    </row>
    <row r="132" spans="1:2" x14ac:dyDescent="0.3">
      <c r="A132" s="9">
        <v>45722</v>
      </c>
      <c r="B132">
        <v>67949.87000000001</v>
      </c>
    </row>
    <row r="133" spans="1:2" x14ac:dyDescent="0.3">
      <c r="A133" s="8" t="s">
        <v>1651</v>
      </c>
      <c r="B133">
        <v>23187.95</v>
      </c>
    </row>
    <row r="134" spans="1:2" x14ac:dyDescent="0.3">
      <c r="A134" s="9">
        <v>45723</v>
      </c>
      <c r="B134">
        <v>23187.95</v>
      </c>
    </row>
    <row r="135" spans="1:2" x14ac:dyDescent="0.3">
      <c r="A135" s="8" t="s">
        <v>1652</v>
      </c>
      <c r="B135">
        <v>78855.699999999983</v>
      </c>
    </row>
    <row r="136" spans="1:2" x14ac:dyDescent="0.3">
      <c r="A136" s="9">
        <v>45724</v>
      </c>
      <c r="B136">
        <v>78855.699999999983</v>
      </c>
    </row>
    <row r="137" spans="1:2" x14ac:dyDescent="0.3">
      <c r="A137" s="8" t="s">
        <v>1653</v>
      </c>
      <c r="B137">
        <v>85886.26999999999</v>
      </c>
    </row>
    <row r="138" spans="1:2" x14ac:dyDescent="0.3">
      <c r="A138" s="9">
        <v>45725</v>
      </c>
      <c r="B138">
        <v>85886.26999999999</v>
      </c>
    </row>
    <row r="139" spans="1:2" x14ac:dyDescent="0.3">
      <c r="A139" s="8" t="s">
        <v>1654</v>
      </c>
      <c r="B139">
        <v>71764.049999999988</v>
      </c>
    </row>
    <row r="140" spans="1:2" x14ac:dyDescent="0.3">
      <c r="A140" s="9">
        <v>45726</v>
      </c>
      <c r="B140">
        <v>71764.049999999988</v>
      </c>
    </row>
    <row r="141" spans="1:2" x14ac:dyDescent="0.3">
      <c r="A141" s="8" t="s">
        <v>1655</v>
      </c>
      <c r="B141">
        <v>39598.22</v>
      </c>
    </row>
    <row r="142" spans="1:2" x14ac:dyDescent="0.3">
      <c r="A142" s="9">
        <v>45727</v>
      </c>
      <c r="B142">
        <v>39598.22</v>
      </c>
    </row>
    <row r="143" spans="1:2" x14ac:dyDescent="0.3">
      <c r="A143" s="8" t="s">
        <v>1656</v>
      </c>
      <c r="B143">
        <v>28348.030000000002</v>
      </c>
    </row>
    <row r="144" spans="1:2" x14ac:dyDescent="0.3">
      <c r="A144" s="9">
        <v>45728</v>
      </c>
      <c r="B144">
        <v>28348.030000000002</v>
      </c>
    </row>
    <row r="145" spans="1:2" x14ac:dyDescent="0.3">
      <c r="A145" s="8" t="s">
        <v>1657</v>
      </c>
      <c r="B145">
        <v>10562.3</v>
      </c>
    </row>
    <row r="146" spans="1:2" x14ac:dyDescent="0.3">
      <c r="A146" s="9">
        <v>45729</v>
      </c>
      <c r="B146">
        <v>10562.3</v>
      </c>
    </row>
    <row r="147" spans="1:2" x14ac:dyDescent="0.3">
      <c r="A147" s="8" t="s">
        <v>1658</v>
      </c>
      <c r="B147">
        <v>80433.25</v>
      </c>
    </row>
    <row r="148" spans="1:2" x14ac:dyDescent="0.3">
      <c r="A148" s="9">
        <v>45730</v>
      </c>
      <c r="B148">
        <v>80433.25</v>
      </c>
    </row>
    <row r="149" spans="1:2" x14ac:dyDescent="0.3">
      <c r="A149" s="8" t="s">
        <v>1659</v>
      </c>
      <c r="B149">
        <v>34542.61</v>
      </c>
    </row>
    <row r="150" spans="1:2" x14ac:dyDescent="0.3">
      <c r="A150" s="9">
        <v>45731</v>
      </c>
      <c r="B150">
        <v>34542.61</v>
      </c>
    </row>
    <row r="151" spans="1:2" x14ac:dyDescent="0.3">
      <c r="A151" s="8" t="s">
        <v>1660</v>
      </c>
      <c r="B151">
        <v>9278.619999999999</v>
      </c>
    </row>
    <row r="152" spans="1:2" x14ac:dyDescent="0.3">
      <c r="A152" s="9">
        <v>45732</v>
      </c>
      <c r="B152">
        <v>9278.619999999999</v>
      </c>
    </row>
    <row r="153" spans="1:2" x14ac:dyDescent="0.3">
      <c r="A153" s="8" t="s">
        <v>1661</v>
      </c>
      <c r="B153">
        <v>88079.76</v>
      </c>
    </row>
    <row r="154" spans="1:2" x14ac:dyDescent="0.3">
      <c r="A154" s="9">
        <v>45733</v>
      </c>
      <c r="B154">
        <v>88079.76</v>
      </c>
    </row>
    <row r="155" spans="1:2" x14ac:dyDescent="0.3">
      <c r="A155" s="8" t="s">
        <v>1662</v>
      </c>
      <c r="B155">
        <v>55750.16</v>
      </c>
    </row>
    <row r="156" spans="1:2" x14ac:dyDescent="0.3">
      <c r="A156" s="9">
        <v>45734</v>
      </c>
      <c r="B156">
        <v>55750.16</v>
      </c>
    </row>
    <row r="157" spans="1:2" x14ac:dyDescent="0.3">
      <c r="A157" s="8" t="s">
        <v>1663</v>
      </c>
      <c r="B157">
        <v>10792.369999999999</v>
      </c>
    </row>
    <row r="158" spans="1:2" x14ac:dyDescent="0.3">
      <c r="A158" s="9">
        <v>45735</v>
      </c>
      <c r="B158">
        <v>10792.369999999999</v>
      </c>
    </row>
    <row r="159" spans="1:2" x14ac:dyDescent="0.3">
      <c r="A159" s="8" t="s">
        <v>1664</v>
      </c>
      <c r="B159">
        <v>24374.1</v>
      </c>
    </row>
    <row r="160" spans="1:2" x14ac:dyDescent="0.3">
      <c r="A160" s="9">
        <v>45736</v>
      </c>
      <c r="B160">
        <v>24374.1</v>
      </c>
    </row>
    <row r="161" spans="1:2" x14ac:dyDescent="0.3">
      <c r="A161" s="8" t="s">
        <v>1665</v>
      </c>
      <c r="B161">
        <v>45778.5</v>
      </c>
    </row>
    <row r="162" spans="1:2" x14ac:dyDescent="0.3">
      <c r="A162" s="9">
        <v>45737</v>
      </c>
      <c r="B162">
        <v>45778.5</v>
      </c>
    </row>
    <row r="163" spans="1:2" x14ac:dyDescent="0.3">
      <c r="A163" s="8" t="s">
        <v>1666</v>
      </c>
      <c r="B163">
        <v>78702.509999999995</v>
      </c>
    </row>
    <row r="164" spans="1:2" x14ac:dyDescent="0.3">
      <c r="A164" s="9">
        <v>45738</v>
      </c>
      <c r="B164">
        <v>78702.509999999995</v>
      </c>
    </row>
    <row r="165" spans="1:2" x14ac:dyDescent="0.3">
      <c r="A165" s="8" t="s">
        <v>1667</v>
      </c>
      <c r="B165">
        <v>31889.71</v>
      </c>
    </row>
    <row r="166" spans="1:2" x14ac:dyDescent="0.3">
      <c r="A166" s="9">
        <v>45739</v>
      </c>
      <c r="B166">
        <v>31889.71</v>
      </c>
    </row>
    <row r="167" spans="1:2" x14ac:dyDescent="0.3">
      <c r="A167" s="8" t="s">
        <v>1668</v>
      </c>
      <c r="B167">
        <v>76685.48000000001</v>
      </c>
    </row>
    <row r="168" spans="1:2" x14ac:dyDescent="0.3">
      <c r="A168" s="9">
        <v>45740</v>
      </c>
      <c r="B168">
        <v>76685.48000000001</v>
      </c>
    </row>
    <row r="169" spans="1:2" x14ac:dyDescent="0.3">
      <c r="A169" s="8" t="s">
        <v>1669</v>
      </c>
      <c r="B169">
        <v>51513.349999999991</v>
      </c>
    </row>
    <row r="170" spans="1:2" x14ac:dyDescent="0.3">
      <c r="A170" s="9">
        <v>45741</v>
      </c>
      <c r="B170">
        <v>51513.349999999991</v>
      </c>
    </row>
    <row r="171" spans="1:2" x14ac:dyDescent="0.3">
      <c r="A171" s="8" t="s">
        <v>1670</v>
      </c>
      <c r="B171">
        <v>50989.919999999998</v>
      </c>
    </row>
    <row r="172" spans="1:2" x14ac:dyDescent="0.3">
      <c r="A172" s="9">
        <v>45742</v>
      </c>
      <c r="B172">
        <v>50989.919999999998</v>
      </c>
    </row>
    <row r="173" spans="1:2" x14ac:dyDescent="0.3">
      <c r="A173" s="8" t="s">
        <v>1671</v>
      </c>
      <c r="B173">
        <v>54404.819999999992</v>
      </c>
    </row>
    <row r="174" spans="1:2" x14ac:dyDescent="0.3">
      <c r="A174" s="9">
        <v>45743</v>
      </c>
      <c r="B174">
        <v>54404.819999999992</v>
      </c>
    </row>
    <row r="175" spans="1:2" x14ac:dyDescent="0.3">
      <c r="A175" s="8" t="s">
        <v>1672</v>
      </c>
      <c r="B175">
        <v>44776.249999999993</v>
      </c>
    </row>
    <row r="176" spans="1:2" x14ac:dyDescent="0.3">
      <c r="A176" s="9">
        <v>45744</v>
      </c>
      <c r="B176">
        <v>44776.249999999993</v>
      </c>
    </row>
    <row r="177" spans="1:2" x14ac:dyDescent="0.3">
      <c r="A177" s="8" t="s">
        <v>1673</v>
      </c>
      <c r="B177">
        <v>105036.66999999998</v>
      </c>
    </row>
    <row r="178" spans="1:2" x14ac:dyDescent="0.3">
      <c r="A178" s="9">
        <v>45745</v>
      </c>
      <c r="B178">
        <v>105036.66999999998</v>
      </c>
    </row>
    <row r="179" spans="1:2" x14ac:dyDescent="0.3">
      <c r="A179" s="8" t="s">
        <v>1674</v>
      </c>
      <c r="B179">
        <v>19623.97</v>
      </c>
    </row>
    <row r="180" spans="1:2" x14ac:dyDescent="0.3">
      <c r="A180" s="9">
        <v>45746</v>
      </c>
      <c r="B180">
        <v>19623.97</v>
      </c>
    </row>
    <row r="181" spans="1:2" x14ac:dyDescent="0.3">
      <c r="A181" s="8" t="s">
        <v>1675</v>
      </c>
      <c r="B181">
        <v>63482.539999999994</v>
      </c>
    </row>
    <row r="182" spans="1:2" x14ac:dyDescent="0.3">
      <c r="A182" s="9">
        <v>45747</v>
      </c>
      <c r="B182">
        <v>63482.539999999994</v>
      </c>
    </row>
    <row r="183" spans="1:2" x14ac:dyDescent="0.3">
      <c r="A183" s="3" t="s">
        <v>1584</v>
      </c>
      <c r="B183">
        <v>1703105.2200000002</v>
      </c>
    </row>
    <row r="184" spans="1:2" x14ac:dyDescent="0.3">
      <c r="A184" s="8" t="s">
        <v>1676</v>
      </c>
      <c r="B184">
        <v>64690.520000000004</v>
      </c>
    </row>
    <row r="185" spans="1:2" x14ac:dyDescent="0.3">
      <c r="A185" s="9">
        <v>45748</v>
      </c>
      <c r="B185">
        <v>64690.520000000004</v>
      </c>
    </row>
    <row r="186" spans="1:2" x14ac:dyDescent="0.3">
      <c r="A186" s="8" t="s">
        <v>1677</v>
      </c>
      <c r="B186">
        <v>45407.360000000001</v>
      </c>
    </row>
    <row r="187" spans="1:2" x14ac:dyDescent="0.3">
      <c r="A187" s="9">
        <v>45749</v>
      </c>
      <c r="B187">
        <v>45407.360000000001</v>
      </c>
    </row>
    <row r="188" spans="1:2" x14ac:dyDescent="0.3">
      <c r="A188" s="8" t="s">
        <v>1678</v>
      </c>
      <c r="B188">
        <v>49754.12000000001</v>
      </c>
    </row>
    <row r="189" spans="1:2" x14ac:dyDescent="0.3">
      <c r="A189" s="9">
        <v>45750</v>
      </c>
      <c r="B189">
        <v>49754.12000000001</v>
      </c>
    </row>
    <row r="190" spans="1:2" x14ac:dyDescent="0.3">
      <c r="A190" s="8" t="s">
        <v>1679</v>
      </c>
      <c r="B190">
        <v>65393.920000000006</v>
      </c>
    </row>
    <row r="191" spans="1:2" x14ac:dyDescent="0.3">
      <c r="A191" s="9">
        <v>45751</v>
      </c>
      <c r="B191">
        <v>65393.920000000006</v>
      </c>
    </row>
    <row r="192" spans="1:2" x14ac:dyDescent="0.3">
      <c r="A192" s="8" t="s">
        <v>1680</v>
      </c>
      <c r="B192">
        <v>50195.83</v>
      </c>
    </row>
    <row r="193" spans="1:2" x14ac:dyDescent="0.3">
      <c r="A193" s="9">
        <v>45752</v>
      </c>
      <c r="B193">
        <v>50195.83</v>
      </c>
    </row>
    <row r="194" spans="1:2" x14ac:dyDescent="0.3">
      <c r="A194" s="8" t="s">
        <v>1681</v>
      </c>
      <c r="B194">
        <v>9617</v>
      </c>
    </row>
    <row r="195" spans="1:2" x14ac:dyDescent="0.3">
      <c r="A195" s="9">
        <v>45753</v>
      </c>
      <c r="B195">
        <v>9617</v>
      </c>
    </row>
    <row r="196" spans="1:2" x14ac:dyDescent="0.3">
      <c r="A196" s="8" t="s">
        <v>1682</v>
      </c>
      <c r="B196">
        <v>87015.309999999983</v>
      </c>
    </row>
    <row r="197" spans="1:2" x14ac:dyDescent="0.3">
      <c r="A197" s="9">
        <v>45754</v>
      </c>
      <c r="B197">
        <v>87015.309999999983</v>
      </c>
    </row>
    <row r="198" spans="1:2" x14ac:dyDescent="0.3">
      <c r="A198" s="8" t="s">
        <v>1683</v>
      </c>
      <c r="B198">
        <v>49321.430000000008</v>
      </c>
    </row>
    <row r="199" spans="1:2" x14ac:dyDescent="0.3">
      <c r="A199" s="9">
        <v>45755</v>
      </c>
      <c r="B199">
        <v>49321.430000000008</v>
      </c>
    </row>
    <row r="200" spans="1:2" x14ac:dyDescent="0.3">
      <c r="A200" s="8" t="s">
        <v>1684</v>
      </c>
      <c r="B200">
        <v>23087.63</v>
      </c>
    </row>
    <row r="201" spans="1:2" x14ac:dyDescent="0.3">
      <c r="A201" s="9">
        <v>45756</v>
      </c>
      <c r="B201">
        <v>23087.63</v>
      </c>
    </row>
    <row r="202" spans="1:2" x14ac:dyDescent="0.3">
      <c r="A202" s="8" t="s">
        <v>1685</v>
      </c>
      <c r="B202">
        <v>21464.28</v>
      </c>
    </row>
    <row r="203" spans="1:2" x14ac:dyDescent="0.3">
      <c r="A203" s="9">
        <v>45757</v>
      </c>
      <c r="B203">
        <v>21464.28</v>
      </c>
    </row>
    <row r="204" spans="1:2" x14ac:dyDescent="0.3">
      <c r="A204" s="8" t="s">
        <v>1686</v>
      </c>
      <c r="B204">
        <v>97916.19</v>
      </c>
    </row>
    <row r="205" spans="1:2" x14ac:dyDescent="0.3">
      <c r="A205" s="9">
        <v>45758</v>
      </c>
      <c r="B205">
        <v>97916.19</v>
      </c>
    </row>
    <row r="206" spans="1:2" x14ac:dyDescent="0.3">
      <c r="A206" s="8" t="s">
        <v>1687</v>
      </c>
      <c r="B206">
        <v>26665.42</v>
      </c>
    </row>
    <row r="207" spans="1:2" x14ac:dyDescent="0.3">
      <c r="A207" s="9">
        <v>45759</v>
      </c>
      <c r="B207">
        <v>26665.42</v>
      </c>
    </row>
    <row r="208" spans="1:2" x14ac:dyDescent="0.3">
      <c r="A208" s="8" t="s">
        <v>1688</v>
      </c>
      <c r="B208">
        <v>54275.89</v>
      </c>
    </row>
    <row r="209" spans="1:2" x14ac:dyDescent="0.3">
      <c r="A209" s="9">
        <v>45760</v>
      </c>
      <c r="B209">
        <v>54275.89</v>
      </c>
    </row>
    <row r="210" spans="1:2" x14ac:dyDescent="0.3">
      <c r="A210" s="8" t="s">
        <v>1689</v>
      </c>
      <c r="B210">
        <v>33217.32</v>
      </c>
    </row>
    <row r="211" spans="1:2" x14ac:dyDescent="0.3">
      <c r="A211" s="9">
        <v>45761</v>
      </c>
      <c r="B211">
        <v>33217.32</v>
      </c>
    </row>
    <row r="212" spans="1:2" x14ac:dyDescent="0.3">
      <c r="A212" s="8" t="s">
        <v>1690</v>
      </c>
      <c r="B212">
        <v>17355.41</v>
      </c>
    </row>
    <row r="213" spans="1:2" x14ac:dyDescent="0.3">
      <c r="A213" s="9">
        <v>45762</v>
      </c>
      <c r="B213">
        <v>17355.41</v>
      </c>
    </row>
    <row r="214" spans="1:2" x14ac:dyDescent="0.3">
      <c r="A214" s="8" t="s">
        <v>1691</v>
      </c>
      <c r="B214">
        <v>70672.640000000014</v>
      </c>
    </row>
    <row r="215" spans="1:2" x14ac:dyDescent="0.3">
      <c r="A215" s="9">
        <v>45763</v>
      </c>
      <c r="B215">
        <v>70672.640000000014</v>
      </c>
    </row>
    <row r="216" spans="1:2" x14ac:dyDescent="0.3">
      <c r="A216" s="8" t="s">
        <v>1692</v>
      </c>
      <c r="B216">
        <v>110342.48999999999</v>
      </c>
    </row>
    <row r="217" spans="1:2" x14ac:dyDescent="0.3">
      <c r="A217" s="9">
        <v>45764</v>
      </c>
      <c r="B217">
        <v>110342.48999999999</v>
      </c>
    </row>
    <row r="218" spans="1:2" x14ac:dyDescent="0.3">
      <c r="A218" s="8" t="s">
        <v>1693</v>
      </c>
      <c r="B218">
        <v>51412.62000000001</v>
      </c>
    </row>
    <row r="219" spans="1:2" x14ac:dyDescent="0.3">
      <c r="A219" s="9">
        <v>45765</v>
      </c>
      <c r="B219">
        <v>51412.62000000001</v>
      </c>
    </row>
    <row r="220" spans="1:2" x14ac:dyDescent="0.3">
      <c r="A220" s="8" t="s">
        <v>1694</v>
      </c>
      <c r="B220">
        <v>65311.19</v>
      </c>
    </row>
    <row r="221" spans="1:2" x14ac:dyDescent="0.3">
      <c r="A221" s="9">
        <v>45766</v>
      </c>
      <c r="B221">
        <v>65311.19</v>
      </c>
    </row>
    <row r="222" spans="1:2" x14ac:dyDescent="0.3">
      <c r="A222" s="8" t="s">
        <v>1695</v>
      </c>
      <c r="B222">
        <v>131046.63</v>
      </c>
    </row>
    <row r="223" spans="1:2" x14ac:dyDescent="0.3">
      <c r="A223" s="9">
        <v>45767</v>
      </c>
      <c r="B223">
        <v>131046.63</v>
      </c>
    </row>
    <row r="224" spans="1:2" x14ac:dyDescent="0.3">
      <c r="A224" s="8" t="s">
        <v>1696</v>
      </c>
      <c r="B224">
        <v>56837.69</v>
      </c>
    </row>
    <row r="225" spans="1:2" x14ac:dyDescent="0.3">
      <c r="A225" s="9">
        <v>45768</v>
      </c>
      <c r="B225">
        <v>56837.69</v>
      </c>
    </row>
    <row r="226" spans="1:2" x14ac:dyDescent="0.3">
      <c r="A226" s="8" t="s">
        <v>1697</v>
      </c>
      <c r="B226">
        <v>54939.519999999997</v>
      </c>
    </row>
    <row r="227" spans="1:2" x14ac:dyDescent="0.3">
      <c r="A227" s="9">
        <v>45769</v>
      </c>
      <c r="B227">
        <v>54939.519999999997</v>
      </c>
    </row>
    <row r="228" spans="1:2" x14ac:dyDescent="0.3">
      <c r="A228" s="8" t="s">
        <v>1698</v>
      </c>
      <c r="B228">
        <v>41897.490000000005</v>
      </c>
    </row>
    <row r="229" spans="1:2" x14ac:dyDescent="0.3">
      <c r="A229" s="9">
        <v>45770</v>
      </c>
      <c r="B229">
        <v>41897.490000000005</v>
      </c>
    </row>
    <row r="230" spans="1:2" x14ac:dyDescent="0.3">
      <c r="A230" s="8" t="s">
        <v>1699</v>
      </c>
      <c r="B230">
        <v>63018.060000000005</v>
      </c>
    </row>
    <row r="231" spans="1:2" x14ac:dyDescent="0.3">
      <c r="A231" s="9">
        <v>45771</v>
      </c>
      <c r="B231">
        <v>63018.060000000005</v>
      </c>
    </row>
    <row r="232" spans="1:2" x14ac:dyDescent="0.3">
      <c r="A232" s="8" t="s">
        <v>1700</v>
      </c>
      <c r="B232">
        <v>56487.09</v>
      </c>
    </row>
    <row r="233" spans="1:2" x14ac:dyDescent="0.3">
      <c r="A233" s="9">
        <v>45772</v>
      </c>
      <c r="B233">
        <v>56487.09</v>
      </c>
    </row>
    <row r="234" spans="1:2" x14ac:dyDescent="0.3">
      <c r="A234" s="8" t="s">
        <v>1701</v>
      </c>
      <c r="B234">
        <v>47820.2</v>
      </c>
    </row>
    <row r="235" spans="1:2" x14ac:dyDescent="0.3">
      <c r="A235" s="9">
        <v>45773</v>
      </c>
      <c r="B235">
        <v>47820.2</v>
      </c>
    </row>
    <row r="236" spans="1:2" x14ac:dyDescent="0.3">
      <c r="A236" s="8" t="s">
        <v>1702</v>
      </c>
      <c r="B236">
        <v>62483.21</v>
      </c>
    </row>
    <row r="237" spans="1:2" x14ac:dyDescent="0.3">
      <c r="A237" s="9">
        <v>45774</v>
      </c>
      <c r="B237">
        <v>62483.21</v>
      </c>
    </row>
    <row r="238" spans="1:2" x14ac:dyDescent="0.3">
      <c r="A238" s="8" t="s">
        <v>1703</v>
      </c>
      <c r="B238">
        <v>88424.229999999981</v>
      </c>
    </row>
    <row r="239" spans="1:2" x14ac:dyDescent="0.3">
      <c r="A239" s="9">
        <v>45775</v>
      </c>
      <c r="B239">
        <v>88424.229999999981</v>
      </c>
    </row>
    <row r="240" spans="1:2" x14ac:dyDescent="0.3">
      <c r="A240" s="8" t="s">
        <v>1704</v>
      </c>
      <c r="B240">
        <v>35955.070000000007</v>
      </c>
    </row>
    <row r="241" spans="1:2" x14ac:dyDescent="0.3">
      <c r="A241" s="9">
        <v>45776</v>
      </c>
      <c r="B241">
        <v>35955.070000000007</v>
      </c>
    </row>
    <row r="242" spans="1:2" x14ac:dyDescent="0.3">
      <c r="A242" s="8" t="s">
        <v>1705</v>
      </c>
      <c r="B242">
        <v>71079.459999999992</v>
      </c>
    </row>
    <row r="243" spans="1:2" x14ac:dyDescent="0.3">
      <c r="A243" s="9">
        <v>45777</v>
      </c>
      <c r="B243">
        <v>71079.459999999992</v>
      </c>
    </row>
    <row r="244" spans="1:2" x14ac:dyDescent="0.3">
      <c r="A244" s="3" t="s">
        <v>1585</v>
      </c>
      <c r="B244">
        <v>1731527.2300000002</v>
      </c>
    </row>
    <row r="245" spans="1:2" x14ac:dyDescent="0.3">
      <c r="A245" s="8" t="s">
        <v>1706</v>
      </c>
      <c r="B245">
        <v>38992.339999999997</v>
      </c>
    </row>
    <row r="246" spans="1:2" x14ac:dyDescent="0.3">
      <c r="A246" s="9">
        <v>45778</v>
      </c>
      <c r="B246">
        <v>38992.339999999997</v>
      </c>
    </row>
    <row r="247" spans="1:2" x14ac:dyDescent="0.3">
      <c r="A247" s="8" t="s">
        <v>1707</v>
      </c>
      <c r="B247">
        <v>14059.7</v>
      </c>
    </row>
    <row r="248" spans="1:2" x14ac:dyDescent="0.3">
      <c r="A248" s="9">
        <v>45779</v>
      </c>
      <c r="B248">
        <v>14059.7</v>
      </c>
    </row>
    <row r="249" spans="1:2" x14ac:dyDescent="0.3">
      <c r="A249" s="8" t="s">
        <v>1708</v>
      </c>
      <c r="B249">
        <v>64647.27</v>
      </c>
    </row>
    <row r="250" spans="1:2" x14ac:dyDescent="0.3">
      <c r="A250" s="9">
        <v>45780</v>
      </c>
      <c r="B250">
        <v>64647.27</v>
      </c>
    </row>
    <row r="251" spans="1:2" x14ac:dyDescent="0.3">
      <c r="A251" s="8" t="s">
        <v>1709</v>
      </c>
      <c r="B251">
        <v>25294.97</v>
      </c>
    </row>
    <row r="252" spans="1:2" x14ac:dyDescent="0.3">
      <c r="A252" s="9">
        <v>45781</v>
      </c>
      <c r="B252">
        <v>25294.97</v>
      </c>
    </row>
    <row r="253" spans="1:2" x14ac:dyDescent="0.3">
      <c r="A253" s="8" t="s">
        <v>1710</v>
      </c>
      <c r="B253">
        <v>42440.15</v>
      </c>
    </row>
    <row r="254" spans="1:2" x14ac:dyDescent="0.3">
      <c r="A254" s="9">
        <v>45782</v>
      </c>
      <c r="B254">
        <v>42440.15</v>
      </c>
    </row>
    <row r="255" spans="1:2" x14ac:dyDescent="0.3">
      <c r="A255" s="8" t="s">
        <v>1711</v>
      </c>
      <c r="B255">
        <v>59517.329999999994</v>
      </c>
    </row>
    <row r="256" spans="1:2" x14ac:dyDescent="0.3">
      <c r="A256" s="9">
        <v>45783</v>
      </c>
      <c r="B256">
        <v>59517.329999999994</v>
      </c>
    </row>
    <row r="257" spans="1:2" x14ac:dyDescent="0.3">
      <c r="A257" s="8" t="s">
        <v>1712</v>
      </c>
      <c r="B257">
        <v>38379.33</v>
      </c>
    </row>
    <row r="258" spans="1:2" x14ac:dyDescent="0.3">
      <c r="A258" s="9">
        <v>45784</v>
      </c>
      <c r="B258">
        <v>38379.33</v>
      </c>
    </row>
    <row r="259" spans="1:2" x14ac:dyDescent="0.3">
      <c r="A259" s="8" t="s">
        <v>1713</v>
      </c>
      <c r="B259">
        <v>54556.139999999992</v>
      </c>
    </row>
    <row r="260" spans="1:2" x14ac:dyDescent="0.3">
      <c r="A260" s="9">
        <v>45785</v>
      </c>
      <c r="B260">
        <v>54556.139999999992</v>
      </c>
    </row>
    <row r="261" spans="1:2" x14ac:dyDescent="0.3">
      <c r="A261" s="8" t="s">
        <v>1714</v>
      </c>
      <c r="B261">
        <v>74241.31</v>
      </c>
    </row>
    <row r="262" spans="1:2" x14ac:dyDescent="0.3">
      <c r="A262" s="9">
        <v>45786</v>
      </c>
      <c r="B262">
        <v>74241.31</v>
      </c>
    </row>
    <row r="263" spans="1:2" x14ac:dyDescent="0.3">
      <c r="A263" s="8" t="s">
        <v>1715</v>
      </c>
      <c r="B263">
        <v>42015.060000000005</v>
      </c>
    </row>
    <row r="264" spans="1:2" x14ac:dyDescent="0.3">
      <c r="A264" s="9">
        <v>45787</v>
      </c>
      <c r="B264">
        <v>42015.060000000005</v>
      </c>
    </row>
    <row r="265" spans="1:2" x14ac:dyDescent="0.3">
      <c r="A265" s="8" t="s">
        <v>1716</v>
      </c>
      <c r="B265">
        <v>107844.50999999998</v>
      </c>
    </row>
    <row r="266" spans="1:2" x14ac:dyDescent="0.3">
      <c r="A266" s="9">
        <v>45788</v>
      </c>
      <c r="B266">
        <v>107844.50999999998</v>
      </c>
    </row>
    <row r="267" spans="1:2" x14ac:dyDescent="0.3">
      <c r="A267" s="8" t="s">
        <v>1717</v>
      </c>
      <c r="B267">
        <v>59975.71</v>
      </c>
    </row>
    <row r="268" spans="1:2" x14ac:dyDescent="0.3">
      <c r="A268" s="9">
        <v>45789</v>
      </c>
      <c r="B268">
        <v>59975.71</v>
      </c>
    </row>
    <row r="269" spans="1:2" x14ac:dyDescent="0.3">
      <c r="A269" s="8" t="s">
        <v>1718</v>
      </c>
      <c r="B269">
        <v>72132.05</v>
      </c>
    </row>
    <row r="270" spans="1:2" x14ac:dyDescent="0.3">
      <c r="A270" s="9">
        <v>45790</v>
      </c>
      <c r="B270">
        <v>72132.05</v>
      </c>
    </row>
    <row r="271" spans="1:2" x14ac:dyDescent="0.3">
      <c r="A271" s="8" t="s">
        <v>1719</v>
      </c>
      <c r="B271">
        <v>34969.870000000003</v>
      </c>
    </row>
    <row r="272" spans="1:2" x14ac:dyDescent="0.3">
      <c r="A272" s="9">
        <v>45791</v>
      </c>
      <c r="B272">
        <v>34969.870000000003</v>
      </c>
    </row>
    <row r="273" spans="1:2" x14ac:dyDescent="0.3">
      <c r="A273" s="8" t="s">
        <v>1720</v>
      </c>
      <c r="B273">
        <v>36319.22</v>
      </c>
    </row>
    <row r="274" spans="1:2" x14ac:dyDescent="0.3">
      <c r="A274" s="9">
        <v>45792</v>
      </c>
      <c r="B274">
        <v>36319.22</v>
      </c>
    </row>
    <row r="275" spans="1:2" x14ac:dyDescent="0.3">
      <c r="A275" s="8" t="s">
        <v>1721</v>
      </c>
      <c r="B275">
        <v>63973.4</v>
      </c>
    </row>
    <row r="276" spans="1:2" x14ac:dyDescent="0.3">
      <c r="A276" s="9">
        <v>45793</v>
      </c>
      <c r="B276">
        <v>63973.4</v>
      </c>
    </row>
    <row r="277" spans="1:2" x14ac:dyDescent="0.3">
      <c r="A277" s="8" t="s">
        <v>1722</v>
      </c>
      <c r="B277">
        <v>45816.38</v>
      </c>
    </row>
    <row r="278" spans="1:2" x14ac:dyDescent="0.3">
      <c r="A278" s="9">
        <v>45794</v>
      </c>
      <c r="B278">
        <v>45816.38</v>
      </c>
    </row>
    <row r="279" spans="1:2" x14ac:dyDescent="0.3">
      <c r="A279" s="8" t="s">
        <v>1723</v>
      </c>
      <c r="B279">
        <v>92869.53</v>
      </c>
    </row>
    <row r="280" spans="1:2" x14ac:dyDescent="0.3">
      <c r="A280" s="9">
        <v>45795</v>
      </c>
      <c r="B280">
        <v>92869.53</v>
      </c>
    </row>
    <row r="281" spans="1:2" x14ac:dyDescent="0.3">
      <c r="A281" s="8" t="s">
        <v>1724</v>
      </c>
      <c r="B281">
        <v>36338.22</v>
      </c>
    </row>
    <row r="282" spans="1:2" x14ac:dyDescent="0.3">
      <c r="A282" s="9">
        <v>45796</v>
      </c>
      <c r="B282">
        <v>36338.22</v>
      </c>
    </row>
    <row r="283" spans="1:2" x14ac:dyDescent="0.3">
      <c r="A283" s="8" t="s">
        <v>1725</v>
      </c>
      <c r="B283">
        <v>73503.149999999994</v>
      </c>
    </row>
    <row r="284" spans="1:2" x14ac:dyDescent="0.3">
      <c r="A284" s="9">
        <v>45797</v>
      </c>
      <c r="B284">
        <v>73503.149999999994</v>
      </c>
    </row>
    <row r="285" spans="1:2" x14ac:dyDescent="0.3">
      <c r="A285" s="8" t="s">
        <v>1726</v>
      </c>
      <c r="B285">
        <v>27802.149999999998</v>
      </c>
    </row>
    <row r="286" spans="1:2" x14ac:dyDescent="0.3">
      <c r="A286" s="9">
        <v>45798</v>
      </c>
      <c r="B286">
        <v>27802.149999999998</v>
      </c>
    </row>
    <row r="287" spans="1:2" x14ac:dyDescent="0.3">
      <c r="A287" s="8" t="s">
        <v>1727</v>
      </c>
      <c r="B287">
        <v>119182.54000000001</v>
      </c>
    </row>
    <row r="288" spans="1:2" x14ac:dyDescent="0.3">
      <c r="A288" s="9">
        <v>45799</v>
      </c>
      <c r="B288">
        <v>119182.54000000001</v>
      </c>
    </row>
    <row r="289" spans="1:2" x14ac:dyDescent="0.3">
      <c r="A289" s="8" t="s">
        <v>1728</v>
      </c>
      <c r="B289">
        <v>17636.78</v>
      </c>
    </row>
    <row r="290" spans="1:2" x14ac:dyDescent="0.3">
      <c r="A290" s="9">
        <v>45800</v>
      </c>
      <c r="B290">
        <v>17636.78</v>
      </c>
    </row>
    <row r="291" spans="1:2" x14ac:dyDescent="0.3">
      <c r="A291" s="8" t="s">
        <v>1729</v>
      </c>
      <c r="B291">
        <v>71003.319999999992</v>
      </c>
    </row>
    <row r="292" spans="1:2" x14ac:dyDescent="0.3">
      <c r="A292" s="9">
        <v>45801</v>
      </c>
      <c r="B292">
        <v>71003.319999999992</v>
      </c>
    </row>
    <row r="293" spans="1:2" x14ac:dyDescent="0.3">
      <c r="A293" s="8" t="s">
        <v>1730</v>
      </c>
      <c r="B293">
        <v>41845.58</v>
      </c>
    </row>
    <row r="294" spans="1:2" x14ac:dyDescent="0.3">
      <c r="A294" s="9">
        <v>45802</v>
      </c>
      <c r="B294">
        <v>41845.58</v>
      </c>
    </row>
    <row r="295" spans="1:2" x14ac:dyDescent="0.3">
      <c r="A295" s="8" t="s">
        <v>1731</v>
      </c>
      <c r="B295">
        <v>51369.03</v>
      </c>
    </row>
    <row r="296" spans="1:2" x14ac:dyDescent="0.3">
      <c r="A296" s="9">
        <v>45803</v>
      </c>
      <c r="B296">
        <v>51369.03</v>
      </c>
    </row>
    <row r="297" spans="1:2" x14ac:dyDescent="0.3">
      <c r="A297" s="8" t="s">
        <v>1732</v>
      </c>
      <c r="B297">
        <v>56317.93</v>
      </c>
    </row>
    <row r="298" spans="1:2" x14ac:dyDescent="0.3">
      <c r="A298" s="9">
        <v>45804</v>
      </c>
      <c r="B298">
        <v>56317.93</v>
      </c>
    </row>
    <row r="299" spans="1:2" x14ac:dyDescent="0.3">
      <c r="A299" s="8" t="s">
        <v>1733</v>
      </c>
      <c r="B299">
        <v>79448.860000000015</v>
      </c>
    </row>
    <row r="300" spans="1:2" x14ac:dyDescent="0.3">
      <c r="A300" s="9">
        <v>45805</v>
      </c>
      <c r="B300">
        <v>79448.860000000015</v>
      </c>
    </row>
    <row r="301" spans="1:2" x14ac:dyDescent="0.3">
      <c r="A301" s="8" t="s">
        <v>1734</v>
      </c>
      <c r="B301">
        <v>60944.09</v>
      </c>
    </row>
    <row r="302" spans="1:2" x14ac:dyDescent="0.3">
      <c r="A302" s="9">
        <v>45806</v>
      </c>
      <c r="B302">
        <v>60944.09</v>
      </c>
    </row>
    <row r="303" spans="1:2" x14ac:dyDescent="0.3">
      <c r="A303" s="8" t="s">
        <v>1735</v>
      </c>
      <c r="B303">
        <v>76546.319999999992</v>
      </c>
    </row>
    <row r="304" spans="1:2" x14ac:dyDescent="0.3">
      <c r="A304" s="9">
        <v>45807</v>
      </c>
      <c r="B304">
        <v>76546.319999999992</v>
      </c>
    </row>
    <row r="305" spans="1:2" x14ac:dyDescent="0.3">
      <c r="A305" s="8" t="s">
        <v>1736</v>
      </c>
      <c r="B305">
        <v>51544.99</v>
      </c>
    </row>
    <row r="306" spans="1:2" x14ac:dyDescent="0.3">
      <c r="A306" s="9">
        <v>45808</v>
      </c>
      <c r="B306">
        <v>51544.99</v>
      </c>
    </row>
    <row r="307" spans="1:2" x14ac:dyDescent="0.3">
      <c r="A307" s="3" t="s">
        <v>1586</v>
      </c>
      <c r="B307">
        <v>1510910.22</v>
      </c>
    </row>
    <row r="308" spans="1:2" x14ac:dyDescent="0.3">
      <c r="A308" s="8" t="s">
        <v>1737</v>
      </c>
      <c r="B308">
        <v>42339.14</v>
      </c>
    </row>
    <row r="309" spans="1:2" x14ac:dyDescent="0.3">
      <c r="A309" s="9">
        <v>45809</v>
      </c>
      <c r="B309">
        <v>42339.14</v>
      </c>
    </row>
    <row r="310" spans="1:2" x14ac:dyDescent="0.3">
      <c r="A310" s="8" t="s">
        <v>1738</v>
      </c>
      <c r="B310">
        <v>45505.54</v>
      </c>
    </row>
    <row r="311" spans="1:2" x14ac:dyDescent="0.3">
      <c r="A311" s="9">
        <v>45810</v>
      </c>
      <c r="B311">
        <v>45505.54</v>
      </c>
    </row>
    <row r="312" spans="1:2" x14ac:dyDescent="0.3">
      <c r="A312" s="8" t="s">
        <v>1739</v>
      </c>
      <c r="B312">
        <v>22493.81</v>
      </c>
    </row>
    <row r="313" spans="1:2" x14ac:dyDescent="0.3">
      <c r="A313" s="9">
        <v>45811</v>
      </c>
      <c r="B313">
        <v>22493.81</v>
      </c>
    </row>
    <row r="314" spans="1:2" x14ac:dyDescent="0.3">
      <c r="A314" s="8" t="s">
        <v>1740</v>
      </c>
      <c r="B314">
        <v>52376.899999999994</v>
      </c>
    </row>
    <row r="315" spans="1:2" x14ac:dyDescent="0.3">
      <c r="A315" s="9">
        <v>45812</v>
      </c>
      <c r="B315">
        <v>52376.899999999994</v>
      </c>
    </row>
    <row r="316" spans="1:2" x14ac:dyDescent="0.3">
      <c r="A316" s="8" t="s">
        <v>1741</v>
      </c>
      <c r="B316">
        <v>43939.19</v>
      </c>
    </row>
    <row r="317" spans="1:2" x14ac:dyDescent="0.3">
      <c r="A317" s="9">
        <v>45813</v>
      </c>
      <c r="B317">
        <v>43939.19</v>
      </c>
    </row>
    <row r="318" spans="1:2" x14ac:dyDescent="0.3">
      <c r="A318" s="8" t="s">
        <v>1742</v>
      </c>
      <c r="B318">
        <v>23712.61</v>
      </c>
    </row>
    <row r="319" spans="1:2" x14ac:dyDescent="0.3">
      <c r="A319" s="9">
        <v>45814</v>
      </c>
      <c r="B319">
        <v>23712.61</v>
      </c>
    </row>
    <row r="320" spans="1:2" x14ac:dyDescent="0.3">
      <c r="A320" s="8" t="s">
        <v>1743</v>
      </c>
      <c r="B320">
        <v>63339.930000000008</v>
      </c>
    </row>
    <row r="321" spans="1:2" x14ac:dyDescent="0.3">
      <c r="A321" s="9">
        <v>45815</v>
      </c>
      <c r="B321">
        <v>63339.930000000008</v>
      </c>
    </row>
    <row r="322" spans="1:2" x14ac:dyDescent="0.3">
      <c r="A322" s="8" t="s">
        <v>1744</v>
      </c>
      <c r="B322">
        <v>91376.55</v>
      </c>
    </row>
    <row r="323" spans="1:2" x14ac:dyDescent="0.3">
      <c r="A323" s="9">
        <v>45816</v>
      </c>
      <c r="B323">
        <v>91376.55</v>
      </c>
    </row>
    <row r="324" spans="1:2" x14ac:dyDescent="0.3">
      <c r="A324" s="8" t="s">
        <v>1745</v>
      </c>
      <c r="B324">
        <v>43390.19</v>
      </c>
    </row>
    <row r="325" spans="1:2" x14ac:dyDescent="0.3">
      <c r="A325" s="9">
        <v>45817</v>
      </c>
      <c r="B325">
        <v>43390.19</v>
      </c>
    </row>
    <row r="326" spans="1:2" x14ac:dyDescent="0.3">
      <c r="A326" s="8" t="s">
        <v>1746</v>
      </c>
      <c r="B326">
        <v>39986.68</v>
      </c>
    </row>
    <row r="327" spans="1:2" x14ac:dyDescent="0.3">
      <c r="A327" s="9">
        <v>45818</v>
      </c>
      <c r="B327">
        <v>39986.68</v>
      </c>
    </row>
    <row r="328" spans="1:2" x14ac:dyDescent="0.3">
      <c r="A328" s="8" t="s">
        <v>1747</v>
      </c>
      <c r="B328">
        <v>36943.26</v>
      </c>
    </row>
    <row r="329" spans="1:2" x14ac:dyDescent="0.3">
      <c r="A329" s="9">
        <v>45819</v>
      </c>
      <c r="B329">
        <v>36943.26</v>
      </c>
    </row>
    <row r="330" spans="1:2" x14ac:dyDescent="0.3">
      <c r="A330" s="8" t="s">
        <v>1748</v>
      </c>
      <c r="B330">
        <v>46795.69</v>
      </c>
    </row>
    <row r="331" spans="1:2" x14ac:dyDescent="0.3">
      <c r="A331" s="9">
        <v>45820</v>
      </c>
      <c r="B331">
        <v>46795.69</v>
      </c>
    </row>
    <row r="332" spans="1:2" x14ac:dyDescent="0.3">
      <c r="A332" s="8" t="s">
        <v>1749</v>
      </c>
      <c r="B332">
        <v>111076.34</v>
      </c>
    </row>
    <row r="333" spans="1:2" x14ac:dyDescent="0.3">
      <c r="A333" s="9">
        <v>45821</v>
      </c>
      <c r="B333">
        <v>111076.34</v>
      </c>
    </row>
    <row r="334" spans="1:2" x14ac:dyDescent="0.3">
      <c r="A334" s="8" t="s">
        <v>1750</v>
      </c>
      <c r="B334">
        <v>28337.39</v>
      </c>
    </row>
    <row r="335" spans="1:2" x14ac:dyDescent="0.3">
      <c r="A335" s="9">
        <v>45822</v>
      </c>
      <c r="B335">
        <v>28337.39</v>
      </c>
    </row>
    <row r="336" spans="1:2" x14ac:dyDescent="0.3">
      <c r="A336" s="8" t="s">
        <v>1751</v>
      </c>
      <c r="B336">
        <v>24822.870000000003</v>
      </c>
    </row>
    <row r="337" spans="1:2" x14ac:dyDescent="0.3">
      <c r="A337" s="9">
        <v>45823</v>
      </c>
      <c r="B337">
        <v>24822.870000000003</v>
      </c>
    </row>
    <row r="338" spans="1:2" x14ac:dyDescent="0.3">
      <c r="A338" s="8" t="s">
        <v>1752</v>
      </c>
      <c r="B338">
        <v>45713.750000000007</v>
      </c>
    </row>
    <row r="339" spans="1:2" x14ac:dyDescent="0.3">
      <c r="A339" s="9">
        <v>45824</v>
      </c>
      <c r="B339">
        <v>45713.750000000007</v>
      </c>
    </row>
    <row r="340" spans="1:2" x14ac:dyDescent="0.3">
      <c r="A340" s="8" t="s">
        <v>1753</v>
      </c>
      <c r="B340">
        <v>75031.459999999992</v>
      </c>
    </row>
    <row r="341" spans="1:2" x14ac:dyDescent="0.3">
      <c r="A341" s="9">
        <v>45825</v>
      </c>
      <c r="B341">
        <v>75031.459999999992</v>
      </c>
    </row>
    <row r="342" spans="1:2" x14ac:dyDescent="0.3">
      <c r="A342" s="8" t="s">
        <v>1754</v>
      </c>
      <c r="B342">
        <v>53527.53</v>
      </c>
    </row>
    <row r="343" spans="1:2" x14ac:dyDescent="0.3">
      <c r="A343" s="9">
        <v>45826</v>
      </c>
      <c r="B343">
        <v>53527.53</v>
      </c>
    </row>
    <row r="344" spans="1:2" x14ac:dyDescent="0.3">
      <c r="A344" s="8" t="s">
        <v>1755</v>
      </c>
      <c r="B344">
        <v>101785.28</v>
      </c>
    </row>
    <row r="345" spans="1:2" x14ac:dyDescent="0.3">
      <c r="A345" s="9">
        <v>45827</v>
      </c>
      <c r="B345">
        <v>101785.28</v>
      </c>
    </row>
    <row r="346" spans="1:2" x14ac:dyDescent="0.3">
      <c r="A346" s="8" t="s">
        <v>1756</v>
      </c>
      <c r="B346">
        <v>20948.039999999997</v>
      </c>
    </row>
    <row r="347" spans="1:2" x14ac:dyDescent="0.3">
      <c r="A347" s="9">
        <v>45828</v>
      </c>
      <c r="B347">
        <v>20948.039999999997</v>
      </c>
    </row>
    <row r="348" spans="1:2" x14ac:dyDescent="0.3">
      <c r="A348" s="8" t="s">
        <v>1757</v>
      </c>
      <c r="B348">
        <v>32859.08</v>
      </c>
    </row>
    <row r="349" spans="1:2" x14ac:dyDescent="0.3">
      <c r="A349" s="9">
        <v>45829</v>
      </c>
      <c r="B349">
        <v>32859.08</v>
      </c>
    </row>
    <row r="350" spans="1:2" x14ac:dyDescent="0.3">
      <c r="A350" s="8" t="s">
        <v>1758</v>
      </c>
      <c r="B350">
        <v>77883.820000000007</v>
      </c>
    </row>
    <row r="351" spans="1:2" x14ac:dyDescent="0.3">
      <c r="A351" s="9">
        <v>45830</v>
      </c>
      <c r="B351">
        <v>77883.820000000007</v>
      </c>
    </row>
    <row r="352" spans="1:2" x14ac:dyDescent="0.3">
      <c r="A352" s="8" t="s">
        <v>1759</v>
      </c>
      <c r="B352">
        <v>69667.87000000001</v>
      </c>
    </row>
    <row r="353" spans="1:2" x14ac:dyDescent="0.3">
      <c r="A353" s="9">
        <v>45831</v>
      </c>
      <c r="B353">
        <v>69667.87000000001</v>
      </c>
    </row>
    <row r="354" spans="1:2" x14ac:dyDescent="0.3">
      <c r="A354" s="8" t="s">
        <v>1760</v>
      </c>
      <c r="B354">
        <v>10321.39</v>
      </c>
    </row>
    <row r="355" spans="1:2" x14ac:dyDescent="0.3">
      <c r="A355" s="9">
        <v>45832</v>
      </c>
      <c r="B355">
        <v>10321.39</v>
      </c>
    </row>
    <row r="356" spans="1:2" x14ac:dyDescent="0.3">
      <c r="A356" s="8" t="s">
        <v>1761</v>
      </c>
      <c r="B356">
        <v>41803.589999999997</v>
      </c>
    </row>
    <row r="357" spans="1:2" x14ac:dyDescent="0.3">
      <c r="A357" s="9">
        <v>45833</v>
      </c>
      <c r="B357">
        <v>41803.589999999997</v>
      </c>
    </row>
    <row r="358" spans="1:2" x14ac:dyDescent="0.3">
      <c r="A358" s="8" t="s">
        <v>1762</v>
      </c>
      <c r="B358">
        <v>73107.72</v>
      </c>
    </row>
    <row r="359" spans="1:2" x14ac:dyDescent="0.3">
      <c r="A359" s="9">
        <v>45834</v>
      </c>
      <c r="B359">
        <v>73107.72</v>
      </c>
    </row>
    <row r="360" spans="1:2" x14ac:dyDescent="0.3">
      <c r="A360" s="8" t="s">
        <v>1763</v>
      </c>
      <c r="B360">
        <v>38689.06</v>
      </c>
    </row>
    <row r="361" spans="1:2" x14ac:dyDescent="0.3">
      <c r="A361" s="9">
        <v>45835</v>
      </c>
      <c r="B361">
        <v>38689.06</v>
      </c>
    </row>
    <row r="362" spans="1:2" x14ac:dyDescent="0.3">
      <c r="A362" s="8" t="s">
        <v>1764</v>
      </c>
      <c r="B362">
        <v>53758.16</v>
      </c>
    </row>
    <row r="363" spans="1:2" x14ac:dyDescent="0.3">
      <c r="A363" s="9">
        <v>45836</v>
      </c>
      <c r="B363">
        <v>53758.16</v>
      </c>
    </row>
    <row r="364" spans="1:2" x14ac:dyDescent="0.3">
      <c r="A364" s="8" t="s">
        <v>1765</v>
      </c>
      <c r="B364">
        <v>44110.73</v>
      </c>
    </row>
    <row r="365" spans="1:2" x14ac:dyDescent="0.3">
      <c r="A365" s="9">
        <v>45837</v>
      </c>
      <c r="B365">
        <v>44110.73</v>
      </c>
    </row>
    <row r="366" spans="1:2" x14ac:dyDescent="0.3">
      <c r="A366" s="8" t="s">
        <v>1766</v>
      </c>
      <c r="B366">
        <v>55266.649999999994</v>
      </c>
    </row>
    <row r="367" spans="1:2" x14ac:dyDescent="0.3">
      <c r="A367" s="9">
        <v>45838</v>
      </c>
      <c r="B367">
        <v>55266.649999999994</v>
      </c>
    </row>
    <row r="368" spans="1:2" x14ac:dyDescent="0.3">
      <c r="A368" s="3" t="s">
        <v>1587</v>
      </c>
      <c r="B368">
        <v>245822.94</v>
      </c>
    </row>
    <row r="369" spans="1:2" x14ac:dyDescent="0.3">
      <c r="A369" s="8" t="s">
        <v>1767</v>
      </c>
      <c r="B369">
        <v>66754.87999999999</v>
      </c>
    </row>
    <row r="370" spans="1:2" x14ac:dyDescent="0.3">
      <c r="A370" s="9">
        <v>45839</v>
      </c>
      <c r="B370">
        <v>66754.87999999999</v>
      </c>
    </row>
    <row r="371" spans="1:2" x14ac:dyDescent="0.3">
      <c r="A371" s="8" t="s">
        <v>1768</v>
      </c>
      <c r="B371">
        <v>76257.14</v>
      </c>
    </row>
    <row r="372" spans="1:2" x14ac:dyDescent="0.3">
      <c r="A372" s="9">
        <v>45840</v>
      </c>
      <c r="B372">
        <v>76257.14</v>
      </c>
    </row>
    <row r="373" spans="1:2" x14ac:dyDescent="0.3">
      <c r="A373" s="8" t="s">
        <v>1769</v>
      </c>
      <c r="B373">
        <v>50619.039999999994</v>
      </c>
    </row>
    <row r="374" spans="1:2" x14ac:dyDescent="0.3">
      <c r="A374" s="9">
        <v>45841</v>
      </c>
      <c r="B374">
        <v>50619.039999999994</v>
      </c>
    </row>
    <row r="375" spans="1:2" x14ac:dyDescent="0.3">
      <c r="A375" s="8" t="s">
        <v>1770</v>
      </c>
      <c r="B375">
        <v>52191.88</v>
      </c>
    </row>
    <row r="376" spans="1:2" x14ac:dyDescent="0.3">
      <c r="A376" s="9">
        <v>45842</v>
      </c>
      <c r="B376">
        <v>52191.88</v>
      </c>
    </row>
    <row r="377" spans="1:2" x14ac:dyDescent="0.3">
      <c r="A377" s="3" t="s">
        <v>1567</v>
      </c>
      <c r="B377">
        <v>9980221.2799999993</v>
      </c>
    </row>
  </sheetData>
  <mergeCells count="1">
    <mergeCell ref="D3:F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65C6-57F5-494F-8FF5-546A3ED4BD49}">
  <dimension ref="A3:C193"/>
  <sheetViews>
    <sheetView zoomScale="85" zoomScaleNormal="85" workbookViewId="0">
      <selection activeCell="A4" sqref="A4"/>
    </sheetView>
  </sheetViews>
  <sheetFormatPr defaultRowHeight="14.4" x14ac:dyDescent="0.3"/>
  <cols>
    <col min="1" max="1" width="17" bestFit="1" customWidth="1"/>
    <col min="2" max="2" width="12.77734375" bestFit="1" customWidth="1"/>
    <col min="3" max="3" width="13.21875" bestFit="1" customWidth="1"/>
    <col min="4" max="7" width="15.5546875" bestFit="1" customWidth="1"/>
    <col min="8" max="8" width="10.5546875" bestFit="1" customWidth="1"/>
  </cols>
  <sheetData>
    <row r="3" spans="1:3" x14ac:dyDescent="0.3">
      <c r="A3" s="2" t="s">
        <v>1774</v>
      </c>
      <c r="B3" t="s">
        <v>1772</v>
      </c>
      <c r="C3" t="s">
        <v>1773</v>
      </c>
    </row>
    <row r="4" spans="1:3" x14ac:dyDescent="0.3">
      <c r="A4" s="3" t="s">
        <v>1581</v>
      </c>
      <c r="C4" s="4"/>
    </row>
    <row r="5" spans="1:3" x14ac:dyDescent="0.3">
      <c r="A5" s="8" t="s">
        <v>1588</v>
      </c>
      <c r="B5">
        <v>76585.400000000009</v>
      </c>
      <c r="C5" s="4"/>
    </row>
    <row r="6" spans="1:3" x14ac:dyDescent="0.3">
      <c r="A6" s="8" t="s">
        <v>1589</v>
      </c>
      <c r="B6">
        <v>58701.039999999994</v>
      </c>
      <c r="C6" s="4">
        <v>-0.23352179397117484</v>
      </c>
    </row>
    <row r="7" spans="1:3" x14ac:dyDescent="0.3">
      <c r="A7" s="8" t="s">
        <v>1590</v>
      </c>
      <c r="B7">
        <v>16817.190000000002</v>
      </c>
      <c r="C7" s="4">
        <v>-0.71351120866001683</v>
      </c>
    </row>
    <row r="8" spans="1:3" x14ac:dyDescent="0.3">
      <c r="A8" s="8" t="s">
        <v>1591</v>
      </c>
      <c r="B8">
        <v>35958.979999999996</v>
      </c>
      <c r="C8" s="4">
        <v>1.1382276111526355</v>
      </c>
    </row>
    <row r="9" spans="1:3" x14ac:dyDescent="0.3">
      <c r="A9" s="8" t="s">
        <v>1592</v>
      </c>
      <c r="B9">
        <v>59303.89</v>
      </c>
      <c r="C9" s="4">
        <v>0.64920946033508198</v>
      </c>
    </row>
    <row r="10" spans="1:3" x14ac:dyDescent="0.3">
      <c r="A10" s="8" t="s">
        <v>1593</v>
      </c>
      <c r="B10">
        <v>71449.209999999992</v>
      </c>
      <c r="C10" s="4">
        <v>0.20479803264170349</v>
      </c>
    </row>
    <row r="11" spans="1:3" x14ac:dyDescent="0.3">
      <c r="A11" s="8" t="s">
        <v>1594</v>
      </c>
      <c r="B11">
        <v>35655.270000000004</v>
      </c>
      <c r="C11" s="4">
        <v>-0.50097040960984718</v>
      </c>
    </row>
    <row r="12" spans="1:3" x14ac:dyDescent="0.3">
      <c r="A12" s="8" t="s">
        <v>1595</v>
      </c>
      <c r="B12">
        <v>54818.909999999996</v>
      </c>
      <c r="C12" s="4">
        <v>0.53747005702102357</v>
      </c>
    </row>
    <row r="13" spans="1:3" x14ac:dyDescent="0.3">
      <c r="A13" s="8" t="s">
        <v>1596</v>
      </c>
      <c r="B13">
        <v>72413.09</v>
      </c>
      <c r="C13" s="4">
        <v>0.32095092733511121</v>
      </c>
    </row>
    <row r="14" spans="1:3" x14ac:dyDescent="0.3">
      <c r="A14" s="8" t="s">
        <v>1597</v>
      </c>
      <c r="B14">
        <v>68075.66</v>
      </c>
      <c r="C14" s="4">
        <v>-5.989842444232104E-2</v>
      </c>
    </row>
    <row r="15" spans="1:3" x14ac:dyDescent="0.3">
      <c r="A15" s="8" t="s">
        <v>1598</v>
      </c>
      <c r="B15">
        <v>32321.52</v>
      </c>
      <c r="C15" s="4">
        <v>-0.52521180110482946</v>
      </c>
    </row>
    <row r="16" spans="1:3" x14ac:dyDescent="0.3">
      <c r="A16" s="8" t="s">
        <v>1599</v>
      </c>
      <c r="B16">
        <v>43943.48000000001</v>
      </c>
      <c r="C16" s="4">
        <v>0.35957343590276725</v>
      </c>
    </row>
    <row r="17" spans="1:3" x14ac:dyDescent="0.3">
      <c r="A17" s="8" t="s">
        <v>1600</v>
      </c>
      <c r="B17">
        <v>45161.21</v>
      </c>
      <c r="C17" s="4">
        <v>2.771127821465183E-2</v>
      </c>
    </row>
    <row r="18" spans="1:3" x14ac:dyDescent="0.3">
      <c r="A18" s="8" t="s">
        <v>1601</v>
      </c>
      <c r="B18">
        <v>101722.96</v>
      </c>
      <c r="C18" s="4">
        <v>1.2524409775557388</v>
      </c>
    </row>
    <row r="19" spans="1:3" x14ac:dyDescent="0.3">
      <c r="A19" s="8" t="s">
        <v>1602</v>
      </c>
      <c r="B19">
        <v>60168.759999999995</v>
      </c>
      <c r="C19" s="4">
        <v>-0.40850364558797747</v>
      </c>
    </row>
    <row r="20" spans="1:3" x14ac:dyDescent="0.3">
      <c r="A20" s="8" t="s">
        <v>1603</v>
      </c>
      <c r="B20">
        <v>55419.749999999993</v>
      </c>
      <c r="C20" s="4">
        <v>-7.8928168039361327E-2</v>
      </c>
    </row>
    <row r="21" spans="1:3" x14ac:dyDescent="0.3">
      <c r="A21" s="8" t="s">
        <v>1604</v>
      </c>
      <c r="B21">
        <v>39254.94</v>
      </c>
      <c r="C21" s="4">
        <v>-0.29167959075961175</v>
      </c>
    </row>
    <row r="22" spans="1:3" x14ac:dyDescent="0.3">
      <c r="A22" s="8" t="s">
        <v>1605</v>
      </c>
      <c r="B22">
        <v>27794.910000000003</v>
      </c>
      <c r="C22" s="4">
        <v>-0.29193854327633662</v>
      </c>
    </row>
    <row r="23" spans="1:3" x14ac:dyDescent="0.3">
      <c r="A23" s="8" t="s">
        <v>1606</v>
      </c>
      <c r="B23">
        <v>60852.47</v>
      </c>
      <c r="C23" s="4">
        <v>1.1893386235105634</v>
      </c>
    </row>
    <row r="24" spans="1:3" x14ac:dyDescent="0.3">
      <c r="A24" s="8" t="s">
        <v>1607</v>
      </c>
      <c r="B24">
        <v>61436.459999999992</v>
      </c>
      <c r="C24" s="4">
        <v>9.596816694539937E-3</v>
      </c>
    </row>
    <row r="25" spans="1:3" x14ac:dyDescent="0.3">
      <c r="A25" s="8" t="s">
        <v>1608</v>
      </c>
      <c r="B25">
        <v>42364.78</v>
      </c>
      <c r="C25" s="4">
        <v>-0.31042934439907499</v>
      </c>
    </row>
    <row r="26" spans="1:3" x14ac:dyDescent="0.3">
      <c r="A26" s="8" t="s">
        <v>1609</v>
      </c>
      <c r="B26">
        <v>59857.16</v>
      </c>
      <c r="C26" s="4">
        <v>0.41289911100683174</v>
      </c>
    </row>
    <row r="27" spans="1:3" x14ac:dyDescent="0.3">
      <c r="A27" s="8" t="s">
        <v>1610</v>
      </c>
      <c r="B27">
        <v>68785.399999999994</v>
      </c>
      <c r="C27" s="4">
        <v>0.14915909809285957</v>
      </c>
    </row>
    <row r="28" spans="1:3" x14ac:dyDescent="0.3">
      <c r="A28" s="8" t="s">
        <v>1611</v>
      </c>
      <c r="B28">
        <v>41950.369999999995</v>
      </c>
      <c r="C28" s="4">
        <v>-0.39012682923992592</v>
      </c>
    </row>
    <row r="29" spans="1:3" x14ac:dyDescent="0.3">
      <c r="A29" s="8" t="s">
        <v>1612</v>
      </c>
      <c r="B29">
        <v>75603.900000000009</v>
      </c>
      <c r="C29" s="4">
        <v>0.80222248337738178</v>
      </c>
    </row>
    <row r="30" spans="1:3" x14ac:dyDescent="0.3">
      <c r="A30" s="8" t="s">
        <v>1613</v>
      </c>
      <c r="B30">
        <v>55603.619999999995</v>
      </c>
      <c r="C30" s="4">
        <v>-0.26454032133262984</v>
      </c>
    </row>
    <row r="31" spans="1:3" x14ac:dyDescent="0.3">
      <c r="A31" s="8" t="s">
        <v>1614</v>
      </c>
      <c r="B31">
        <v>41766.590000000004</v>
      </c>
      <c r="C31" s="4">
        <v>-0.24885124385786381</v>
      </c>
    </row>
    <row r="32" spans="1:3" x14ac:dyDescent="0.3">
      <c r="A32" s="8" t="s">
        <v>1615</v>
      </c>
      <c r="B32">
        <v>32415.360000000001</v>
      </c>
      <c r="C32" s="4">
        <v>-0.22389258974697246</v>
      </c>
    </row>
    <row r="33" spans="1:3" x14ac:dyDescent="0.3">
      <c r="A33" s="8" t="s">
        <v>1616</v>
      </c>
      <c r="B33">
        <v>44202.240000000005</v>
      </c>
      <c r="C33" s="4">
        <v>0.36362020967837483</v>
      </c>
    </row>
    <row r="34" spans="1:3" x14ac:dyDescent="0.3">
      <c r="A34" s="3" t="s">
        <v>1582</v>
      </c>
      <c r="C34" s="4"/>
    </row>
    <row r="35" spans="1:3" x14ac:dyDescent="0.3">
      <c r="A35" s="8" t="s">
        <v>1617</v>
      </c>
      <c r="B35">
        <v>44987.599999999991</v>
      </c>
      <c r="C35" s="4"/>
    </row>
    <row r="36" spans="1:3" x14ac:dyDescent="0.3">
      <c r="A36" s="8" t="s">
        <v>1618</v>
      </c>
      <c r="B36">
        <v>94101.499999999985</v>
      </c>
      <c r="C36" s="4">
        <v>1.0917208297397505</v>
      </c>
    </row>
    <row r="37" spans="1:3" x14ac:dyDescent="0.3">
      <c r="A37" s="8" t="s">
        <v>1619</v>
      </c>
      <c r="B37">
        <v>62147.030000000013</v>
      </c>
      <c r="C37" s="4">
        <v>-0.33957450200049921</v>
      </c>
    </row>
    <row r="38" spans="1:3" x14ac:dyDescent="0.3">
      <c r="A38" s="8" t="s">
        <v>1620</v>
      </c>
      <c r="B38">
        <v>65343.64</v>
      </c>
      <c r="C38" s="4">
        <v>5.1436247234984286E-2</v>
      </c>
    </row>
    <row r="39" spans="1:3" x14ac:dyDescent="0.3">
      <c r="A39" s="8" t="s">
        <v>1621</v>
      </c>
      <c r="B39">
        <v>9417.3700000000008</v>
      </c>
      <c r="C39" s="4">
        <v>-0.85587931740564194</v>
      </c>
    </row>
    <row r="40" spans="1:3" x14ac:dyDescent="0.3">
      <c r="A40" s="8" t="s">
        <v>1622</v>
      </c>
      <c r="B40">
        <v>27086.17</v>
      </c>
      <c r="C40" s="4">
        <v>1.8761926100386832</v>
      </c>
    </row>
    <row r="41" spans="1:3" x14ac:dyDescent="0.3">
      <c r="A41" s="8" t="s">
        <v>1623</v>
      </c>
      <c r="B41">
        <v>42312.86</v>
      </c>
      <c r="C41" s="4">
        <v>0.56215736665612015</v>
      </c>
    </row>
    <row r="42" spans="1:3" x14ac:dyDescent="0.3">
      <c r="A42" s="8" t="s">
        <v>1624</v>
      </c>
      <c r="B42">
        <v>30444.110000000004</v>
      </c>
      <c r="C42" s="4">
        <v>-0.2804998291299618</v>
      </c>
    </row>
    <row r="43" spans="1:3" x14ac:dyDescent="0.3">
      <c r="A43" s="8" t="s">
        <v>1625</v>
      </c>
      <c r="B43">
        <v>48301.72</v>
      </c>
      <c r="C43" s="4">
        <v>0.58657027582675247</v>
      </c>
    </row>
    <row r="44" spans="1:3" x14ac:dyDescent="0.3">
      <c r="A44" s="8" t="s">
        <v>1626</v>
      </c>
      <c r="B44">
        <v>54689.09</v>
      </c>
      <c r="C44" s="4">
        <v>0.13223897616896449</v>
      </c>
    </row>
    <row r="45" spans="1:3" x14ac:dyDescent="0.3">
      <c r="A45" s="8" t="s">
        <v>1627</v>
      </c>
      <c r="B45">
        <v>19838.309999999998</v>
      </c>
      <c r="C45" s="4">
        <v>-0.63725287804203734</v>
      </c>
    </row>
    <row r="46" spans="1:3" x14ac:dyDescent="0.3">
      <c r="A46" s="8" t="s">
        <v>1628</v>
      </c>
      <c r="B46">
        <v>66536.099999999991</v>
      </c>
      <c r="C46" s="4">
        <v>2.3539197643347642</v>
      </c>
    </row>
    <row r="47" spans="1:3" x14ac:dyDescent="0.3">
      <c r="A47" s="8" t="s">
        <v>1629</v>
      </c>
      <c r="B47">
        <v>70481.450000000012</v>
      </c>
      <c r="C47" s="4">
        <v>5.9296381964076959E-2</v>
      </c>
    </row>
    <row r="48" spans="1:3" x14ac:dyDescent="0.3">
      <c r="A48" s="8" t="s">
        <v>1630</v>
      </c>
      <c r="B48">
        <v>44023.58</v>
      </c>
      <c r="C48" s="4">
        <v>-0.37538770839703223</v>
      </c>
    </row>
    <row r="49" spans="1:3" x14ac:dyDescent="0.3">
      <c r="A49" s="8" t="s">
        <v>1631</v>
      </c>
      <c r="B49">
        <v>58613.030000000006</v>
      </c>
      <c r="C49" s="4">
        <v>0.33140080838496105</v>
      </c>
    </row>
    <row r="50" spans="1:3" x14ac:dyDescent="0.3">
      <c r="A50" s="8" t="s">
        <v>1632</v>
      </c>
      <c r="B50">
        <v>69030.840000000011</v>
      </c>
      <c r="C50" s="4">
        <v>0.17773880654182192</v>
      </c>
    </row>
    <row r="51" spans="1:3" x14ac:dyDescent="0.3">
      <c r="A51" s="8" t="s">
        <v>1633</v>
      </c>
      <c r="B51">
        <v>38163.229999999996</v>
      </c>
      <c r="C51" s="4">
        <v>-0.44715680701553118</v>
      </c>
    </row>
    <row r="52" spans="1:3" x14ac:dyDescent="0.3">
      <c r="A52" s="8" t="s">
        <v>1634</v>
      </c>
      <c r="B52">
        <v>76109.22</v>
      </c>
      <c r="C52" s="4">
        <v>0.99430760970704024</v>
      </c>
    </row>
    <row r="53" spans="1:3" x14ac:dyDescent="0.3">
      <c r="A53" s="8" t="s">
        <v>1635</v>
      </c>
      <c r="B53">
        <v>78802.070000000007</v>
      </c>
      <c r="C53" s="4">
        <v>3.5381390060231936E-2</v>
      </c>
    </row>
    <row r="54" spans="1:3" x14ac:dyDescent="0.3">
      <c r="A54" s="8" t="s">
        <v>1636</v>
      </c>
      <c r="B54">
        <v>82758.999999999985</v>
      </c>
      <c r="C54" s="4">
        <v>5.0213528654767296E-2</v>
      </c>
    </row>
    <row r="55" spans="1:3" x14ac:dyDescent="0.3">
      <c r="A55" s="8" t="s">
        <v>1637</v>
      </c>
      <c r="B55">
        <v>19908.420000000002</v>
      </c>
      <c r="C55" s="4">
        <v>-0.75944102756195697</v>
      </c>
    </row>
    <row r="56" spans="1:3" x14ac:dyDescent="0.3">
      <c r="A56" s="8" t="s">
        <v>1638</v>
      </c>
      <c r="B56">
        <v>52819.78</v>
      </c>
      <c r="C56" s="4">
        <v>1.6531377176089312</v>
      </c>
    </row>
    <row r="57" spans="1:3" x14ac:dyDescent="0.3">
      <c r="A57" s="8" t="s">
        <v>1639</v>
      </c>
      <c r="B57">
        <v>119750.98</v>
      </c>
      <c r="C57" s="4">
        <v>1.2671616580000902</v>
      </c>
    </row>
    <row r="58" spans="1:3" x14ac:dyDescent="0.3">
      <c r="A58" s="8" t="s">
        <v>1640</v>
      </c>
      <c r="B58">
        <v>68912.72</v>
      </c>
      <c r="C58" s="4">
        <v>-0.42453314369535844</v>
      </c>
    </row>
    <row r="59" spans="1:3" x14ac:dyDescent="0.3">
      <c r="A59" s="8" t="s">
        <v>1641</v>
      </c>
      <c r="B59">
        <v>51428.659999999996</v>
      </c>
      <c r="C59" s="4">
        <v>-0.2537131026028287</v>
      </c>
    </row>
    <row r="60" spans="1:3" x14ac:dyDescent="0.3">
      <c r="A60" s="8" t="s">
        <v>1642</v>
      </c>
      <c r="B60">
        <v>51915.420000000006</v>
      </c>
      <c r="C60" s="4">
        <v>9.464761477355416E-3</v>
      </c>
    </row>
    <row r="61" spans="1:3" x14ac:dyDescent="0.3">
      <c r="A61" s="8" t="s">
        <v>1643</v>
      </c>
      <c r="B61">
        <v>74374.44</v>
      </c>
      <c r="C61" s="4">
        <v>0.43260788413153539</v>
      </c>
    </row>
    <row r="62" spans="1:3" x14ac:dyDescent="0.3">
      <c r="A62" s="8" t="s">
        <v>1644</v>
      </c>
      <c r="B62">
        <v>56957.610000000008</v>
      </c>
      <c r="C62" s="4">
        <v>-0.23417762876601148</v>
      </c>
    </row>
    <row r="63" spans="1:3" x14ac:dyDescent="0.3">
      <c r="A63" s="3" t="s">
        <v>1583</v>
      </c>
      <c r="C63" s="4"/>
    </row>
    <row r="64" spans="1:3" x14ac:dyDescent="0.3">
      <c r="A64" s="8" t="s">
        <v>1645</v>
      </c>
      <c r="B64">
        <v>55026.139999999992</v>
      </c>
      <c r="C64" s="4"/>
    </row>
    <row r="65" spans="1:3" x14ac:dyDescent="0.3">
      <c r="A65" s="8" t="s">
        <v>1646</v>
      </c>
      <c r="B65">
        <v>72288.979999999981</v>
      </c>
      <c r="C65" s="4">
        <v>0.31372071528186407</v>
      </c>
    </row>
    <row r="66" spans="1:3" x14ac:dyDescent="0.3">
      <c r="A66" s="8" t="s">
        <v>1647</v>
      </c>
      <c r="B66">
        <v>57656.539999999994</v>
      </c>
      <c r="C66" s="4">
        <v>-0.20241591456955116</v>
      </c>
    </row>
    <row r="67" spans="1:3" x14ac:dyDescent="0.3">
      <c r="A67" s="8" t="s">
        <v>1648</v>
      </c>
      <c r="B67">
        <v>79557.03</v>
      </c>
      <c r="C67" s="4">
        <v>0.3798439864757755</v>
      </c>
    </row>
    <row r="68" spans="1:3" x14ac:dyDescent="0.3">
      <c r="A68" s="8" t="s">
        <v>1649</v>
      </c>
      <c r="B68">
        <v>72379.53</v>
      </c>
      <c r="C68" s="4">
        <v>-9.021830000441193E-2</v>
      </c>
    </row>
    <row r="69" spans="1:3" x14ac:dyDescent="0.3">
      <c r="A69" s="8" t="s">
        <v>1650</v>
      </c>
      <c r="B69">
        <v>67949.87000000001</v>
      </c>
      <c r="C69" s="4">
        <v>-6.1200452669421715E-2</v>
      </c>
    </row>
    <row r="70" spans="1:3" x14ac:dyDescent="0.3">
      <c r="A70" s="8" t="s">
        <v>1651</v>
      </c>
      <c r="B70">
        <v>23187.95</v>
      </c>
      <c r="C70" s="4">
        <v>-0.65874916316984866</v>
      </c>
    </row>
    <row r="71" spans="1:3" x14ac:dyDescent="0.3">
      <c r="A71" s="8" t="s">
        <v>1652</v>
      </c>
      <c r="B71">
        <v>78855.699999999983</v>
      </c>
      <c r="C71" s="4">
        <v>2.4007189078810325</v>
      </c>
    </row>
    <row r="72" spans="1:3" x14ac:dyDescent="0.3">
      <c r="A72" s="8" t="s">
        <v>1653</v>
      </c>
      <c r="B72">
        <v>85886.26999999999</v>
      </c>
      <c r="C72" s="4">
        <v>8.9157410307688714E-2</v>
      </c>
    </row>
    <row r="73" spans="1:3" x14ac:dyDescent="0.3">
      <c r="A73" s="8" t="s">
        <v>1654</v>
      </c>
      <c r="B73">
        <v>71764.049999999988</v>
      </c>
      <c r="C73" s="4">
        <v>-0.16442930866598354</v>
      </c>
    </row>
    <row r="74" spans="1:3" x14ac:dyDescent="0.3">
      <c r="A74" s="8" t="s">
        <v>1655</v>
      </c>
      <c r="B74">
        <v>39598.22</v>
      </c>
      <c r="C74" s="4">
        <v>-0.44821648165063138</v>
      </c>
    </row>
    <row r="75" spans="1:3" x14ac:dyDescent="0.3">
      <c r="A75" s="8" t="s">
        <v>1656</v>
      </c>
      <c r="B75">
        <v>28348.030000000002</v>
      </c>
      <c r="C75" s="4">
        <v>-0.28410847760328617</v>
      </c>
    </row>
    <row r="76" spans="1:3" x14ac:dyDescent="0.3">
      <c r="A76" s="8" t="s">
        <v>1657</v>
      </c>
      <c r="B76">
        <v>10562.3</v>
      </c>
      <c r="C76" s="4">
        <v>-0.62740620776822942</v>
      </c>
    </row>
    <row r="77" spans="1:3" x14ac:dyDescent="0.3">
      <c r="A77" s="8" t="s">
        <v>1658</v>
      </c>
      <c r="B77">
        <v>80433.25</v>
      </c>
      <c r="C77" s="4">
        <v>6.6151264402639578</v>
      </c>
    </row>
    <row r="78" spans="1:3" x14ac:dyDescent="0.3">
      <c r="A78" s="8" t="s">
        <v>1659</v>
      </c>
      <c r="B78">
        <v>34542.61</v>
      </c>
      <c r="C78" s="4">
        <v>-0.57054315224114405</v>
      </c>
    </row>
    <row r="79" spans="1:3" x14ac:dyDescent="0.3">
      <c r="A79" s="8" t="s">
        <v>1660</v>
      </c>
      <c r="B79">
        <v>9278.619999999999</v>
      </c>
      <c r="C79" s="4">
        <v>-0.73138625019939141</v>
      </c>
    </row>
    <row r="80" spans="1:3" x14ac:dyDescent="0.3">
      <c r="A80" s="8" t="s">
        <v>1661</v>
      </c>
      <c r="B80">
        <v>88079.76</v>
      </c>
      <c r="C80" s="4">
        <v>8.4927650879117813</v>
      </c>
    </row>
    <row r="81" spans="1:3" x14ac:dyDescent="0.3">
      <c r="A81" s="8" t="s">
        <v>1662</v>
      </c>
      <c r="B81">
        <v>55750.16</v>
      </c>
      <c r="C81" s="4">
        <v>-0.36704913819020391</v>
      </c>
    </row>
    <row r="82" spans="1:3" x14ac:dyDescent="0.3">
      <c r="A82" s="8" t="s">
        <v>1663</v>
      </c>
      <c r="B82">
        <v>10792.369999999999</v>
      </c>
      <c r="C82" s="4">
        <v>-0.80641544347137306</v>
      </c>
    </row>
    <row r="83" spans="1:3" x14ac:dyDescent="0.3">
      <c r="A83" s="8" t="s">
        <v>1664</v>
      </c>
      <c r="B83">
        <v>24374.1</v>
      </c>
      <c r="C83" s="4">
        <v>1.2584566689244348</v>
      </c>
    </row>
    <row r="84" spans="1:3" x14ac:dyDescent="0.3">
      <c r="A84" s="8" t="s">
        <v>1665</v>
      </c>
      <c r="B84">
        <v>45778.5</v>
      </c>
      <c r="C84" s="4">
        <v>0.87816165519957667</v>
      </c>
    </row>
    <row r="85" spans="1:3" x14ac:dyDescent="0.3">
      <c r="A85" s="8" t="s">
        <v>1666</v>
      </c>
      <c r="B85">
        <v>78702.509999999995</v>
      </c>
      <c r="C85" s="4">
        <v>0.7192024640387954</v>
      </c>
    </row>
    <row r="86" spans="1:3" x14ac:dyDescent="0.3">
      <c r="A86" s="8" t="s">
        <v>1667</v>
      </c>
      <c r="B86">
        <v>31889.71</v>
      </c>
      <c r="C86" s="4">
        <v>-0.59480695088377744</v>
      </c>
    </row>
    <row r="87" spans="1:3" x14ac:dyDescent="0.3">
      <c r="A87" s="8" t="s">
        <v>1668</v>
      </c>
      <c r="B87">
        <v>76685.48000000001</v>
      </c>
      <c r="C87" s="4">
        <v>1.4047092306577893</v>
      </c>
    </row>
    <row r="88" spans="1:3" x14ac:dyDescent="0.3">
      <c r="A88" s="8" t="s">
        <v>1669</v>
      </c>
      <c r="B88">
        <v>51513.349999999991</v>
      </c>
      <c r="C88" s="4">
        <v>-0.32825158035132618</v>
      </c>
    </row>
    <row r="89" spans="1:3" x14ac:dyDescent="0.3">
      <c r="A89" s="8" t="s">
        <v>1670</v>
      </c>
      <c r="B89">
        <v>50989.919999999998</v>
      </c>
      <c r="C89" s="4">
        <v>-1.016105533808213E-2</v>
      </c>
    </row>
    <row r="90" spans="1:3" x14ac:dyDescent="0.3">
      <c r="A90" s="8" t="s">
        <v>1671</v>
      </c>
      <c r="B90">
        <v>54404.819999999992</v>
      </c>
      <c r="C90" s="4">
        <v>6.6972060360165189E-2</v>
      </c>
    </row>
    <row r="91" spans="1:3" x14ac:dyDescent="0.3">
      <c r="A91" s="8" t="s">
        <v>1672</v>
      </c>
      <c r="B91">
        <v>44776.249999999993</v>
      </c>
      <c r="C91" s="4">
        <v>-0.17698009110222221</v>
      </c>
    </row>
    <row r="92" spans="1:3" x14ac:dyDescent="0.3">
      <c r="A92" s="8" t="s">
        <v>1673</v>
      </c>
      <c r="B92">
        <v>105036.66999999998</v>
      </c>
      <c r="C92" s="4">
        <v>1.3458121213813126</v>
      </c>
    </row>
    <row r="93" spans="1:3" x14ac:dyDescent="0.3">
      <c r="A93" s="8" t="s">
        <v>1674</v>
      </c>
      <c r="B93">
        <v>19623.97</v>
      </c>
      <c r="C93" s="4">
        <v>-0.81317029566912202</v>
      </c>
    </row>
    <row r="94" spans="1:3" x14ac:dyDescent="0.3">
      <c r="A94" s="8" t="s">
        <v>1675</v>
      </c>
      <c r="B94">
        <v>63482.539999999994</v>
      </c>
      <c r="C94" s="4">
        <v>2.2349488915851374</v>
      </c>
    </row>
    <row r="95" spans="1:3" x14ac:dyDescent="0.3">
      <c r="A95" s="3" t="s">
        <v>1584</v>
      </c>
      <c r="C95" s="4"/>
    </row>
    <row r="96" spans="1:3" x14ac:dyDescent="0.3">
      <c r="A96" s="8" t="s">
        <v>1676</v>
      </c>
      <c r="B96">
        <v>64690.520000000004</v>
      </c>
      <c r="C96" s="4"/>
    </row>
    <row r="97" spans="1:3" x14ac:dyDescent="0.3">
      <c r="A97" s="8" t="s">
        <v>1677</v>
      </c>
      <c r="B97">
        <v>45407.360000000001</v>
      </c>
      <c r="C97" s="4">
        <v>-0.29808324310888212</v>
      </c>
    </row>
    <row r="98" spans="1:3" x14ac:dyDescent="0.3">
      <c r="A98" s="8" t="s">
        <v>1678</v>
      </c>
      <c r="B98">
        <v>49754.12000000001</v>
      </c>
      <c r="C98" s="4">
        <v>9.5728093419216828E-2</v>
      </c>
    </row>
    <row r="99" spans="1:3" x14ac:dyDescent="0.3">
      <c r="A99" s="8" t="s">
        <v>1679</v>
      </c>
      <c r="B99">
        <v>65393.920000000006</v>
      </c>
      <c r="C99" s="4">
        <v>0.3143418072714379</v>
      </c>
    </row>
    <row r="100" spans="1:3" x14ac:dyDescent="0.3">
      <c r="A100" s="8" t="s">
        <v>1680</v>
      </c>
      <c r="B100">
        <v>50195.83</v>
      </c>
      <c r="C100" s="4">
        <v>-0.23240830340190652</v>
      </c>
    </row>
    <row r="101" spans="1:3" x14ac:dyDescent="0.3">
      <c r="A101" s="8" t="s">
        <v>1681</v>
      </c>
      <c r="B101">
        <v>9617</v>
      </c>
      <c r="C101" s="4">
        <v>-0.80841037990605991</v>
      </c>
    </row>
    <row r="102" spans="1:3" x14ac:dyDescent="0.3">
      <c r="A102" s="8" t="s">
        <v>1682</v>
      </c>
      <c r="B102">
        <v>87015.309999999983</v>
      </c>
      <c r="C102" s="4">
        <v>8.0480721638764674</v>
      </c>
    </row>
    <row r="103" spans="1:3" x14ac:dyDescent="0.3">
      <c r="A103" s="8" t="s">
        <v>1683</v>
      </c>
      <c r="B103">
        <v>49321.430000000008</v>
      </c>
      <c r="C103" s="4">
        <v>-0.43318675759472652</v>
      </c>
    </row>
    <row r="104" spans="1:3" x14ac:dyDescent="0.3">
      <c r="A104" s="8" t="s">
        <v>1684</v>
      </c>
      <c r="B104">
        <v>23087.63</v>
      </c>
      <c r="C104" s="4">
        <v>-0.53189455374671823</v>
      </c>
    </row>
    <row r="105" spans="1:3" x14ac:dyDescent="0.3">
      <c r="A105" s="8" t="s">
        <v>1685</v>
      </c>
      <c r="B105">
        <v>21464.28</v>
      </c>
      <c r="C105" s="4">
        <v>-7.0312543990006859E-2</v>
      </c>
    </row>
    <row r="106" spans="1:3" x14ac:dyDescent="0.3">
      <c r="A106" s="8" t="s">
        <v>1686</v>
      </c>
      <c r="B106">
        <v>97916.19</v>
      </c>
      <c r="C106" s="4">
        <v>3.5618203825145782</v>
      </c>
    </row>
    <row r="107" spans="1:3" x14ac:dyDescent="0.3">
      <c r="A107" s="8" t="s">
        <v>1687</v>
      </c>
      <c r="B107">
        <v>26665.42</v>
      </c>
      <c r="C107" s="4">
        <v>-0.72767098066213565</v>
      </c>
    </row>
    <row r="108" spans="1:3" x14ac:dyDescent="0.3">
      <c r="A108" s="8" t="s">
        <v>1688</v>
      </c>
      <c r="B108">
        <v>54275.89</v>
      </c>
      <c r="C108" s="4">
        <v>1.0354410318682399</v>
      </c>
    </row>
    <row r="109" spans="1:3" x14ac:dyDescent="0.3">
      <c r="A109" s="8" t="s">
        <v>1689</v>
      </c>
      <c r="B109">
        <v>33217.32</v>
      </c>
      <c r="C109" s="4">
        <v>-0.3879912425203898</v>
      </c>
    </row>
    <row r="110" spans="1:3" x14ac:dyDescent="0.3">
      <c r="A110" s="8" t="s">
        <v>1690</v>
      </c>
      <c r="B110">
        <v>17355.41</v>
      </c>
      <c r="C110" s="4">
        <v>-0.47751925802563239</v>
      </c>
    </row>
    <row r="111" spans="1:3" x14ac:dyDescent="0.3">
      <c r="A111" s="8" t="s">
        <v>1691</v>
      </c>
      <c r="B111">
        <v>70672.640000000014</v>
      </c>
      <c r="C111" s="4">
        <v>3.0720812703358784</v>
      </c>
    </row>
    <row r="112" spans="1:3" x14ac:dyDescent="0.3">
      <c r="A112" s="8" t="s">
        <v>1692</v>
      </c>
      <c r="B112">
        <v>110342.48999999999</v>
      </c>
      <c r="C112" s="4">
        <v>0.56131835459945978</v>
      </c>
    </row>
    <row r="113" spans="1:3" x14ac:dyDescent="0.3">
      <c r="A113" s="8" t="s">
        <v>1693</v>
      </c>
      <c r="B113">
        <v>51412.62000000001</v>
      </c>
      <c r="C113" s="4">
        <v>-0.53406326067138765</v>
      </c>
    </row>
    <row r="114" spans="1:3" x14ac:dyDescent="0.3">
      <c r="A114" s="8" t="s">
        <v>1694</v>
      </c>
      <c r="B114">
        <v>65311.19</v>
      </c>
      <c r="C114" s="4">
        <v>0.27033382076229512</v>
      </c>
    </row>
    <row r="115" spans="1:3" x14ac:dyDescent="0.3">
      <c r="A115" s="8" t="s">
        <v>1695</v>
      </c>
      <c r="B115">
        <v>131046.63</v>
      </c>
      <c r="C115" s="4">
        <v>1.0064958240693516</v>
      </c>
    </row>
    <row r="116" spans="1:3" x14ac:dyDescent="0.3">
      <c r="A116" s="8" t="s">
        <v>1696</v>
      </c>
      <c r="B116">
        <v>56837.69</v>
      </c>
      <c r="C116" s="4">
        <v>-0.56627888866733922</v>
      </c>
    </row>
    <row r="117" spans="1:3" x14ac:dyDescent="0.3">
      <c r="A117" s="8" t="s">
        <v>1697</v>
      </c>
      <c r="B117">
        <v>54939.519999999997</v>
      </c>
      <c r="C117" s="4">
        <v>-3.3396325571992909E-2</v>
      </c>
    </row>
    <row r="118" spans="1:3" x14ac:dyDescent="0.3">
      <c r="A118" s="8" t="s">
        <v>1698</v>
      </c>
      <c r="B118">
        <v>41897.490000000005</v>
      </c>
      <c r="C118" s="4">
        <v>-0.23738885960416095</v>
      </c>
    </row>
    <row r="119" spans="1:3" x14ac:dyDescent="0.3">
      <c r="A119" s="8" t="s">
        <v>1699</v>
      </c>
      <c r="B119">
        <v>63018.060000000005</v>
      </c>
      <c r="C119" s="4">
        <v>0.50410108099554407</v>
      </c>
    </row>
    <row r="120" spans="1:3" x14ac:dyDescent="0.3">
      <c r="A120" s="8" t="s">
        <v>1700</v>
      </c>
      <c r="B120">
        <v>56487.09</v>
      </c>
      <c r="C120" s="4">
        <v>-0.1036364813515365</v>
      </c>
    </row>
    <row r="121" spans="1:3" x14ac:dyDescent="0.3">
      <c r="A121" s="8" t="s">
        <v>1701</v>
      </c>
      <c r="B121">
        <v>47820.2</v>
      </c>
      <c r="C121" s="4">
        <v>-0.15343134156848937</v>
      </c>
    </row>
    <row r="122" spans="1:3" x14ac:dyDescent="0.3">
      <c r="A122" s="8" t="s">
        <v>1702</v>
      </c>
      <c r="B122">
        <v>62483.21</v>
      </c>
      <c r="C122" s="4">
        <v>0.30662795220429867</v>
      </c>
    </row>
    <row r="123" spans="1:3" x14ac:dyDescent="0.3">
      <c r="A123" s="8" t="s">
        <v>1703</v>
      </c>
      <c r="B123">
        <v>88424.229999999981</v>
      </c>
      <c r="C123" s="4">
        <v>0.41516785069140943</v>
      </c>
    </row>
    <row r="124" spans="1:3" x14ac:dyDescent="0.3">
      <c r="A124" s="8" t="s">
        <v>1704</v>
      </c>
      <c r="B124">
        <v>35955.070000000007</v>
      </c>
      <c r="C124" s="4">
        <v>-0.59337989146187631</v>
      </c>
    </row>
    <row r="125" spans="1:3" x14ac:dyDescent="0.3">
      <c r="A125" s="8" t="s">
        <v>1705</v>
      </c>
      <c r="B125">
        <v>71079.459999999992</v>
      </c>
      <c r="C125" s="4">
        <v>0.97689672138032213</v>
      </c>
    </row>
    <row r="126" spans="1:3" x14ac:dyDescent="0.3">
      <c r="A126" s="3" t="s">
        <v>1585</v>
      </c>
      <c r="C126" s="4"/>
    </row>
    <row r="127" spans="1:3" x14ac:dyDescent="0.3">
      <c r="A127" s="8" t="s">
        <v>1706</v>
      </c>
      <c r="B127">
        <v>38992.339999999997</v>
      </c>
      <c r="C127" s="4"/>
    </row>
    <row r="128" spans="1:3" x14ac:dyDescent="0.3">
      <c r="A128" s="8" t="s">
        <v>1707</v>
      </c>
      <c r="B128">
        <v>14059.7</v>
      </c>
      <c r="C128" s="4">
        <v>-0.63942405098026944</v>
      </c>
    </row>
    <row r="129" spans="1:3" x14ac:dyDescent="0.3">
      <c r="A129" s="8" t="s">
        <v>1708</v>
      </c>
      <c r="B129">
        <v>64647.27</v>
      </c>
      <c r="C129" s="4">
        <v>3.598054723785002</v>
      </c>
    </row>
    <row r="130" spans="1:3" x14ac:dyDescent="0.3">
      <c r="A130" s="8" t="s">
        <v>1709</v>
      </c>
      <c r="B130">
        <v>25294.97</v>
      </c>
      <c r="C130" s="4">
        <v>-0.60872330726417367</v>
      </c>
    </row>
    <row r="131" spans="1:3" x14ac:dyDescent="0.3">
      <c r="A131" s="8" t="s">
        <v>1710</v>
      </c>
      <c r="B131">
        <v>42440.15</v>
      </c>
      <c r="C131" s="4">
        <v>0.67780985705853769</v>
      </c>
    </row>
    <row r="132" spans="1:3" x14ac:dyDescent="0.3">
      <c r="A132" s="8" t="s">
        <v>1711</v>
      </c>
      <c r="B132">
        <v>59517.329999999994</v>
      </c>
      <c r="C132" s="4">
        <v>0.40238264944869406</v>
      </c>
    </row>
    <row r="133" spans="1:3" x14ac:dyDescent="0.3">
      <c r="A133" s="8" t="s">
        <v>1712</v>
      </c>
      <c r="B133">
        <v>38379.33</v>
      </c>
      <c r="C133" s="4">
        <v>-0.35515706097702965</v>
      </c>
    </row>
    <row r="134" spans="1:3" x14ac:dyDescent="0.3">
      <c r="A134" s="8" t="s">
        <v>1713</v>
      </c>
      <c r="B134">
        <v>54556.139999999992</v>
      </c>
      <c r="C134" s="4">
        <v>0.42149797820858231</v>
      </c>
    </row>
    <row r="135" spans="1:3" x14ac:dyDescent="0.3">
      <c r="A135" s="8" t="s">
        <v>1714</v>
      </c>
      <c r="B135">
        <v>74241.31</v>
      </c>
      <c r="C135" s="4">
        <v>0.36082409789255632</v>
      </c>
    </row>
    <row r="136" spans="1:3" x14ac:dyDescent="0.3">
      <c r="A136" s="8" t="s">
        <v>1715</v>
      </c>
      <c r="B136">
        <v>42015.060000000005</v>
      </c>
      <c r="C136" s="4">
        <v>-0.43407437180189834</v>
      </c>
    </row>
    <row r="137" spans="1:3" x14ac:dyDescent="0.3">
      <c r="A137" s="8" t="s">
        <v>1716</v>
      </c>
      <c r="B137">
        <v>107844.50999999998</v>
      </c>
      <c r="C137" s="4">
        <v>1.5668060452609129</v>
      </c>
    </row>
    <row r="138" spans="1:3" x14ac:dyDescent="0.3">
      <c r="A138" s="8" t="s">
        <v>1717</v>
      </c>
      <c r="B138">
        <v>59975.71</v>
      </c>
      <c r="C138" s="4">
        <v>-0.44386867722798307</v>
      </c>
    </row>
    <row r="139" spans="1:3" x14ac:dyDescent="0.3">
      <c r="A139" s="8" t="s">
        <v>1718</v>
      </c>
      <c r="B139">
        <v>72132.05</v>
      </c>
      <c r="C139" s="4">
        <v>0.20268772141255192</v>
      </c>
    </row>
    <row r="140" spans="1:3" x14ac:dyDescent="0.3">
      <c r="A140" s="8" t="s">
        <v>1719</v>
      </c>
      <c r="B140">
        <v>34969.870000000003</v>
      </c>
      <c r="C140" s="4">
        <v>-0.51519650418919194</v>
      </c>
    </row>
    <row r="141" spans="1:3" x14ac:dyDescent="0.3">
      <c r="A141" s="8" t="s">
        <v>1720</v>
      </c>
      <c r="B141">
        <v>36319.22</v>
      </c>
      <c r="C141" s="4">
        <v>3.8586074240481834E-2</v>
      </c>
    </row>
    <row r="142" spans="1:3" x14ac:dyDescent="0.3">
      <c r="A142" s="8" t="s">
        <v>1721</v>
      </c>
      <c r="B142">
        <v>63973.4</v>
      </c>
      <c r="C142" s="4">
        <v>0.76141998644244013</v>
      </c>
    </row>
    <row r="143" spans="1:3" x14ac:dyDescent="0.3">
      <c r="A143" s="8" t="s">
        <v>1722</v>
      </c>
      <c r="B143">
        <v>45816.38</v>
      </c>
      <c r="C143" s="4">
        <v>-0.28382140076969498</v>
      </c>
    </row>
    <row r="144" spans="1:3" x14ac:dyDescent="0.3">
      <c r="A144" s="8" t="s">
        <v>1723</v>
      </c>
      <c r="B144">
        <v>92869.53</v>
      </c>
      <c r="C144" s="4">
        <v>1.0269940575837726</v>
      </c>
    </row>
    <row r="145" spans="1:3" x14ac:dyDescent="0.3">
      <c r="A145" s="8" t="s">
        <v>1724</v>
      </c>
      <c r="B145">
        <v>36338.22</v>
      </c>
      <c r="C145" s="4">
        <v>-0.60871752015973379</v>
      </c>
    </row>
    <row r="146" spans="1:3" x14ac:dyDescent="0.3">
      <c r="A146" s="8" t="s">
        <v>1725</v>
      </c>
      <c r="B146">
        <v>73503.149999999994</v>
      </c>
      <c r="C146" s="4">
        <v>1.0227504264105394</v>
      </c>
    </row>
    <row r="147" spans="1:3" x14ac:dyDescent="0.3">
      <c r="A147" s="8" t="s">
        <v>1726</v>
      </c>
      <c r="B147">
        <v>27802.149999999998</v>
      </c>
      <c r="C147" s="4">
        <v>-0.62175566625375922</v>
      </c>
    </row>
    <row r="148" spans="1:3" x14ac:dyDescent="0.3">
      <c r="A148" s="8" t="s">
        <v>1727</v>
      </c>
      <c r="B148">
        <v>119182.54000000001</v>
      </c>
      <c r="C148" s="4">
        <v>3.2868101927368936</v>
      </c>
    </row>
    <row r="149" spans="1:3" x14ac:dyDescent="0.3">
      <c r="A149" s="8" t="s">
        <v>1728</v>
      </c>
      <c r="B149">
        <v>17636.78</v>
      </c>
      <c r="C149" s="4">
        <v>-0.85201876046608838</v>
      </c>
    </row>
    <row r="150" spans="1:3" x14ac:dyDescent="0.3">
      <c r="A150" s="8" t="s">
        <v>1729</v>
      </c>
      <c r="B150">
        <v>71003.319999999992</v>
      </c>
      <c r="C150" s="4">
        <v>3.0258663996489155</v>
      </c>
    </row>
    <row r="151" spans="1:3" x14ac:dyDescent="0.3">
      <c r="A151" s="8" t="s">
        <v>1730</v>
      </c>
      <c r="B151">
        <v>41845.58</v>
      </c>
      <c r="C151" s="4">
        <v>-0.41065319199158568</v>
      </c>
    </row>
    <row r="152" spans="1:3" x14ac:dyDescent="0.3">
      <c r="A152" s="8" t="s">
        <v>1731</v>
      </c>
      <c r="B152">
        <v>51369.03</v>
      </c>
      <c r="C152" s="4">
        <v>0.22758556578735428</v>
      </c>
    </row>
    <row r="153" spans="1:3" x14ac:dyDescent="0.3">
      <c r="A153" s="8" t="s">
        <v>1732</v>
      </c>
      <c r="B153">
        <v>56317.93</v>
      </c>
      <c r="C153" s="4">
        <v>9.6340148918521565E-2</v>
      </c>
    </row>
    <row r="154" spans="1:3" x14ac:dyDescent="0.3">
      <c r="A154" s="8" t="s">
        <v>1733</v>
      </c>
      <c r="B154">
        <v>79448.860000000015</v>
      </c>
      <c r="C154" s="4">
        <v>0.41072052896830574</v>
      </c>
    </row>
    <row r="155" spans="1:3" x14ac:dyDescent="0.3">
      <c r="A155" s="8" t="s">
        <v>1734</v>
      </c>
      <c r="B155">
        <v>60944.09</v>
      </c>
      <c r="C155" s="4">
        <v>-0.23291422935458123</v>
      </c>
    </row>
    <row r="156" spans="1:3" x14ac:dyDescent="0.3">
      <c r="A156" s="8" t="s">
        <v>1735</v>
      </c>
      <c r="B156">
        <v>76546.319999999992</v>
      </c>
      <c r="C156" s="4">
        <v>0.25600890914935309</v>
      </c>
    </row>
    <row r="157" spans="1:3" x14ac:dyDescent="0.3">
      <c r="A157" s="8" t="s">
        <v>1736</v>
      </c>
      <c r="B157">
        <v>51544.99</v>
      </c>
      <c r="C157" s="4">
        <v>-0.32661700784570696</v>
      </c>
    </row>
    <row r="158" spans="1:3" x14ac:dyDescent="0.3">
      <c r="A158" s="3" t="s">
        <v>1586</v>
      </c>
      <c r="C158" s="4"/>
    </row>
    <row r="159" spans="1:3" x14ac:dyDescent="0.3">
      <c r="A159" s="8" t="s">
        <v>1737</v>
      </c>
      <c r="B159">
        <v>42339.14</v>
      </c>
      <c r="C159" s="4"/>
    </row>
    <row r="160" spans="1:3" x14ac:dyDescent="0.3">
      <c r="A160" s="8" t="s">
        <v>1738</v>
      </c>
      <c r="B160">
        <v>45505.54</v>
      </c>
      <c r="C160" s="4">
        <v>7.4786592264273713E-2</v>
      </c>
    </row>
    <row r="161" spans="1:3" x14ac:dyDescent="0.3">
      <c r="A161" s="8" t="s">
        <v>1739</v>
      </c>
      <c r="B161">
        <v>22493.81</v>
      </c>
      <c r="C161" s="4">
        <v>-0.50569073567745815</v>
      </c>
    </row>
    <row r="162" spans="1:3" x14ac:dyDescent="0.3">
      <c r="A162" s="8" t="s">
        <v>1740</v>
      </c>
      <c r="B162">
        <v>52376.899999999994</v>
      </c>
      <c r="C162" s="4">
        <v>1.3285028192200428</v>
      </c>
    </row>
    <row r="163" spans="1:3" x14ac:dyDescent="0.3">
      <c r="A163" s="8" t="s">
        <v>1741</v>
      </c>
      <c r="B163">
        <v>43939.19</v>
      </c>
      <c r="C163" s="4">
        <v>-0.16109601751917338</v>
      </c>
    </row>
    <row r="164" spans="1:3" x14ac:dyDescent="0.3">
      <c r="A164" s="8" t="s">
        <v>1742</v>
      </c>
      <c r="B164">
        <v>23712.61</v>
      </c>
      <c r="C164" s="4">
        <v>-0.46033119864066679</v>
      </c>
    </row>
    <row r="165" spans="1:3" x14ac:dyDescent="0.3">
      <c r="A165" s="8" t="s">
        <v>1743</v>
      </c>
      <c r="B165">
        <v>63339.930000000008</v>
      </c>
      <c r="C165" s="4">
        <v>1.6711496541291746</v>
      </c>
    </row>
    <row r="166" spans="1:3" x14ac:dyDescent="0.3">
      <c r="A166" s="8" t="s">
        <v>1744</v>
      </c>
      <c r="B166">
        <v>91376.55</v>
      </c>
      <c r="C166" s="4">
        <v>0.44263736950767063</v>
      </c>
    </row>
    <row r="167" spans="1:3" x14ac:dyDescent="0.3">
      <c r="A167" s="8" t="s">
        <v>1745</v>
      </c>
      <c r="B167">
        <v>43390.19</v>
      </c>
      <c r="C167" s="4">
        <v>-0.52514961442514518</v>
      </c>
    </row>
    <row r="168" spans="1:3" x14ac:dyDescent="0.3">
      <c r="A168" s="8" t="s">
        <v>1746</v>
      </c>
      <c r="B168">
        <v>39986.68</v>
      </c>
      <c r="C168" s="4">
        <v>-7.8439619646745076E-2</v>
      </c>
    </row>
    <row r="169" spans="1:3" x14ac:dyDescent="0.3">
      <c r="A169" s="8" t="s">
        <v>1747</v>
      </c>
      <c r="B169">
        <v>36943.26</v>
      </c>
      <c r="C169" s="4">
        <v>-7.6110844911355433E-2</v>
      </c>
    </row>
    <row r="170" spans="1:3" x14ac:dyDescent="0.3">
      <c r="A170" s="8" t="s">
        <v>1748</v>
      </c>
      <c r="B170">
        <v>46795.69</v>
      </c>
      <c r="C170" s="4">
        <v>0.26669086593873959</v>
      </c>
    </row>
    <row r="171" spans="1:3" x14ac:dyDescent="0.3">
      <c r="A171" s="8" t="s">
        <v>1749</v>
      </c>
      <c r="B171">
        <v>111076.34</v>
      </c>
      <c r="C171" s="4">
        <v>1.373644666848592</v>
      </c>
    </row>
    <row r="172" spans="1:3" x14ac:dyDescent="0.3">
      <c r="A172" s="8" t="s">
        <v>1750</v>
      </c>
      <c r="B172">
        <v>28337.39</v>
      </c>
      <c r="C172" s="4">
        <v>-0.74488365389064859</v>
      </c>
    </row>
    <row r="173" spans="1:3" x14ac:dyDescent="0.3">
      <c r="A173" s="8" t="s">
        <v>1751</v>
      </c>
      <c r="B173">
        <v>24822.870000000003</v>
      </c>
      <c r="C173" s="4">
        <v>-0.12402412501645342</v>
      </c>
    </row>
    <row r="174" spans="1:3" x14ac:dyDescent="0.3">
      <c r="A174" s="8" t="s">
        <v>1752</v>
      </c>
      <c r="B174">
        <v>45713.750000000007</v>
      </c>
      <c r="C174" s="4">
        <v>0.84159809079288583</v>
      </c>
    </row>
    <row r="175" spans="1:3" x14ac:dyDescent="0.3">
      <c r="A175" s="8" t="s">
        <v>1753</v>
      </c>
      <c r="B175">
        <v>75031.459999999992</v>
      </c>
      <c r="C175" s="4">
        <v>0.64133242186431827</v>
      </c>
    </row>
    <row r="176" spans="1:3" x14ac:dyDescent="0.3">
      <c r="A176" s="8" t="s">
        <v>1754</v>
      </c>
      <c r="B176">
        <v>53527.53</v>
      </c>
      <c r="C176" s="4">
        <v>-0.28659884800322416</v>
      </c>
    </row>
    <row r="177" spans="1:3" x14ac:dyDescent="0.3">
      <c r="A177" s="8" t="s">
        <v>1755</v>
      </c>
      <c r="B177">
        <v>101785.28</v>
      </c>
      <c r="C177" s="4">
        <v>0.90155009954690613</v>
      </c>
    </row>
    <row r="178" spans="1:3" x14ac:dyDescent="0.3">
      <c r="A178" s="8" t="s">
        <v>1756</v>
      </c>
      <c r="B178">
        <v>20948.039999999997</v>
      </c>
      <c r="C178" s="4">
        <v>-0.79419381663045974</v>
      </c>
    </row>
    <row r="179" spans="1:3" x14ac:dyDescent="0.3">
      <c r="A179" s="8" t="s">
        <v>1757</v>
      </c>
      <c r="B179">
        <v>32859.08</v>
      </c>
      <c r="C179" s="4">
        <v>0.56859925797353861</v>
      </c>
    </row>
    <row r="180" spans="1:3" x14ac:dyDescent="0.3">
      <c r="A180" s="8" t="s">
        <v>1758</v>
      </c>
      <c r="B180">
        <v>77883.820000000007</v>
      </c>
      <c r="C180" s="4">
        <v>1.3702373894826028</v>
      </c>
    </row>
    <row r="181" spans="1:3" x14ac:dyDescent="0.3">
      <c r="A181" s="8" t="s">
        <v>1759</v>
      </c>
      <c r="B181">
        <v>69667.87000000001</v>
      </c>
      <c r="C181" s="4">
        <v>-0.10548981803922812</v>
      </c>
    </row>
    <row r="182" spans="1:3" x14ac:dyDescent="0.3">
      <c r="A182" s="8" t="s">
        <v>1760</v>
      </c>
      <c r="B182">
        <v>10321.39</v>
      </c>
      <c r="C182" s="4">
        <v>-0.8518486355331375</v>
      </c>
    </row>
    <row r="183" spans="1:3" x14ac:dyDescent="0.3">
      <c r="A183" s="8" t="s">
        <v>1761</v>
      </c>
      <c r="B183">
        <v>41803.589999999997</v>
      </c>
      <c r="C183" s="4">
        <v>3.0501899453465087</v>
      </c>
    </row>
    <row r="184" spans="1:3" x14ac:dyDescent="0.3">
      <c r="A184" s="8" t="s">
        <v>1762</v>
      </c>
      <c r="B184">
        <v>73107.72</v>
      </c>
      <c r="C184" s="4">
        <v>0.74883831747464769</v>
      </c>
    </row>
    <row r="185" spans="1:3" x14ac:dyDescent="0.3">
      <c r="A185" s="8" t="s">
        <v>1763</v>
      </c>
      <c r="B185">
        <v>38689.06</v>
      </c>
      <c r="C185" s="4">
        <v>-0.47079378210673239</v>
      </c>
    </row>
    <row r="186" spans="1:3" x14ac:dyDescent="0.3">
      <c r="A186" s="8" t="s">
        <v>1764</v>
      </c>
      <c r="B186">
        <v>53758.16</v>
      </c>
      <c r="C186" s="4">
        <v>0.38949253354824354</v>
      </c>
    </row>
    <row r="187" spans="1:3" x14ac:dyDescent="0.3">
      <c r="A187" s="8" t="s">
        <v>1765</v>
      </c>
      <c r="B187">
        <v>44110.73</v>
      </c>
      <c r="C187" s="4">
        <v>-0.17945982526187651</v>
      </c>
    </row>
    <row r="188" spans="1:3" x14ac:dyDescent="0.3">
      <c r="A188" s="8" t="s">
        <v>1766</v>
      </c>
      <c r="B188">
        <v>55266.649999999994</v>
      </c>
      <c r="C188" s="4">
        <v>0.25290717247254785</v>
      </c>
    </row>
    <row r="189" spans="1:3" x14ac:dyDescent="0.3">
      <c r="A189" s="3" t="s">
        <v>1587</v>
      </c>
      <c r="C189" s="4"/>
    </row>
    <row r="190" spans="1:3" x14ac:dyDescent="0.3">
      <c r="A190" s="8" t="s">
        <v>1767</v>
      </c>
      <c r="B190">
        <v>66754.87999999999</v>
      </c>
      <c r="C190" s="4"/>
    </row>
    <row r="191" spans="1:3" x14ac:dyDescent="0.3">
      <c r="A191" s="8" t="s">
        <v>1768</v>
      </c>
      <c r="B191">
        <v>76257.14</v>
      </c>
      <c r="C191" s="4">
        <v>0.14234554837039645</v>
      </c>
    </row>
    <row r="192" spans="1:3" x14ac:dyDescent="0.3">
      <c r="A192" s="8" t="s">
        <v>1769</v>
      </c>
      <c r="B192">
        <v>50619.039999999994</v>
      </c>
      <c r="C192" s="4">
        <v>-0.3362058949496402</v>
      </c>
    </row>
    <row r="193" spans="1:3" x14ac:dyDescent="0.3">
      <c r="A193" s="8" t="s">
        <v>1770</v>
      </c>
      <c r="B193">
        <v>52191.88</v>
      </c>
      <c r="C193" s="4">
        <v>3.1072102513204598E-2</v>
      </c>
    </row>
  </sheetData>
  <conditionalFormatting pivot="1" sqref="C6:C33 C34 C35:C62 C63 C64:C94 C95 C96:C125 C126 C127:C157 C158 C159:C188 C189 C190:C193">
    <cfRule type="cellIs" dxfId="0" priority="1" operator="less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03048-6692-4919-A593-CFE1E75DF882}">
  <dimension ref="A1:D377"/>
  <sheetViews>
    <sheetView workbookViewId="0">
      <selection activeCell="D3" sqref="D3"/>
    </sheetView>
  </sheetViews>
  <sheetFormatPr defaultRowHeight="14.4" x14ac:dyDescent="0.3"/>
  <cols>
    <col min="1" max="1" width="28.5546875" bestFit="1" customWidth="1"/>
    <col min="2" max="2" width="5.77734375" customWidth="1"/>
    <col min="3" max="3" width="14.109375" bestFit="1" customWidth="1"/>
    <col min="4" max="4" width="7.5546875" bestFit="1" customWidth="1"/>
    <col min="5" max="5" width="11" bestFit="1" customWidth="1"/>
    <col min="6" max="6" width="10.33203125" bestFit="1" customWidth="1"/>
    <col min="7" max="7" width="13.21875" bestFit="1" customWidth="1"/>
    <col min="8" max="8" width="10.33203125" bestFit="1" customWidth="1"/>
    <col min="9" max="9" width="13.21875" bestFit="1" customWidth="1"/>
    <col min="10" max="10" width="10.33203125" bestFit="1" customWidth="1"/>
    <col min="11" max="11" width="13.21875" bestFit="1" customWidth="1"/>
    <col min="12" max="12" width="10.33203125" bestFit="1" customWidth="1"/>
    <col min="13" max="13" width="13.21875" bestFit="1" customWidth="1"/>
    <col min="14" max="14" width="10.33203125" bestFit="1" customWidth="1"/>
    <col min="15" max="15" width="13.21875" bestFit="1" customWidth="1"/>
    <col min="16" max="16" width="10.33203125" bestFit="1" customWidth="1"/>
    <col min="17" max="17" width="13.21875" bestFit="1" customWidth="1"/>
    <col min="18" max="18" width="10.33203125" bestFit="1" customWidth="1"/>
    <col min="19" max="19" width="13.21875" bestFit="1" customWidth="1"/>
    <col min="20" max="20" width="10.33203125" bestFit="1" customWidth="1"/>
    <col min="21" max="21" width="13.21875" bestFit="1" customWidth="1"/>
    <col min="22" max="22" width="10.33203125" bestFit="1" customWidth="1"/>
    <col min="23" max="23" width="13.21875" bestFit="1" customWidth="1"/>
    <col min="24" max="24" width="10.33203125" bestFit="1" customWidth="1"/>
    <col min="25" max="25" width="13.21875" bestFit="1" customWidth="1"/>
    <col min="26" max="26" width="10.33203125" bestFit="1" customWidth="1"/>
    <col min="27" max="27" width="13.21875" bestFit="1" customWidth="1"/>
    <col min="28" max="28" width="10.33203125" bestFit="1" customWidth="1"/>
    <col min="29" max="29" width="13.21875" bestFit="1" customWidth="1"/>
    <col min="30" max="30" width="10.33203125" bestFit="1" customWidth="1"/>
    <col min="31" max="31" width="13.21875" bestFit="1" customWidth="1"/>
    <col min="32" max="32" width="10.33203125" bestFit="1" customWidth="1"/>
    <col min="33" max="33" width="13.21875" bestFit="1" customWidth="1"/>
    <col min="34" max="34" width="10.33203125" bestFit="1" customWidth="1"/>
    <col min="35" max="35" width="13.21875" bestFit="1" customWidth="1"/>
    <col min="36" max="36" width="10.33203125" bestFit="1" customWidth="1"/>
    <col min="37" max="37" width="13.21875" bestFit="1" customWidth="1"/>
    <col min="38" max="38" width="10.33203125" bestFit="1" customWidth="1"/>
    <col min="39" max="39" width="13.21875" bestFit="1" customWidth="1"/>
    <col min="40" max="40" width="10.33203125" bestFit="1" customWidth="1"/>
    <col min="41" max="41" width="13.21875" bestFit="1" customWidth="1"/>
    <col min="42" max="42" width="10.33203125" bestFit="1" customWidth="1"/>
    <col min="43" max="43" width="13.21875" bestFit="1" customWidth="1"/>
    <col min="44" max="44" width="10.33203125" bestFit="1" customWidth="1"/>
    <col min="45" max="45" width="13.21875" bestFit="1" customWidth="1"/>
    <col min="46" max="46" width="10.33203125" bestFit="1" customWidth="1"/>
    <col min="47" max="47" width="13.21875" bestFit="1" customWidth="1"/>
    <col min="48" max="48" width="10.33203125" bestFit="1" customWidth="1"/>
    <col min="49" max="49" width="13.21875" bestFit="1" customWidth="1"/>
    <col min="50" max="50" width="10.33203125" bestFit="1" customWidth="1"/>
    <col min="51" max="51" width="13.21875" bestFit="1" customWidth="1"/>
    <col min="52" max="52" width="10.33203125" bestFit="1" customWidth="1"/>
    <col min="53" max="53" width="13.21875" bestFit="1" customWidth="1"/>
    <col min="54" max="54" width="10.33203125" bestFit="1" customWidth="1"/>
    <col min="55" max="55" width="13.21875" bestFit="1" customWidth="1"/>
    <col min="56" max="56" width="10.33203125" bestFit="1" customWidth="1"/>
    <col min="57" max="57" width="13.21875" bestFit="1" customWidth="1"/>
    <col min="58" max="58" width="10.33203125" bestFit="1" customWidth="1"/>
    <col min="59" max="59" width="13.21875" bestFit="1" customWidth="1"/>
    <col min="60" max="60" width="10.33203125" bestFit="1" customWidth="1"/>
    <col min="61" max="61" width="13.21875" bestFit="1" customWidth="1"/>
    <col min="62" max="62" width="10.33203125" bestFit="1" customWidth="1"/>
    <col min="63" max="63" width="13.21875" bestFit="1" customWidth="1"/>
    <col min="64" max="64" width="10.33203125" bestFit="1" customWidth="1"/>
    <col min="65" max="65" width="13.21875" bestFit="1" customWidth="1"/>
    <col min="66" max="66" width="10.33203125" bestFit="1" customWidth="1"/>
    <col min="67" max="67" width="13.21875" bestFit="1" customWidth="1"/>
    <col min="68" max="68" width="10.33203125" bestFit="1" customWidth="1"/>
    <col min="69" max="69" width="13.21875" bestFit="1" customWidth="1"/>
    <col min="70" max="70" width="10.33203125" bestFit="1" customWidth="1"/>
    <col min="71" max="71" width="13.21875" bestFit="1" customWidth="1"/>
    <col min="72" max="72" width="10.33203125" bestFit="1" customWidth="1"/>
    <col min="73" max="73" width="13.21875" bestFit="1" customWidth="1"/>
    <col min="74" max="74" width="10.33203125" bestFit="1" customWidth="1"/>
    <col min="75" max="75" width="13.21875" bestFit="1" customWidth="1"/>
    <col min="76" max="76" width="10.33203125" bestFit="1" customWidth="1"/>
    <col min="77" max="77" width="13.21875" bestFit="1" customWidth="1"/>
    <col min="78" max="78" width="10.33203125" bestFit="1" customWidth="1"/>
    <col min="79" max="79" width="13.21875" bestFit="1" customWidth="1"/>
    <col min="80" max="80" width="10.33203125" bestFit="1" customWidth="1"/>
    <col min="81" max="81" width="13.21875" bestFit="1" customWidth="1"/>
    <col min="82" max="82" width="10.33203125" bestFit="1" customWidth="1"/>
    <col min="83" max="83" width="13.21875" bestFit="1" customWidth="1"/>
    <col min="84" max="84" width="10.33203125" bestFit="1" customWidth="1"/>
    <col min="85" max="85" width="13.21875" bestFit="1" customWidth="1"/>
    <col min="86" max="86" width="10.33203125" bestFit="1" customWidth="1"/>
    <col min="87" max="87" width="13.21875" bestFit="1" customWidth="1"/>
    <col min="88" max="88" width="10.33203125" bestFit="1" customWidth="1"/>
    <col min="89" max="89" width="13.21875" bestFit="1" customWidth="1"/>
    <col min="90" max="90" width="10.33203125" bestFit="1" customWidth="1"/>
    <col min="91" max="91" width="13.21875" bestFit="1" customWidth="1"/>
    <col min="92" max="92" width="10.33203125" bestFit="1" customWidth="1"/>
    <col min="93" max="93" width="13.21875" bestFit="1" customWidth="1"/>
    <col min="94" max="94" width="10.33203125" bestFit="1" customWidth="1"/>
    <col min="95" max="95" width="13.21875" bestFit="1" customWidth="1"/>
    <col min="96" max="96" width="10.33203125" bestFit="1" customWidth="1"/>
    <col min="97" max="97" width="13.21875" bestFit="1" customWidth="1"/>
    <col min="98" max="98" width="10.33203125" bestFit="1" customWidth="1"/>
    <col min="99" max="99" width="13.21875" bestFit="1" customWidth="1"/>
    <col min="100" max="100" width="10.33203125" bestFit="1" customWidth="1"/>
    <col min="101" max="101" width="13.21875" bestFit="1" customWidth="1"/>
    <col min="102" max="102" width="10.33203125" bestFit="1" customWidth="1"/>
    <col min="103" max="103" width="13.21875" bestFit="1" customWidth="1"/>
    <col min="104" max="104" width="10.33203125" bestFit="1" customWidth="1"/>
    <col min="105" max="105" width="13.21875" bestFit="1" customWidth="1"/>
    <col min="106" max="106" width="10.33203125" bestFit="1" customWidth="1"/>
    <col min="107" max="107" width="13.21875" bestFit="1" customWidth="1"/>
    <col min="108" max="108" width="10.33203125" bestFit="1" customWidth="1"/>
    <col min="109" max="109" width="13.21875" bestFit="1" customWidth="1"/>
    <col min="110" max="110" width="10.33203125" bestFit="1" customWidth="1"/>
    <col min="111" max="111" width="13.21875" bestFit="1" customWidth="1"/>
    <col min="112" max="112" width="10.33203125" bestFit="1" customWidth="1"/>
    <col min="113" max="113" width="13.21875" bestFit="1" customWidth="1"/>
    <col min="114" max="114" width="10.33203125" bestFit="1" customWidth="1"/>
    <col min="115" max="115" width="13.21875" bestFit="1" customWidth="1"/>
    <col min="116" max="116" width="10.33203125" bestFit="1" customWidth="1"/>
    <col min="117" max="117" width="13.21875" bestFit="1" customWidth="1"/>
    <col min="118" max="118" width="10.33203125" bestFit="1" customWidth="1"/>
    <col min="119" max="119" width="13.21875" bestFit="1" customWidth="1"/>
    <col min="120" max="120" width="10.33203125" bestFit="1" customWidth="1"/>
    <col min="121" max="121" width="13.21875" bestFit="1" customWidth="1"/>
    <col min="122" max="122" width="10.33203125" bestFit="1" customWidth="1"/>
    <col min="123" max="123" width="13.21875" bestFit="1" customWidth="1"/>
    <col min="124" max="124" width="10.33203125" bestFit="1" customWidth="1"/>
    <col min="125" max="125" width="13.21875" bestFit="1" customWidth="1"/>
    <col min="126" max="126" width="10.33203125" bestFit="1" customWidth="1"/>
    <col min="127" max="127" width="13.21875" bestFit="1" customWidth="1"/>
    <col min="128" max="128" width="10.33203125" bestFit="1" customWidth="1"/>
    <col min="129" max="129" width="13.21875" bestFit="1" customWidth="1"/>
    <col min="130" max="130" width="10.33203125" bestFit="1" customWidth="1"/>
    <col min="131" max="131" width="13.21875" bestFit="1" customWidth="1"/>
    <col min="132" max="132" width="10.33203125" bestFit="1" customWidth="1"/>
    <col min="133" max="133" width="13.21875" bestFit="1" customWidth="1"/>
    <col min="134" max="134" width="10.33203125" bestFit="1" customWidth="1"/>
    <col min="135" max="135" width="13.21875" bestFit="1" customWidth="1"/>
    <col min="136" max="136" width="10.33203125" bestFit="1" customWidth="1"/>
    <col min="137" max="137" width="13.21875" bestFit="1" customWidth="1"/>
    <col min="138" max="138" width="10.33203125" bestFit="1" customWidth="1"/>
    <col min="139" max="139" width="13.21875" bestFit="1" customWidth="1"/>
    <col min="140" max="140" width="10.33203125" bestFit="1" customWidth="1"/>
    <col min="141" max="141" width="13.21875" bestFit="1" customWidth="1"/>
    <col min="142" max="142" width="10.33203125" bestFit="1" customWidth="1"/>
    <col min="143" max="143" width="13.21875" bestFit="1" customWidth="1"/>
    <col min="144" max="144" width="10.33203125" bestFit="1" customWidth="1"/>
    <col min="145" max="145" width="13.21875" bestFit="1" customWidth="1"/>
    <col min="146" max="146" width="10.33203125" bestFit="1" customWidth="1"/>
    <col min="147" max="147" width="13.21875" bestFit="1" customWidth="1"/>
    <col min="148" max="148" width="10.33203125" bestFit="1" customWidth="1"/>
    <col min="149" max="149" width="13.21875" bestFit="1" customWidth="1"/>
    <col min="150" max="150" width="10.33203125" bestFit="1" customWidth="1"/>
    <col min="151" max="151" width="13.21875" bestFit="1" customWidth="1"/>
    <col min="152" max="152" width="10.33203125" bestFit="1" customWidth="1"/>
    <col min="153" max="153" width="13.21875" bestFit="1" customWidth="1"/>
    <col min="154" max="154" width="10.33203125" bestFit="1" customWidth="1"/>
    <col min="155" max="155" width="13.21875" bestFit="1" customWidth="1"/>
    <col min="156" max="156" width="10.33203125" bestFit="1" customWidth="1"/>
    <col min="157" max="157" width="13.21875" bestFit="1" customWidth="1"/>
    <col min="158" max="158" width="10.33203125" bestFit="1" customWidth="1"/>
    <col min="159" max="159" width="13.21875" bestFit="1" customWidth="1"/>
    <col min="160" max="160" width="10.33203125" bestFit="1" customWidth="1"/>
    <col min="161" max="161" width="13.21875" bestFit="1" customWidth="1"/>
    <col min="162" max="162" width="10.33203125" bestFit="1" customWidth="1"/>
    <col min="163" max="163" width="13.21875" bestFit="1" customWidth="1"/>
    <col min="164" max="164" width="10.33203125" bestFit="1" customWidth="1"/>
    <col min="165" max="165" width="13.21875" bestFit="1" customWidth="1"/>
    <col min="166" max="166" width="10.33203125" bestFit="1" customWidth="1"/>
    <col min="167" max="167" width="13.21875" bestFit="1" customWidth="1"/>
    <col min="168" max="168" width="10.33203125" bestFit="1" customWidth="1"/>
    <col min="169" max="169" width="13.21875" bestFit="1" customWidth="1"/>
    <col min="170" max="170" width="10.33203125" bestFit="1" customWidth="1"/>
    <col min="171" max="171" width="13.21875" bestFit="1" customWidth="1"/>
    <col min="172" max="172" width="10.33203125" bestFit="1" customWidth="1"/>
    <col min="173" max="173" width="13.21875" bestFit="1" customWidth="1"/>
    <col min="174" max="174" width="10.33203125" bestFit="1" customWidth="1"/>
    <col min="175" max="175" width="13.21875" bestFit="1" customWidth="1"/>
    <col min="176" max="176" width="10.33203125" bestFit="1" customWidth="1"/>
    <col min="177" max="177" width="13.21875" bestFit="1" customWidth="1"/>
    <col min="178" max="178" width="10.33203125" bestFit="1" customWidth="1"/>
    <col min="179" max="179" width="13.21875" bestFit="1" customWidth="1"/>
    <col min="180" max="180" width="10.33203125" bestFit="1" customWidth="1"/>
    <col min="181" max="181" width="13.21875" bestFit="1" customWidth="1"/>
    <col min="182" max="182" width="10.33203125" bestFit="1" customWidth="1"/>
    <col min="183" max="183" width="13.21875" bestFit="1" customWidth="1"/>
    <col min="184" max="184" width="10.33203125" bestFit="1" customWidth="1"/>
    <col min="185" max="185" width="13.21875" bestFit="1" customWidth="1"/>
    <col min="186" max="186" width="10.33203125" bestFit="1" customWidth="1"/>
    <col min="187" max="187" width="13.21875" bestFit="1" customWidth="1"/>
    <col min="188" max="188" width="10.33203125" bestFit="1" customWidth="1"/>
    <col min="189" max="189" width="13.21875" bestFit="1" customWidth="1"/>
    <col min="190" max="190" width="10.33203125" bestFit="1" customWidth="1"/>
    <col min="191" max="191" width="13.21875" bestFit="1" customWidth="1"/>
    <col min="192" max="192" width="10.33203125" bestFit="1" customWidth="1"/>
    <col min="193" max="193" width="13.21875" bestFit="1" customWidth="1"/>
    <col min="194" max="194" width="10.33203125" bestFit="1" customWidth="1"/>
    <col min="195" max="195" width="13.21875" bestFit="1" customWidth="1"/>
    <col min="196" max="196" width="10.33203125" bestFit="1" customWidth="1"/>
    <col min="197" max="197" width="13.21875" bestFit="1" customWidth="1"/>
    <col min="198" max="198" width="10.33203125" bestFit="1" customWidth="1"/>
    <col min="199" max="199" width="13.21875" bestFit="1" customWidth="1"/>
    <col min="200" max="200" width="10.33203125" bestFit="1" customWidth="1"/>
    <col min="201" max="201" width="13.21875" bestFit="1" customWidth="1"/>
    <col min="202" max="202" width="10.33203125" bestFit="1" customWidth="1"/>
    <col min="203" max="203" width="13.21875" bestFit="1" customWidth="1"/>
    <col min="204" max="204" width="10.33203125" bestFit="1" customWidth="1"/>
    <col min="205" max="205" width="13.21875" bestFit="1" customWidth="1"/>
    <col min="206" max="206" width="10.33203125" bestFit="1" customWidth="1"/>
    <col min="207" max="207" width="13.21875" bestFit="1" customWidth="1"/>
    <col min="208" max="208" width="10.33203125" bestFit="1" customWidth="1"/>
    <col min="209" max="209" width="13.21875" bestFit="1" customWidth="1"/>
    <col min="210" max="210" width="10.33203125" bestFit="1" customWidth="1"/>
    <col min="211" max="211" width="13.21875" bestFit="1" customWidth="1"/>
    <col min="212" max="212" width="10.33203125" bestFit="1" customWidth="1"/>
    <col min="213" max="213" width="13.21875" bestFit="1" customWidth="1"/>
    <col min="214" max="214" width="10.33203125" bestFit="1" customWidth="1"/>
    <col min="215" max="215" width="13.21875" bestFit="1" customWidth="1"/>
    <col min="216" max="216" width="10.33203125" bestFit="1" customWidth="1"/>
    <col min="217" max="217" width="13.21875" bestFit="1" customWidth="1"/>
    <col min="218" max="218" width="10.33203125" bestFit="1" customWidth="1"/>
    <col min="219" max="219" width="13.21875" bestFit="1" customWidth="1"/>
    <col min="220" max="220" width="10.33203125" bestFit="1" customWidth="1"/>
    <col min="221" max="221" width="13.21875" bestFit="1" customWidth="1"/>
    <col min="222" max="222" width="10.33203125" bestFit="1" customWidth="1"/>
    <col min="223" max="223" width="13.21875" bestFit="1" customWidth="1"/>
    <col min="224" max="224" width="10.33203125" bestFit="1" customWidth="1"/>
    <col min="225" max="225" width="13.21875" bestFit="1" customWidth="1"/>
    <col min="226" max="226" width="10.33203125" bestFit="1" customWidth="1"/>
    <col min="227" max="227" width="13.21875" bestFit="1" customWidth="1"/>
    <col min="228" max="228" width="10.33203125" bestFit="1" customWidth="1"/>
    <col min="229" max="229" width="13.21875" bestFit="1" customWidth="1"/>
    <col min="230" max="230" width="10.33203125" bestFit="1" customWidth="1"/>
    <col min="231" max="231" width="13.21875" bestFit="1" customWidth="1"/>
    <col min="232" max="232" width="10.33203125" bestFit="1" customWidth="1"/>
    <col min="233" max="233" width="13.21875" bestFit="1" customWidth="1"/>
    <col min="234" max="234" width="10.33203125" bestFit="1" customWidth="1"/>
    <col min="235" max="235" width="13.21875" bestFit="1" customWidth="1"/>
    <col min="236" max="236" width="10.33203125" bestFit="1" customWidth="1"/>
    <col min="237" max="237" width="13.21875" bestFit="1" customWidth="1"/>
    <col min="238" max="238" width="10.33203125" bestFit="1" customWidth="1"/>
    <col min="239" max="239" width="13.21875" bestFit="1" customWidth="1"/>
    <col min="240" max="240" width="10.33203125" bestFit="1" customWidth="1"/>
    <col min="241" max="241" width="13.21875" bestFit="1" customWidth="1"/>
    <col min="242" max="242" width="10.33203125" bestFit="1" customWidth="1"/>
    <col min="243" max="243" width="13.21875" bestFit="1" customWidth="1"/>
    <col min="244" max="244" width="10.33203125" bestFit="1" customWidth="1"/>
    <col min="245" max="245" width="13.21875" bestFit="1" customWidth="1"/>
    <col min="246" max="246" width="10.33203125" bestFit="1" customWidth="1"/>
    <col min="247" max="247" width="13.21875" bestFit="1" customWidth="1"/>
    <col min="248" max="248" width="10.33203125" bestFit="1" customWidth="1"/>
    <col min="249" max="249" width="13.21875" bestFit="1" customWidth="1"/>
    <col min="250" max="250" width="10.33203125" bestFit="1" customWidth="1"/>
    <col min="251" max="251" width="13.21875" bestFit="1" customWidth="1"/>
    <col min="252" max="252" width="10.33203125" bestFit="1" customWidth="1"/>
    <col min="253" max="253" width="13.21875" bestFit="1" customWidth="1"/>
    <col min="254" max="254" width="10.33203125" bestFit="1" customWidth="1"/>
    <col min="255" max="255" width="13.21875" bestFit="1" customWidth="1"/>
    <col min="256" max="256" width="10.33203125" bestFit="1" customWidth="1"/>
    <col min="257" max="257" width="13.21875" bestFit="1" customWidth="1"/>
    <col min="258" max="258" width="10.33203125" bestFit="1" customWidth="1"/>
    <col min="259" max="259" width="13.21875" bestFit="1" customWidth="1"/>
    <col min="260" max="260" width="10.33203125" bestFit="1" customWidth="1"/>
    <col min="261" max="261" width="13.21875" bestFit="1" customWidth="1"/>
    <col min="262" max="262" width="10.33203125" bestFit="1" customWidth="1"/>
    <col min="263" max="263" width="13.21875" bestFit="1" customWidth="1"/>
    <col min="264" max="264" width="10.33203125" bestFit="1" customWidth="1"/>
    <col min="265" max="265" width="13.21875" bestFit="1" customWidth="1"/>
    <col min="266" max="266" width="10.33203125" bestFit="1" customWidth="1"/>
    <col min="267" max="267" width="13.21875" bestFit="1" customWidth="1"/>
    <col min="268" max="268" width="10.33203125" bestFit="1" customWidth="1"/>
    <col min="269" max="269" width="13.21875" bestFit="1" customWidth="1"/>
    <col min="270" max="270" width="10.33203125" bestFit="1" customWidth="1"/>
    <col min="271" max="271" width="13.21875" bestFit="1" customWidth="1"/>
    <col min="272" max="272" width="10.33203125" bestFit="1" customWidth="1"/>
    <col min="273" max="273" width="13.21875" bestFit="1" customWidth="1"/>
    <col min="274" max="274" width="10.33203125" bestFit="1" customWidth="1"/>
    <col min="275" max="275" width="13.21875" bestFit="1" customWidth="1"/>
    <col min="276" max="276" width="10.33203125" bestFit="1" customWidth="1"/>
    <col min="277" max="277" width="13.21875" bestFit="1" customWidth="1"/>
    <col min="278" max="278" width="10.33203125" bestFit="1" customWidth="1"/>
    <col min="279" max="279" width="13.21875" bestFit="1" customWidth="1"/>
    <col min="280" max="280" width="10.33203125" bestFit="1" customWidth="1"/>
    <col min="281" max="281" width="13.21875" bestFit="1" customWidth="1"/>
    <col min="282" max="282" width="10.33203125" bestFit="1" customWidth="1"/>
    <col min="283" max="283" width="13.21875" bestFit="1" customWidth="1"/>
    <col min="284" max="284" width="10.33203125" bestFit="1" customWidth="1"/>
    <col min="285" max="285" width="13.21875" bestFit="1" customWidth="1"/>
    <col min="286" max="286" width="10.33203125" bestFit="1" customWidth="1"/>
    <col min="287" max="287" width="13.21875" bestFit="1" customWidth="1"/>
    <col min="288" max="288" width="10.33203125" bestFit="1" customWidth="1"/>
    <col min="289" max="289" width="13.21875" bestFit="1" customWidth="1"/>
    <col min="290" max="290" width="10.33203125" bestFit="1" customWidth="1"/>
    <col min="291" max="291" width="13.21875" bestFit="1" customWidth="1"/>
    <col min="292" max="292" width="10.33203125" bestFit="1" customWidth="1"/>
    <col min="293" max="293" width="13.21875" bestFit="1" customWidth="1"/>
    <col min="294" max="294" width="10.33203125" bestFit="1" customWidth="1"/>
    <col min="295" max="295" width="13.21875" bestFit="1" customWidth="1"/>
    <col min="296" max="296" width="10.33203125" bestFit="1" customWidth="1"/>
    <col min="297" max="297" width="13.21875" bestFit="1" customWidth="1"/>
    <col min="298" max="298" width="10.33203125" bestFit="1" customWidth="1"/>
    <col min="299" max="299" width="13.21875" bestFit="1" customWidth="1"/>
    <col min="300" max="300" width="10.33203125" bestFit="1" customWidth="1"/>
    <col min="301" max="301" width="13.21875" bestFit="1" customWidth="1"/>
    <col min="302" max="302" width="10.33203125" bestFit="1" customWidth="1"/>
    <col min="303" max="303" width="13.21875" bestFit="1" customWidth="1"/>
    <col min="304" max="304" width="10.33203125" bestFit="1" customWidth="1"/>
    <col min="305" max="305" width="13.21875" bestFit="1" customWidth="1"/>
    <col min="306" max="306" width="10.33203125" bestFit="1" customWidth="1"/>
    <col min="307" max="307" width="13.21875" bestFit="1" customWidth="1"/>
    <col min="308" max="308" width="10.33203125" bestFit="1" customWidth="1"/>
    <col min="309" max="309" width="13.21875" bestFit="1" customWidth="1"/>
    <col min="310" max="310" width="10.33203125" bestFit="1" customWidth="1"/>
    <col min="311" max="311" width="13.21875" bestFit="1" customWidth="1"/>
    <col min="312" max="312" width="10.33203125" bestFit="1" customWidth="1"/>
    <col min="313" max="313" width="13.21875" bestFit="1" customWidth="1"/>
    <col min="314" max="314" width="10.33203125" bestFit="1" customWidth="1"/>
    <col min="315" max="315" width="13.21875" bestFit="1" customWidth="1"/>
    <col min="316" max="316" width="10.33203125" bestFit="1" customWidth="1"/>
    <col min="317" max="317" width="13.21875" bestFit="1" customWidth="1"/>
    <col min="318" max="318" width="10.33203125" bestFit="1" customWidth="1"/>
    <col min="319" max="319" width="13.21875" bestFit="1" customWidth="1"/>
    <col min="320" max="320" width="10.33203125" bestFit="1" customWidth="1"/>
    <col min="321" max="321" width="13.21875" bestFit="1" customWidth="1"/>
    <col min="322" max="322" width="10.33203125" bestFit="1" customWidth="1"/>
    <col min="323" max="323" width="13.21875" bestFit="1" customWidth="1"/>
    <col min="324" max="324" width="10.33203125" bestFit="1" customWidth="1"/>
    <col min="325" max="325" width="13.21875" bestFit="1" customWidth="1"/>
    <col min="326" max="326" width="10.33203125" bestFit="1" customWidth="1"/>
    <col min="327" max="327" width="13.21875" bestFit="1" customWidth="1"/>
    <col min="328" max="328" width="10.33203125" bestFit="1" customWidth="1"/>
    <col min="329" max="329" width="13.21875" bestFit="1" customWidth="1"/>
    <col min="330" max="330" width="10.33203125" bestFit="1" customWidth="1"/>
    <col min="331" max="331" width="13.21875" bestFit="1" customWidth="1"/>
    <col min="332" max="332" width="10.33203125" bestFit="1" customWidth="1"/>
    <col min="333" max="333" width="13.21875" bestFit="1" customWidth="1"/>
    <col min="334" max="334" width="10.33203125" bestFit="1" customWidth="1"/>
    <col min="335" max="335" width="13.21875" bestFit="1" customWidth="1"/>
    <col min="336" max="336" width="10.33203125" bestFit="1" customWidth="1"/>
    <col min="337" max="337" width="13.21875" bestFit="1" customWidth="1"/>
    <col min="338" max="338" width="10.33203125" bestFit="1" customWidth="1"/>
    <col min="339" max="339" width="13.21875" bestFit="1" customWidth="1"/>
    <col min="340" max="340" width="10.33203125" bestFit="1" customWidth="1"/>
    <col min="341" max="341" width="13.21875" bestFit="1" customWidth="1"/>
    <col min="342" max="342" width="10.33203125" bestFit="1" customWidth="1"/>
    <col min="343" max="343" width="13.21875" bestFit="1" customWidth="1"/>
    <col min="344" max="344" width="10.33203125" bestFit="1" customWidth="1"/>
    <col min="345" max="345" width="13.21875" bestFit="1" customWidth="1"/>
    <col min="346" max="346" width="10.33203125" bestFit="1" customWidth="1"/>
    <col min="347" max="347" width="13.21875" bestFit="1" customWidth="1"/>
    <col min="348" max="348" width="10.33203125" bestFit="1" customWidth="1"/>
    <col min="349" max="349" width="13.21875" bestFit="1" customWidth="1"/>
    <col min="350" max="350" width="10.33203125" bestFit="1" customWidth="1"/>
    <col min="351" max="351" width="13.21875" bestFit="1" customWidth="1"/>
    <col min="352" max="352" width="10.33203125" bestFit="1" customWidth="1"/>
    <col min="353" max="353" width="13.21875" bestFit="1" customWidth="1"/>
    <col min="354" max="354" width="10.33203125" bestFit="1" customWidth="1"/>
    <col min="355" max="355" width="13.21875" bestFit="1" customWidth="1"/>
    <col min="356" max="356" width="10.33203125" bestFit="1" customWidth="1"/>
    <col min="357" max="357" width="13.21875" bestFit="1" customWidth="1"/>
    <col min="358" max="358" width="10.33203125" bestFit="1" customWidth="1"/>
    <col min="359" max="359" width="13.21875" bestFit="1" customWidth="1"/>
    <col min="360" max="360" width="10.33203125" bestFit="1" customWidth="1"/>
    <col min="361" max="361" width="13.21875" bestFit="1" customWidth="1"/>
    <col min="362" max="362" width="10.33203125" bestFit="1" customWidth="1"/>
    <col min="363" max="363" width="13.21875" bestFit="1" customWidth="1"/>
    <col min="364" max="364" width="10.33203125" bestFit="1" customWidth="1"/>
    <col min="365" max="365" width="13.21875" bestFit="1" customWidth="1"/>
    <col min="366" max="366" width="10.33203125" bestFit="1" customWidth="1"/>
    <col min="367" max="367" width="13.21875" bestFit="1" customWidth="1"/>
    <col min="368" max="368" width="10.33203125" bestFit="1" customWidth="1"/>
    <col min="369" max="369" width="13.21875" bestFit="1" customWidth="1"/>
    <col min="370" max="370" width="10.33203125" bestFit="1" customWidth="1"/>
    <col min="371" max="371" width="13.21875" bestFit="1" customWidth="1"/>
    <col min="372" max="372" width="10.33203125" bestFit="1" customWidth="1"/>
    <col min="373" max="373" width="13.21875" bestFit="1" customWidth="1"/>
    <col min="374" max="374" width="10.33203125" bestFit="1" customWidth="1"/>
    <col min="375" max="375" width="13.21875" bestFit="1" customWidth="1"/>
    <col min="376" max="376" width="10.33203125" bestFit="1" customWidth="1"/>
    <col min="377" max="377" width="13.21875" bestFit="1" customWidth="1"/>
    <col min="378" max="378" width="10.33203125" bestFit="1" customWidth="1"/>
    <col min="379" max="379" width="13.21875" bestFit="1" customWidth="1"/>
    <col min="380" max="380" width="10.33203125" bestFit="1" customWidth="1"/>
    <col min="381" max="381" width="13.21875" bestFit="1" customWidth="1"/>
    <col min="382" max="382" width="10.33203125" bestFit="1" customWidth="1"/>
    <col min="383" max="383" width="13.21875" bestFit="1" customWidth="1"/>
    <col min="384" max="384" width="10.33203125" bestFit="1" customWidth="1"/>
    <col min="385" max="385" width="13.21875" bestFit="1" customWidth="1"/>
    <col min="386" max="386" width="10.33203125" bestFit="1" customWidth="1"/>
    <col min="387" max="387" width="13.21875" bestFit="1" customWidth="1"/>
    <col min="388" max="388" width="10.33203125" bestFit="1" customWidth="1"/>
    <col min="389" max="389" width="13.21875" bestFit="1" customWidth="1"/>
    <col min="390" max="390" width="10.33203125" bestFit="1" customWidth="1"/>
    <col min="391" max="391" width="13.21875" bestFit="1" customWidth="1"/>
    <col min="392" max="392" width="10.33203125" bestFit="1" customWidth="1"/>
    <col min="393" max="393" width="13.21875" bestFit="1" customWidth="1"/>
    <col min="394" max="394" width="10.33203125" bestFit="1" customWidth="1"/>
    <col min="395" max="395" width="13.21875" bestFit="1" customWidth="1"/>
    <col min="396" max="396" width="10.33203125" bestFit="1" customWidth="1"/>
    <col min="397" max="397" width="13.21875" bestFit="1" customWidth="1"/>
    <col min="398" max="398" width="10.33203125" bestFit="1" customWidth="1"/>
    <col min="399" max="399" width="13.21875" bestFit="1" customWidth="1"/>
    <col min="400" max="400" width="10.33203125" bestFit="1" customWidth="1"/>
    <col min="401" max="401" width="13.21875" bestFit="1" customWidth="1"/>
    <col min="402" max="402" width="10.33203125" bestFit="1" customWidth="1"/>
    <col min="403" max="403" width="13.21875" bestFit="1" customWidth="1"/>
    <col min="404" max="404" width="10.33203125" bestFit="1" customWidth="1"/>
    <col min="405" max="405" width="13.21875" bestFit="1" customWidth="1"/>
    <col min="406" max="406" width="10.33203125" bestFit="1" customWidth="1"/>
    <col min="407" max="407" width="13.21875" bestFit="1" customWidth="1"/>
    <col min="408" max="408" width="10.33203125" bestFit="1" customWidth="1"/>
    <col min="409" max="409" width="13.21875" bestFit="1" customWidth="1"/>
    <col min="410" max="410" width="10.33203125" bestFit="1" customWidth="1"/>
    <col min="411" max="411" width="13.21875" bestFit="1" customWidth="1"/>
    <col min="412" max="412" width="10.33203125" bestFit="1" customWidth="1"/>
    <col min="413" max="413" width="13.21875" bestFit="1" customWidth="1"/>
    <col min="414" max="414" width="10.33203125" bestFit="1" customWidth="1"/>
    <col min="415" max="415" width="13.21875" bestFit="1" customWidth="1"/>
    <col min="416" max="416" width="10.33203125" bestFit="1" customWidth="1"/>
    <col min="417" max="417" width="13.21875" bestFit="1" customWidth="1"/>
    <col min="418" max="418" width="10.33203125" bestFit="1" customWidth="1"/>
    <col min="419" max="419" width="13.21875" bestFit="1" customWidth="1"/>
    <col min="420" max="420" width="10.33203125" bestFit="1" customWidth="1"/>
    <col min="421" max="421" width="13.21875" bestFit="1" customWidth="1"/>
    <col min="422" max="422" width="10.33203125" bestFit="1" customWidth="1"/>
    <col min="423" max="423" width="13.21875" bestFit="1" customWidth="1"/>
    <col min="424" max="424" width="10.33203125" bestFit="1" customWidth="1"/>
    <col min="425" max="425" width="13.21875" bestFit="1" customWidth="1"/>
    <col min="426" max="426" width="10.33203125" bestFit="1" customWidth="1"/>
    <col min="427" max="427" width="13.21875" bestFit="1" customWidth="1"/>
    <col min="428" max="428" width="10.33203125" bestFit="1" customWidth="1"/>
    <col min="429" max="429" width="13.21875" bestFit="1" customWidth="1"/>
    <col min="430" max="430" width="10.33203125" bestFit="1" customWidth="1"/>
    <col min="431" max="431" width="13.21875" bestFit="1" customWidth="1"/>
    <col min="432" max="432" width="10.33203125" bestFit="1" customWidth="1"/>
    <col min="433" max="433" width="13.21875" bestFit="1" customWidth="1"/>
    <col min="434" max="434" width="10.33203125" bestFit="1" customWidth="1"/>
    <col min="435" max="435" width="13.21875" bestFit="1" customWidth="1"/>
    <col min="436" max="436" width="10.33203125" bestFit="1" customWidth="1"/>
    <col min="437" max="437" width="13.21875" bestFit="1" customWidth="1"/>
    <col min="438" max="438" width="10.33203125" bestFit="1" customWidth="1"/>
    <col min="439" max="439" width="13.21875" bestFit="1" customWidth="1"/>
    <col min="440" max="440" width="10.33203125" bestFit="1" customWidth="1"/>
    <col min="441" max="441" width="13.21875" bestFit="1" customWidth="1"/>
    <col min="442" max="442" width="10.33203125" bestFit="1" customWidth="1"/>
    <col min="443" max="443" width="13.21875" bestFit="1" customWidth="1"/>
    <col min="444" max="444" width="10.33203125" bestFit="1" customWidth="1"/>
    <col min="445" max="445" width="13.21875" bestFit="1" customWidth="1"/>
    <col min="446" max="446" width="10.33203125" bestFit="1" customWidth="1"/>
    <col min="447" max="447" width="13.21875" bestFit="1" customWidth="1"/>
    <col min="448" max="448" width="10.33203125" bestFit="1" customWidth="1"/>
    <col min="449" max="449" width="13.21875" bestFit="1" customWidth="1"/>
    <col min="450" max="450" width="10.33203125" bestFit="1" customWidth="1"/>
    <col min="451" max="451" width="13.21875" bestFit="1" customWidth="1"/>
    <col min="452" max="452" width="10.33203125" bestFit="1" customWidth="1"/>
    <col min="453" max="453" width="13.21875" bestFit="1" customWidth="1"/>
    <col min="454" max="454" width="10.33203125" bestFit="1" customWidth="1"/>
    <col min="455" max="455" width="13.21875" bestFit="1" customWidth="1"/>
    <col min="456" max="456" width="10.33203125" bestFit="1" customWidth="1"/>
    <col min="457" max="457" width="13.21875" bestFit="1" customWidth="1"/>
    <col min="458" max="458" width="10.33203125" bestFit="1" customWidth="1"/>
    <col min="459" max="459" width="13.21875" bestFit="1" customWidth="1"/>
    <col min="460" max="460" width="10.33203125" bestFit="1" customWidth="1"/>
    <col min="461" max="461" width="13.21875" bestFit="1" customWidth="1"/>
    <col min="462" max="462" width="10.33203125" bestFit="1" customWidth="1"/>
    <col min="463" max="463" width="13.21875" bestFit="1" customWidth="1"/>
    <col min="464" max="464" width="10.33203125" bestFit="1" customWidth="1"/>
    <col min="465" max="465" width="13.21875" bestFit="1" customWidth="1"/>
    <col min="466" max="466" width="10.33203125" bestFit="1" customWidth="1"/>
    <col min="467" max="467" width="13.21875" bestFit="1" customWidth="1"/>
    <col min="468" max="468" width="10.33203125" bestFit="1" customWidth="1"/>
    <col min="469" max="469" width="13.21875" bestFit="1" customWidth="1"/>
    <col min="470" max="470" width="10.33203125" bestFit="1" customWidth="1"/>
    <col min="471" max="471" width="13.21875" bestFit="1" customWidth="1"/>
    <col min="472" max="472" width="10.33203125" bestFit="1" customWidth="1"/>
    <col min="473" max="473" width="13.21875" bestFit="1" customWidth="1"/>
    <col min="474" max="474" width="10.33203125" bestFit="1" customWidth="1"/>
    <col min="475" max="475" width="13.21875" bestFit="1" customWidth="1"/>
    <col min="476" max="476" width="10.33203125" bestFit="1" customWidth="1"/>
    <col min="477" max="477" width="13.21875" bestFit="1" customWidth="1"/>
    <col min="478" max="478" width="10.33203125" bestFit="1" customWidth="1"/>
    <col min="479" max="479" width="13.21875" bestFit="1" customWidth="1"/>
    <col min="480" max="480" width="10.33203125" bestFit="1" customWidth="1"/>
    <col min="481" max="481" width="13.21875" bestFit="1" customWidth="1"/>
    <col min="482" max="482" width="10.33203125" bestFit="1" customWidth="1"/>
    <col min="483" max="483" width="13.21875" bestFit="1" customWidth="1"/>
    <col min="484" max="484" width="10.33203125" bestFit="1" customWidth="1"/>
    <col min="485" max="485" width="13.21875" bestFit="1" customWidth="1"/>
    <col min="486" max="486" width="10.33203125" bestFit="1" customWidth="1"/>
    <col min="487" max="487" width="13.21875" bestFit="1" customWidth="1"/>
    <col min="488" max="488" width="10.33203125" bestFit="1" customWidth="1"/>
    <col min="489" max="489" width="13.21875" bestFit="1" customWidth="1"/>
    <col min="490" max="490" width="10.33203125" bestFit="1" customWidth="1"/>
    <col min="491" max="491" width="13.21875" bestFit="1" customWidth="1"/>
    <col min="492" max="492" width="10.33203125" bestFit="1" customWidth="1"/>
    <col min="493" max="493" width="13.21875" bestFit="1" customWidth="1"/>
    <col min="494" max="494" width="10.33203125" bestFit="1" customWidth="1"/>
    <col min="495" max="495" width="13.21875" bestFit="1" customWidth="1"/>
    <col min="496" max="496" width="10.33203125" bestFit="1" customWidth="1"/>
    <col min="497" max="497" width="13.21875" bestFit="1" customWidth="1"/>
    <col min="498" max="498" width="10.33203125" bestFit="1" customWidth="1"/>
    <col min="499" max="499" width="13.21875" bestFit="1" customWidth="1"/>
    <col min="500" max="500" width="10.33203125" bestFit="1" customWidth="1"/>
    <col min="501" max="501" width="13.21875" bestFit="1" customWidth="1"/>
    <col min="502" max="502" width="10.33203125" bestFit="1" customWidth="1"/>
    <col min="503" max="503" width="13.21875" bestFit="1" customWidth="1"/>
    <col min="504" max="504" width="10.33203125" bestFit="1" customWidth="1"/>
    <col min="505" max="505" width="13.21875" bestFit="1" customWidth="1"/>
    <col min="506" max="506" width="10.33203125" bestFit="1" customWidth="1"/>
    <col min="507" max="507" width="13.21875" bestFit="1" customWidth="1"/>
    <col min="508" max="508" width="10.33203125" bestFit="1" customWidth="1"/>
    <col min="509" max="509" width="13.21875" bestFit="1" customWidth="1"/>
    <col min="510" max="510" width="10.33203125" bestFit="1" customWidth="1"/>
    <col min="511" max="511" width="13.21875" bestFit="1" customWidth="1"/>
    <col min="512" max="512" width="10.33203125" bestFit="1" customWidth="1"/>
    <col min="513" max="513" width="13.21875" bestFit="1" customWidth="1"/>
    <col min="514" max="514" width="10.33203125" bestFit="1" customWidth="1"/>
    <col min="515" max="515" width="13.21875" bestFit="1" customWidth="1"/>
    <col min="516" max="516" width="10.33203125" bestFit="1" customWidth="1"/>
    <col min="517" max="517" width="13.21875" bestFit="1" customWidth="1"/>
    <col min="518" max="518" width="10.33203125" bestFit="1" customWidth="1"/>
    <col min="519" max="519" width="13.21875" bestFit="1" customWidth="1"/>
    <col min="520" max="520" width="10.33203125" bestFit="1" customWidth="1"/>
    <col min="521" max="521" width="13.21875" bestFit="1" customWidth="1"/>
    <col min="522" max="522" width="10.33203125" bestFit="1" customWidth="1"/>
    <col min="523" max="523" width="13.21875" bestFit="1" customWidth="1"/>
    <col min="524" max="524" width="10.33203125" bestFit="1" customWidth="1"/>
    <col min="525" max="525" width="13.21875" bestFit="1" customWidth="1"/>
    <col min="526" max="526" width="10.33203125" bestFit="1" customWidth="1"/>
    <col min="527" max="527" width="13.21875" bestFit="1" customWidth="1"/>
    <col min="528" max="528" width="10.33203125" bestFit="1" customWidth="1"/>
    <col min="529" max="529" width="13.21875" bestFit="1" customWidth="1"/>
    <col min="530" max="530" width="10.33203125" bestFit="1" customWidth="1"/>
    <col min="531" max="531" width="13.21875" bestFit="1" customWidth="1"/>
    <col min="532" max="532" width="10.33203125" bestFit="1" customWidth="1"/>
    <col min="533" max="533" width="13.21875" bestFit="1" customWidth="1"/>
    <col min="534" max="534" width="10.33203125" bestFit="1" customWidth="1"/>
    <col min="535" max="535" width="13.21875" bestFit="1" customWidth="1"/>
    <col min="536" max="536" width="10.33203125" bestFit="1" customWidth="1"/>
    <col min="537" max="537" width="13.21875" bestFit="1" customWidth="1"/>
    <col min="538" max="538" width="10.33203125" bestFit="1" customWidth="1"/>
    <col min="539" max="539" width="13.21875" bestFit="1" customWidth="1"/>
    <col min="540" max="540" width="10.33203125" bestFit="1" customWidth="1"/>
    <col min="541" max="541" width="13.21875" bestFit="1" customWidth="1"/>
    <col min="542" max="542" width="10.33203125" bestFit="1" customWidth="1"/>
    <col min="543" max="543" width="13.21875" bestFit="1" customWidth="1"/>
    <col min="544" max="544" width="10.33203125" bestFit="1" customWidth="1"/>
    <col min="545" max="545" width="13.21875" bestFit="1" customWidth="1"/>
    <col min="546" max="546" width="10.33203125" bestFit="1" customWidth="1"/>
    <col min="547" max="547" width="13.21875" bestFit="1" customWidth="1"/>
    <col min="548" max="548" width="10.33203125" bestFit="1" customWidth="1"/>
    <col min="549" max="549" width="13.21875" bestFit="1" customWidth="1"/>
    <col min="550" max="550" width="10.33203125" bestFit="1" customWidth="1"/>
    <col min="551" max="551" width="13.21875" bestFit="1" customWidth="1"/>
    <col min="552" max="552" width="10.33203125" bestFit="1" customWidth="1"/>
    <col min="553" max="553" width="13.21875" bestFit="1" customWidth="1"/>
    <col min="554" max="554" width="10.33203125" bestFit="1" customWidth="1"/>
    <col min="555" max="555" width="13.21875" bestFit="1" customWidth="1"/>
    <col min="556" max="556" width="10.33203125" bestFit="1" customWidth="1"/>
    <col min="557" max="557" width="13.21875" bestFit="1" customWidth="1"/>
    <col min="558" max="558" width="10.33203125" bestFit="1" customWidth="1"/>
    <col min="559" max="559" width="13.21875" bestFit="1" customWidth="1"/>
    <col min="560" max="560" width="10.33203125" bestFit="1" customWidth="1"/>
    <col min="561" max="561" width="13.21875" bestFit="1" customWidth="1"/>
    <col min="562" max="562" width="10.33203125" bestFit="1" customWidth="1"/>
    <col min="563" max="563" width="13.21875" bestFit="1" customWidth="1"/>
    <col min="564" max="564" width="10.33203125" bestFit="1" customWidth="1"/>
    <col min="565" max="565" width="13.21875" bestFit="1" customWidth="1"/>
    <col min="566" max="566" width="10.33203125" bestFit="1" customWidth="1"/>
    <col min="567" max="567" width="13.21875" bestFit="1" customWidth="1"/>
    <col min="568" max="568" width="10.33203125" bestFit="1" customWidth="1"/>
    <col min="569" max="569" width="13.21875" bestFit="1" customWidth="1"/>
    <col min="570" max="570" width="10.33203125" bestFit="1" customWidth="1"/>
    <col min="571" max="571" width="13.21875" bestFit="1" customWidth="1"/>
    <col min="572" max="572" width="10.33203125" bestFit="1" customWidth="1"/>
    <col min="573" max="573" width="13.21875" bestFit="1" customWidth="1"/>
    <col min="574" max="574" width="10.33203125" bestFit="1" customWidth="1"/>
    <col min="575" max="575" width="13.21875" bestFit="1" customWidth="1"/>
    <col min="576" max="576" width="10.33203125" bestFit="1" customWidth="1"/>
    <col min="577" max="577" width="13.21875" bestFit="1" customWidth="1"/>
    <col min="578" max="578" width="10.33203125" bestFit="1" customWidth="1"/>
    <col min="579" max="579" width="13.21875" bestFit="1" customWidth="1"/>
    <col min="580" max="580" width="10.33203125" bestFit="1" customWidth="1"/>
    <col min="581" max="581" width="13.21875" bestFit="1" customWidth="1"/>
    <col min="582" max="582" width="10.33203125" bestFit="1" customWidth="1"/>
    <col min="583" max="583" width="13.21875" bestFit="1" customWidth="1"/>
    <col min="584" max="584" width="10.33203125" bestFit="1" customWidth="1"/>
    <col min="585" max="585" width="13.21875" bestFit="1" customWidth="1"/>
    <col min="586" max="586" width="10.33203125" bestFit="1" customWidth="1"/>
    <col min="587" max="587" width="13.21875" bestFit="1" customWidth="1"/>
    <col min="588" max="588" width="10.33203125" bestFit="1" customWidth="1"/>
    <col min="589" max="589" width="13.21875" bestFit="1" customWidth="1"/>
    <col min="590" max="590" width="10.33203125" bestFit="1" customWidth="1"/>
    <col min="591" max="591" width="13.21875" bestFit="1" customWidth="1"/>
    <col min="592" max="592" width="10.33203125" bestFit="1" customWidth="1"/>
    <col min="593" max="593" width="13.21875" bestFit="1" customWidth="1"/>
    <col min="594" max="594" width="10.33203125" bestFit="1" customWidth="1"/>
    <col min="595" max="595" width="13.21875" bestFit="1" customWidth="1"/>
    <col min="596" max="596" width="10.33203125" bestFit="1" customWidth="1"/>
    <col min="597" max="597" width="13.21875" bestFit="1" customWidth="1"/>
    <col min="598" max="598" width="10.33203125" bestFit="1" customWidth="1"/>
    <col min="599" max="599" width="13.21875" bestFit="1" customWidth="1"/>
    <col min="600" max="600" width="10.33203125" bestFit="1" customWidth="1"/>
    <col min="601" max="601" width="13.21875" bestFit="1" customWidth="1"/>
    <col min="602" max="602" width="10.33203125" bestFit="1" customWidth="1"/>
    <col min="603" max="603" width="13.21875" bestFit="1" customWidth="1"/>
    <col min="604" max="604" width="10.33203125" bestFit="1" customWidth="1"/>
    <col min="605" max="605" width="13.21875" bestFit="1" customWidth="1"/>
    <col min="606" max="606" width="10.33203125" bestFit="1" customWidth="1"/>
    <col min="607" max="607" width="13.21875" bestFit="1" customWidth="1"/>
    <col min="608" max="608" width="10.33203125" bestFit="1" customWidth="1"/>
    <col min="609" max="609" width="13.21875" bestFit="1" customWidth="1"/>
    <col min="610" max="610" width="10.33203125" bestFit="1" customWidth="1"/>
    <col min="611" max="611" width="13.21875" bestFit="1" customWidth="1"/>
    <col min="612" max="612" width="10.33203125" bestFit="1" customWidth="1"/>
    <col min="613" max="613" width="13.21875" bestFit="1" customWidth="1"/>
    <col min="614" max="614" width="10.33203125" bestFit="1" customWidth="1"/>
    <col min="615" max="615" width="13.21875" bestFit="1" customWidth="1"/>
    <col min="616" max="616" width="10.33203125" bestFit="1" customWidth="1"/>
    <col min="617" max="617" width="13.21875" bestFit="1" customWidth="1"/>
    <col min="618" max="618" width="10.33203125" bestFit="1" customWidth="1"/>
    <col min="619" max="619" width="13.21875" bestFit="1" customWidth="1"/>
    <col min="620" max="620" width="10.33203125" bestFit="1" customWidth="1"/>
    <col min="621" max="621" width="13.21875" bestFit="1" customWidth="1"/>
    <col min="622" max="622" width="10.33203125" bestFit="1" customWidth="1"/>
    <col min="623" max="623" width="13.21875" bestFit="1" customWidth="1"/>
    <col min="624" max="624" width="10.33203125" bestFit="1" customWidth="1"/>
    <col min="625" max="625" width="13.21875" bestFit="1" customWidth="1"/>
    <col min="626" max="626" width="10.33203125" bestFit="1" customWidth="1"/>
    <col min="627" max="627" width="13.21875" bestFit="1" customWidth="1"/>
    <col min="628" max="628" width="10.33203125" bestFit="1" customWidth="1"/>
    <col min="629" max="629" width="13.21875" bestFit="1" customWidth="1"/>
    <col min="630" max="630" width="10.33203125" bestFit="1" customWidth="1"/>
    <col min="631" max="631" width="13.21875" bestFit="1" customWidth="1"/>
    <col min="632" max="632" width="10.33203125" bestFit="1" customWidth="1"/>
    <col min="633" max="633" width="13.21875" bestFit="1" customWidth="1"/>
    <col min="634" max="634" width="10.33203125" bestFit="1" customWidth="1"/>
    <col min="635" max="635" width="13.21875" bestFit="1" customWidth="1"/>
    <col min="636" max="636" width="10.33203125" bestFit="1" customWidth="1"/>
    <col min="637" max="637" width="13.21875" bestFit="1" customWidth="1"/>
    <col min="638" max="638" width="10.33203125" bestFit="1" customWidth="1"/>
    <col min="639" max="639" width="13.21875" bestFit="1" customWidth="1"/>
    <col min="640" max="640" width="10.33203125" bestFit="1" customWidth="1"/>
    <col min="641" max="641" width="13.21875" bestFit="1" customWidth="1"/>
    <col min="642" max="642" width="10.33203125" bestFit="1" customWidth="1"/>
    <col min="643" max="643" width="13.21875" bestFit="1" customWidth="1"/>
    <col min="644" max="644" width="10.33203125" bestFit="1" customWidth="1"/>
    <col min="645" max="645" width="13.21875" bestFit="1" customWidth="1"/>
    <col min="646" max="646" width="10.33203125" bestFit="1" customWidth="1"/>
    <col min="647" max="647" width="13.21875" bestFit="1" customWidth="1"/>
    <col min="648" max="648" width="10.33203125" bestFit="1" customWidth="1"/>
    <col min="649" max="649" width="13.21875" bestFit="1" customWidth="1"/>
    <col min="650" max="650" width="10.33203125" bestFit="1" customWidth="1"/>
    <col min="651" max="651" width="13.21875" bestFit="1" customWidth="1"/>
    <col min="652" max="652" width="10.33203125" bestFit="1" customWidth="1"/>
    <col min="653" max="653" width="13.21875" bestFit="1" customWidth="1"/>
    <col min="654" max="654" width="10.33203125" bestFit="1" customWidth="1"/>
    <col min="655" max="655" width="13.21875" bestFit="1" customWidth="1"/>
    <col min="656" max="656" width="10.33203125" bestFit="1" customWidth="1"/>
    <col min="657" max="657" width="13.21875" bestFit="1" customWidth="1"/>
    <col min="658" max="658" width="10.33203125" bestFit="1" customWidth="1"/>
    <col min="659" max="659" width="13.21875" bestFit="1" customWidth="1"/>
    <col min="660" max="660" width="10.33203125" bestFit="1" customWidth="1"/>
    <col min="661" max="661" width="13.21875" bestFit="1" customWidth="1"/>
    <col min="662" max="662" width="10.33203125" bestFit="1" customWidth="1"/>
    <col min="663" max="663" width="13.21875" bestFit="1" customWidth="1"/>
    <col min="664" max="664" width="10.33203125" bestFit="1" customWidth="1"/>
    <col min="665" max="665" width="13.21875" bestFit="1" customWidth="1"/>
    <col min="666" max="666" width="10.33203125" bestFit="1" customWidth="1"/>
    <col min="667" max="667" width="13.21875" bestFit="1" customWidth="1"/>
    <col min="668" max="668" width="10.33203125" bestFit="1" customWidth="1"/>
    <col min="669" max="669" width="13.21875" bestFit="1" customWidth="1"/>
    <col min="670" max="670" width="10.33203125" bestFit="1" customWidth="1"/>
    <col min="671" max="671" width="13.21875" bestFit="1" customWidth="1"/>
    <col min="672" max="672" width="10.33203125" bestFit="1" customWidth="1"/>
    <col min="673" max="673" width="13.21875" bestFit="1" customWidth="1"/>
    <col min="674" max="674" width="10.33203125" bestFit="1" customWidth="1"/>
    <col min="675" max="675" width="13.21875" bestFit="1" customWidth="1"/>
    <col min="676" max="676" width="10.33203125" bestFit="1" customWidth="1"/>
    <col min="677" max="677" width="13.21875" bestFit="1" customWidth="1"/>
    <col min="678" max="678" width="10.33203125" bestFit="1" customWidth="1"/>
    <col min="679" max="679" width="13.21875" bestFit="1" customWidth="1"/>
    <col min="680" max="680" width="10.33203125" bestFit="1" customWidth="1"/>
    <col min="681" max="681" width="13.21875" bestFit="1" customWidth="1"/>
    <col min="682" max="682" width="10.33203125" bestFit="1" customWidth="1"/>
    <col min="683" max="683" width="13.21875" bestFit="1" customWidth="1"/>
    <col min="684" max="684" width="10.33203125" bestFit="1" customWidth="1"/>
    <col min="685" max="685" width="13.21875" bestFit="1" customWidth="1"/>
    <col min="686" max="686" width="10.33203125" bestFit="1" customWidth="1"/>
    <col min="687" max="687" width="13.21875" bestFit="1" customWidth="1"/>
    <col min="688" max="688" width="10.33203125" bestFit="1" customWidth="1"/>
    <col min="689" max="689" width="13.21875" bestFit="1" customWidth="1"/>
    <col min="690" max="690" width="10.33203125" bestFit="1" customWidth="1"/>
    <col min="691" max="691" width="13.21875" bestFit="1" customWidth="1"/>
    <col min="692" max="692" width="10.33203125" bestFit="1" customWidth="1"/>
    <col min="693" max="693" width="13.21875" bestFit="1" customWidth="1"/>
    <col min="694" max="694" width="10.33203125" bestFit="1" customWidth="1"/>
    <col min="695" max="695" width="13.21875" bestFit="1" customWidth="1"/>
    <col min="696" max="696" width="10.33203125" bestFit="1" customWidth="1"/>
    <col min="697" max="697" width="13.21875" bestFit="1" customWidth="1"/>
    <col min="698" max="698" width="10.33203125" bestFit="1" customWidth="1"/>
    <col min="699" max="699" width="13.21875" bestFit="1" customWidth="1"/>
    <col min="700" max="700" width="10.33203125" bestFit="1" customWidth="1"/>
    <col min="701" max="701" width="13.21875" bestFit="1" customWidth="1"/>
    <col min="702" max="702" width="10.33203125" bestFit="1" customWidth="1"/>
    <col min="703" max="703" width="13.21875" bestFit="1" customWidth="1"/>
    <col min="704" max="704" width="10.33203125" bestFit="1" customWidth="1"/>
    <col min="705" max="705" width="13.21875" bestFit="1" customWidth="1"/>
    <col min="706" max="706" width="10.33203125" bestFit="1" customWidth="1"/>
    <col min="707" max="707" width="13.21875" bestFit="1" customWidth="1"/>
    <col min="708" max="708" width="10.33203125" bestFit="1" customWidth="1"/>
    <col min="709" max="709" width="13.21875" bestFit="1" customWidth="1"/>
    <col min="710" max="710" width="10.33203125" bestFit="1" customWidth="1"/>
    <col min="711" max="711" width="13.21875" bestFit="1" customWidth="1"/>
    <col min="712" max="712" width="10.33203125" bestFit="1" customWidth="1"/>
    <col min="713" max="713" width="13.21875" bestFit="1" customWidth="1"/>
    <col min="714" max="714" width="10.33203125" bestFit="1" customWidth="1"/>
    <col min="715" max="715" width="13.21875" bestFit="1" customWidth="1"/>
    <col min="716" max="716" width="10.33203125" bestFit="1" customWidth="1"/>
    <col min="717" max="717" width="13.21875" bestFit="1" customWidth="1"/>
    <col min="718" max="718" width="10.33203125" bestFit="1" customWidth="1"/>
    <col min="719" max="719" width="13.21875" bestFit="1" customWidth="1"/>
    <col min="720" max="720" width="10.33203125" bestFit="1" customWidth="1"/>
    <col min="721" max="721" width="13.21875" bestFit="1" customWidth="1"/>
    <col min="722" max="722" width="10.33203125" bestFit="1" customWidth="1"/>
    <col min="723" max="723" width="13.21875" bestFit="1" customWidth="1"/>
    <col min="724" max="724" width="10.33203125" bestFit="1" customWidth="1"/>
    <col min="725" max="725" width="13.21875" bestFit="1" customWidth="1"/>
    <col min="726" max="726" width="10.33203125" bestFit="1" customWidth="1"/>
    <col min="727" max="727" width="13.21875" bestFit="1" customWidth="1"/>
    <col min="728" max="728" width="10.33203125" bestFit="1" customWidth="1"/>
    <col min="729" max="729" width="13.21875" bestFit="1" customWidth="1"/>
    <col min="730" max="730" width="10.33203125" bestFit="1" customWidth="1"/>
    <col min="731" max="731" width="13.21875" bestFit="1" customWidth="1"/>
    <col min="732" max="732" width="10.33203125" bestFit="1" customWidth="1"/>
    <col min="733" max="733" width="13.21875" bestFit="1" customWidth="1"/>
    <col min="734" max="734" width="10.33203125" bestFit="1" customWidth="1"/>
    <col min="735" max="735" width="13.21875" bestFit="1" customWidth="1"/>
    <col min="736" max="736" width="10.33203125" bestFit="1" customWidth="1"/>
    <col min="737" max="737" width="13.21875" bestFit="1" customWidth="1"/>
    <col min="738" max="738" width="10.33203125" bestFit="1" customWidth="1"/>
    <col min="739" max="739" width="13.21875" bestFit="1" customWidth="1"/>
    <col min="740" max="740" width="10.33203125" bestFit="1" customWidth="1"/>
    <col min="741" max="741" width="13.21875" bestFit="1" customWidth="1"/>
    <col min="742" max="742" width="10.33203125" bestFit="1" customWidth="1"/>
    <col min="743" max="743" width="13.21875" bestFit="1" customWidth="1"/>
    <col min="744" max="744" width="10.33203125" bestFit="1" customWidth="1"/>
    <col min="745" max="745" width="13.21875" bestFit="1" customWidth="1"/>
    <col min="746" max="746" width="10.33203125" bestFit="1" customWidth="1"/>
    <col min="747" max="747" width="13.21875" bestFit="1" customWidth="1"/>
    <col min="748" max="748" width="10.33203125" bestFit="1" customWidth="1"/>
    <col min="749" max="749" width="13.21875" bestFit="1" customWidth="1"/>
    <col min="750" max="750" width="10.33203125" bestFit="1" customWidth="1"/>
    <col min="751" max="751" width="13.21875" bestFit="1" customWidth="1"/>
    <col min="752" max="752" width="10.33203125" bestFit="1" customWidth="1"/>
    <col min="753" max="753" width="13.21875" bestFit="1" customWidth="1"/>
    <col min="754" max="754" width="10.33203125" bestFit="1" customWidth="1"/>
    <col min="755" max="755" width="13.21875" bestFit="1" customWidth="1"/>
    <col min="756" max="756" width="10.33203125" bestFit="1" customWidth="1"/>
    <col min="757" max="757" width="13.21875" bestFit="1" customWidth="1"/>
    <col min="758" max="758" width="10.33203125" bestFit="1" customWidth="1"/>
    <col min="759" max="759" width="13.21875" bestFit="1" customWidth="1"/>
    <col min="760" max="760" width="10.33203125" bestFit="1" customWidth="1"/>
    <col min="761" max="761" width="13.21875" bestFit="1" customWidth="1"/>
    <col min="762" max="762" width="10.33203125" bestFit="1" customWidth="1"/>
    <col min="763" max="763" width="13.21875" bestFit="1" customWidth="1"/>
    <col min="764" max="764" width="10.33203125" bestFit="1" customWidth="1"/>
    <col min="765" max="765" width="13.21875" bestFit="1" customWidth="1"/>
    <col min="766" max="766" width="10.33203125" bestFit="1" customWidth="1"/>
    <col min="767" max="767" width="13.21875" bestFit="1" customWidth="1"/>
    <col min="768" max="768" width="10.33203125" bestFit="1" customWidth="1"/>
    <col min="769" max="769" width="13.21875" bestFit="1" customWidth="1"/>
    <col min="770" max="770" width="10.33203125" bestFit="1" customWidth="1"/>
    <col min="771" max="771" width="13.21875" bestFit="1" customWidth="1"/>
    <col min="772" max="772" width="10.33203125" bestFit="1" customWidth="1"/>
    <col min="773" max="773" width="13.21875" bestFit="1" customWidth="1"/>
    <col min="774" max="774" width="10.33203125" bestFit="1" customWidth="1"/>
    <col min="775" max="775" width="13.21875" bestFit="1" customWidth="1"/>
    <col min="776" max="776" width="10.33203125" bestFit="1" customWidth="1"/>
    <col min="777" max="777" width="13.21875" bestFit="1" customWidth="1"/>
    <col min="778" max="778" width="10.33203125" bestFit="1" customWidth="1"/>
    <col min="779" max="779" width="13.21875" bestFit="1" customWidth="1"/>
    <col min="780" max="780" width="10.33203125" bestFit="1" customWidth="1"/>
    <col min="781" max="781" width="13.21875" bestFit="1" customWidth="1"/>
    <col min="782" max="782" width="10.33203125" bestFit="1" customWidth="1"/>
    <col min="783" max="783" width="13.21875" bestFit="1" customWidth="1"/>
    <col min="784" max="784" width="10.33203125" bestFit="1" customWidth="1"/>
    <col min="785" max="785" width="13.21875" bestFit="1" customWidth="1"/>
    <col min="786" max="786" width="10.33203125" bestFit="1" customWidth="1"/>
    <col min="787" max="787" width="13.21875" bestFit="1" customWidth="1"/>
    <col min="788" max="788" width="10.33203125" bestFit="1" customWidth="1"/>
    <col min="789" max="789" width="13.21875" bestFit="1" customWidth="1"/>
    <col min="790" max="790" width="10.33203125" bestFit="1" customWidth="1"/>
    <col min="791" max="791" width="13.21875" bestFit="1" customWidth="1"/>
    <col min="792" max="792" width="10.33203125" bestFit="1" customWidth="1"/>
    <col min="793" max="793" width="13.21875" bestFit="1" customWidth="1"/>
    <col min="794" max="794" width="10.33203125" bestFit="1" customWidth="1"/>
    <col min="795" max="795" width="13.21875" bestFit="1" customWidth="1"/>
    <col min="796" max="796" width="10.33203125" bestFit="1" customWidth="1"/>
    <col min="797" max="797" width="13.21875" bestFit="1" customWidth="1"/>
    <col min="798" max="798" width="10.33203125" bestFit="1" customWidth="1"/>
    <col min="799" max="799" width="13.21875" bestFit="1" customWidth="1"/>
    <col min="800" max="800" width="10.33203125" bestFit="1" customWidth="1"/>
    <col min="801" max="801" width="13.21875" bestFit="1" customWidth="1"/>
    <col min="802" max="802" width="10.33203125" bestFit="1" customWidth="1"/>
    <col min="803" max="803" width="13.21875" bestFit="1" customWidth="1"/>
    <col min="804" max="804" width="10.33203125" bestFit="1" customWidth="1"/>
    <col min="805" max="805" width="13.21875" bestFit="1" customWidth="1"/>
    <col min="806" max="806" width="10.33203125" bestFit="1" customWidth="1"/>
    <col min="807" max="807" width="13.21875" bestFit="1" customWidth="1"/>
    <col min="808" max="808" width="10.33203125" bestFit="1" customWidth="1"/>
    <col min="809" max="809" width="13.21875" bestFit="1" customWidth="1"/>
    <col min="810" max="810" width="10.33203125" bestFit="1" customWidth="1"/>
    <col min="811" max="811" width="13.21875" bestFit="1" customWidth="1"/>
    <col min="812" max="812" width="10.33203125" bestFit="1" customWidth="1"/>
    <col min="813" max="813" width="13.21875" bestFit="1" customWidth="1"/>
    <col min="814" max="814" width="10.33203125" bestFit="1" customWidth="1"/>
    <col min="815" max="815" width="13.21875" bestFit="1" customWidth="1"/>
    <col min="816" max="816" width="10.33203125" bestFit="1" customWidth="1"/>
    <col min="817" max="817" width="13.21875" bestFit="1" customWidth="1"/>
    <col min="818" max="818" width="10.33203125" bestFit="1" customWidth="1"/>
    <col min="819" max="819" width="13.21875" bestFit="1" customWidth="1"/>
    <col min="820" max="820" width="10.33203125" bestFit="1" customWidth="1"/>
    <col min="821" max="821" width="13.21875" bestFit="1" customWidth="1"/>
    <col min="822" max="822" width="10.33203125" bestFit="1" customWidth="1"/>
    <col min="823" max="823" width="13.21875" bestFit="1" customWidth="1"/>
    <col min="824" max="824" width="10.33203125" bestFit="1" customWidth="1"/>
    <col min="825" max="825" width="13.21875" bestFit="1" customWidth="1"/>
    <col min="826" max="826" width="10.33203125" bestFit="1" customWidth="1"/>
    <col min="827" max="827" width="13.21875" bestFit="1" customWidth="1"/>
    <col min="828" max="828" width="10.33203125" bestFit="1" customWidth="1"/>
    <col min="829" max="829" width="13.21875" bestFit="1" customWidth="1"/>
    <col min="830" max="830" width="10.33203125" bestFit="1" customWidth="1"/>
    <col min="831" max="831" width="13.21875" bestFit="1" customWidth="1"/>
    <col min="832" max="832" width="10.33203125" bestFit="1" customWidth="1"/>
    <col min="833" max="833" width="13.21875" bestFit="1" customWidth="1"/>
    <col min="834" max="834" width="10.33203125" bestFit="1" customWidth="1"/>
    <col min="835" max="835" width="13.21875" bestFit="1" customWidth="1"/>
    <col min="836" max="836" width="10.33203125" bestFit="1" customWidth="1"/>
    <col min="837" max="837" width="13.21875" bestFit="1" customWidth="1"/>
    <col min="838" max="838" width="10.33203125" bestFit="1" customWidth="1"/>
    <col min="839" max="839" width="13.21875" bestFit="1" customWidth="1"/>
    <col min="840" max="840" width="10.33203125" bestFit="1" customWidth="1"/>
    <col min="841" max="841" width="13.21875" bestFit="1" customWidth="1"/>
    <col min="842" max="842" width="10.33203125" bestFit="1" customWidth="1"/>
    <col min="843" max="843" width="13.21875" bestFit="1" customWidth="1"/>
    <col min="844" max="844" width="10.33203125" bestFit="1" customWidth="1"/>
    <col min="845" max="845" width="13.21875" bestFit="1" customWidth="1"/>
    <col min="846" max="846" width="10.33203125" bestFit="1" customWidth="1"/>
    <col min="847" max="847" width="13.21875" bestFit="1" customWidth="1"/>
    <col min="848" max="848" width="10.33203125" bestFit="1" customWidth="1"/>
    <col min="849" max="849" width="13.21875" bestFit="1" customWidth="1"/>
    <col min="850" max="850" width="10.33203125" bestFit="1" customWidth="1"/>
    <col min="851" max="851" width="13.21875" bestFit="1" customWidth="1"/>
    <col min="852" max="852" width="10.33203125" bestFit="1" customWidth="1"/>
    <col min="853" max="853" width="13.21875" bestFit="1" customWidth="1"/>
    <col min="854" max="854" width="10.33203125" bestFit="1" customWidth="1"/>
    <col min="855" max="855" width="13.21875" bestFit="1" customWidth="1"/>
    <col min="856" max="856" width="10.33203125" bestFit="1" customWidth="1"/>
    <col min="857" max="857" width="13.21875" bestFit="1" customWidth="1"/>
    <col min="858" max="858" width="10.33203125" bestFit="1" customWidth="1"/>
    <col min="859" max="859" width="13.21875" bestFit="1" customWidth="1"/>
    <col min="860" max="860" width="10.33203125" bestFit="1" customWidth="1"/>
    <col min="861" max="861" width="13.21875" bestFit="1" customWidth="1"/>
    <col min="862" max="862" width="10.33203125" bestFit="1" customWidth="1"/>
    <col min="863" max="863" width="13.21875" bestFit="1" customWidth="1"/>
    <col min="864" max="864" width="10.33203125" bestFit="1" customWidth="1"/>
    <col min="865" max="865" width="13.21875" bestFit="1" customWidth="1"/>
    <col min="866" max="866" width="10.33203125" bestFit="1" customWidth="1"/>
    <col min="867" max="867" width="13.21875" bestFit="1" customWidth="1"/>
    <col min="868" max="868" width="10.33203125" bestFit="1" customWidth="1"/>
    <col min="869" max="869" width="13.21875" bestFit="1" customWidth="1"/>
    <col min="870" max="870" width="10.33203125" bestFit="1" customWidth="1"/>
    <col min="871" max="871" width="13.21875" bestFit="1" customWidth="1"/>
    <col min="872" max="872" width="10.33203125" bestFit="1" customWidth="1"/>
    <col min="873" max="873" width="13.21875" bestFit="1" customWidth="1"/>
    <col min="874" max="874" width="10.33203125" bestFit="1" customWidth="1"/>
    <col min="875" max="875" width="13.21875" bestFit="1" customWidth="1"/>
    <col min="876" max="876" width="10.33203125" bestFit="1" customWidth="1"/>
    <col min="877" max="877" width="13.21875" bestFit="1" customWidth="1"/>
    <col min="878" max="878" width="10.33203125" bestFit="1" customWidth="1"/>
    <col min="879" max="879" width="13.21875" bestFit="1" customWidth="1"/>
    <col min="880" max="880" width="10.33203125" bestFit="1" customWidth="1"/>
    <col min="881" max="881" width="13.21875" bestFit="1" customWidth="1"/>
    <col min="882" max="882" width="10.33203125" bestFit="1" customWidth="1"/>
    <col min="883" max="883" width="13.21875" bestFit="1" customWidth="1"/>
    <col min="884" max="884" width="10.33203125" bestFit="1" customWidth="1"/>
    <col min="885" max="885" width="13.21875" bestFit="1" customWidth="1"/>
    <col min="886" max="886" width="10.33203125" bestFit="1" customWidth="1"/>
    <col min="887" max="887" width="13.21875" bestFit="1" customWidth="1"/>
    <col min="888" max="888" width="10.33203125" bestFit="1" customWidth="1"/>
    <col min="889" max="889" width="13.21875" bestFit="1" customWidth="1"/>
    <col min="890" max="890" width="10.33203125" bestFit="1" customWidth="1"/>
    <col min="891" max="891" width="13.21875" bestFit="1" customWidth="1"/>
    <col min="892" max="892" width="10.33203125" bestFit="1" customWidth="1"/>
    <col min="893" max="893" width="13.21875" bestFit="1" customWidth="1"/>
    <col min="894" max="894" width="10.33203125" bestFit="1" customWidth="1"/>
    <col min="895" max="895" width="13.21875" bestFit="1" customWidth="1"/>
    <col min="896" max="896" width="10.33203125" bestFit="1" customWidth="1"/>
    <col min="897" max="897" width="13.21875" bestFit="1" customWidth="1"/>
    <col min="898" max="898" width="10.33203125" bestFit="1" customWidth="1"/>
    <col min="899" max="899" width="13.21875" bestFit="1" customWidth="1"/>
    <col min="900" max="900" width="10.33203125" bestFit="1" customWidth="1"/>
    <col min="901" max="901" width="13.21875" bestFit="1" customWidth="1"/>
    <col min="902" max="902" width="10.33203125" bestFit="1" customWidth="1"/>
    <col min="903" max="903" width="13.21875" bestFit="1" customWidth="1"/>
    <col min="904" max="904" width="10.33203125" bestFit="1" customWidth="1"/>
    <col min="905" max="905" width="13.21875" bestFit="1" customWidth="1"/>
    <col min="906" max="906" width="10.33203125" bestFit="1" customWidth="1"/>
    <col min="907" max="907" width="13.21875" bestFit="1" customWidth="1"/>
    <col min="908" max="908" width="10.33203125" bestFit="1" customWidth="1"/>
    <col min="909" max="909" width="13.21875" bestFit="1" customWidth="1"/>
    <col min="910" max="910" width="10.33203125" bestFit="1" customWidth="1"/>
    <col min="911" max="911" width="13.21875" bestFit="1" customWidth="1"/>
    <col min="912" max="912" width="10.33203125" bestFit="1" customWidth="1"/>
    <col min="913" max="913" width="13.21875" bestFit="1" customWidth="1"/>
    <col min="914" max="914" width="10.33203125" bestFit="1" customWidth="1"/>
    <col min="915" max="915" width="13.21875" bestFit="1" customWidth="1"/>
    <col min="916" max="916" width="10.33203125" bestFit="1" customWidth="1"/>
    <col min="917" max="917" width="13.21875" bestFit="1" customWidth="1"/>
    <col min="918" max="918" width="10.33203125" bestFit="1" customWidth="1"/>
    <col min="919" max="919" width="13.21875" bestFit="1" customWidth="1"/>
    <col min="920" max="920" width="10.33203125" bestFit="1" customWidth="1"/>
    <col min="921" max="921" width="13.21875" bestFit="1" customWidth="1"/>
    <col min="922" max="922" width="10.33203125" bestFit="1" customWidth="1"/>
    <col min="923" max="923" width="13.21875" bestFit="1" customWidth="1"/>
    <col min="924" max="924" width="10.33203125" bestFit="1" customWidth="1"/>
    <col min="925" max="925" width="13.21875" bestFit="1" customWidth="1"/>
    <col min="926" max="926" width="10.33203125" bestFit="1" customWidth="1"/>
    <col min="927" max="927" width="13.21875" bestFit="1" customWidth="1"/>
    <col min="928" max="928" width="10.33203125" bestFit="1" customWidth="1"/>
    <col min="929" max="929" width="13.21875" bestFit="1" customWidth="1"/>
    <col min="930" max="930" width="10.33203125" bestFit="1" customWidth="1"/>
    <col min="931" max="931" width="13.21875" bestFit="1" customWidth="1"/>
    <col min="932" max="932" width="10.33203125" bestFit="1" customWidth="1"/>
    <col min="933" max="933" width="13.21875" bestFit="1" customWidth="1"/>
    <col min="934" max="934" width="10.33203125" bestFit="1" customWidth="1"/>
    <col min="935" max="935" width="13.21875" bestFit="1" customWidth="1"/>
    <col min="936" max="936" width="10.33203125" bestFit="1" customWidth="1"/>
    <col min="937" max="937" width="13.21875" bestFit="1" customWidth="1"/>
    <col min="938" max="938" width="10.33203125" bestFit="1" customWidth="1"/>
    <col min="939" max="939" width="13.21875" bestFit="1" customWidth="1"/>
    <col min="940" max="940" width="10.33203125" bestFit="1" customWidth="1"/>
    <col min="941" max="941" width="13.21875" bestFit="1" customWidth="1"/>
    <col min="942" max="942" width="10.33203125" bestFit="1" customWidth="1"/>
    <col min="943" max="943" width="13.21875" bestFit="1" customWidth="1"/>
    <col min="944" max="944" width="10.33203125" bestFit="1" customWidth="1"/>
    <col min="945" max="945" width="13.21875" bestFit="1" customWidth="1"/>
    <col min="946" max="946" width="10.33203125" bestFit="1" customWidth="1"/>
    <col min="947" max="947" width="13.21875" bestFit="1" customWidth="1"/>
    <col min="948" max="948" width="10.33203125" bestFit="1" customWidth="1"/>
    <col min="949" max="949" width="13.21875" bestFit="1" customWidth="1"/>
    <col min="950" max="950" width="10.33203125" bestFit="1" customWidth="1"/>
    <col min="951" max="951" width="13.21875" bestFit="1" customWidth="1"/>
    <col min="952" max="952" width="10.33203125" bestFit="1" customWidth="1"/>
    <col min="953" max="953" width="13.21875" bestFit="1" customWidth="1"/>
    <col min="954" max="954" width="10.33203125" bestFit="1" customWidth="1"/>
    <col min="955" max="955" width="13.21875" bestFit="1" customWidth="1"/>
    <col min="956" max="956" width="10.33203125" bestFit="1" customWidth="1"/>
    <col min="957" max="957" width="13.21875" bestFit="1" customWidth="1"/>
    <col min="958" max="958" width="10.33203125" bestFit="1" customWidth="1"/>
    <col min="959" max="959" width="13.21875" bestFit="1" customWidth="1"/>
    <col min="960" max="960" width="10.33203125" bestFit="1" customWidth="1"/>
    <col min="961" max="961" width="13.21875" bestFit="1" customWidth="1"/>
    <col min="962" max="962" width="10.33203125" bestFit="1" customWidth="1"/>
    <col min="963" max="963" width="13.21875" bestFit="1" customWidth="1"/>
    <col min="964" max="964" width="10.33203125" bestFit="1" customWidth="1"/>
    <col min="965" max="965" width="13.21875" bestFit="1" customWidth="1"/>
    <col min="966" max="966" width="10.33203125" bestFit="1" customWidth="1"/>
    <col min="967" max="967" width="13.21875" bestFit="1" customWidth="1"/>
    <col min="968" max="968" width="10.33203125" bestFit="1" customWidth="1"/>
    <col min="969" max="969" width="13.21875" bestFit="1" customWidth="1"/>
    <col min="970" max="970" width="10.33203125" bestFit="1" customWidth="1"/>
    <col min="971" max="971" width="13.21875" bestFit="1" customWidth="1"/>
    <col min="972" max="972" width="10.33203125" bestFit="1" customWidth="1"/>
    <col min="973" max="973" width="13.21875" bestFit="1" customWidth="1"/>
    <col min="974" max="974" width="10.33203125" bestFit="1" customWidth="1"/>
    <col min="975" max="975" width="13.21875" bestFit="1" customWidth="1"/>
    <col min="976" max="976" width="10.33203125" bestFit="1" customWidth="1"/>
    <col min="977" max="977" width="13.21875" bestFit="1" customWidth="1"/>
    <col min="978" max="978" width="10.33203125" bestFit="1" customWidth="1"/>
    <col min="979" max="979" width="13.21875" bestFit="1" customWidth="1"/>
    <col min="980" max="980" width="10.33203125" bestFit="1" customWidth="1"/>
    <col min="981" max="981" width="13.21875" bestFit="1" customWidth="1"/>
    <col min="982" max="982" width="10.33203125" bestFit="1" customWidth="1"/>
    <col min="983" max="983" width="13.21875" bestFit="1" customWidth="1"/>
    <col min="984" max="984" width="10.33203125" bestFit="1" customWidth="1"/>
    <col min="985" max="985" width="13.21875" bestFit="1" customWidth="1"/>
    <col min="986" max="986" width="10.33203125" bestFit="1" customWidth="1"/>
    <col min="987" max="987" width="13.21875" bestFit="1" customWidth="1"/>
    <col min="988" max="988" width="10.33203125" bestFit="1" customWidth="1"/>
    <col min="989" max="989" width="13.21875" bestFit="1" customWidth="1"/>
    <col min="990" max="990" width="10.33203125" bestFit="1" customWidth="1"/>
    <col min="991" max="991" width="13.21875" bestFit="1" customWidth="1"/>
    <col min="992" max="992" width="10.33203125" bestFit="1" customWidth="1"/>
    <col min="993" max="993" width="13.21875" bestFit="1" customWidth="1"/>
    <col min="994" max="994" width="10.33203125" bestFit="1" customWidth="1"/>
    <col min="995" max="995" width="13.21875" bestFit="1" customWidth="1"/>
    <col min="996" max="996" width="10.33203125" bestFit="1" customWidth="1"/>
    <col min="997" max="997" width="13.21875" bestFit="1" customWidth="1"/>
    <col min="998" max="998" width="10.33203125" bestFit="1" customWidth="1"/>
    <col min="999" max="999" width="13.21875" bestFit="1" customWidth="1"/>
    <col min="1000" max="1000" width="10.33203125" bestFit="1" customWidth="1"/>
    <col min="1001" max="1001" width="13.21875" bestFit="1" customWidth="1"/>
    <col min="1002" max="1002" width="10.33203125" bestFit="1" customWidth="1"/>
    <col min="1003" max="1003" width="13.21875" bestFit="1" customWidth="1"/>
    <col min="1004" max="1004" width="10.33203125" bestFit="1" customWidth="1"/>
    <col min="1005" max="1005" width="13.21875" bestFit="1" customWidth="1"/>
    <col min="1006" max="1006" width="10.33203125" bestFit="1" customWidth="1"/>
    <col min="1007" max="1007" width="13.21875" bestFit="1" customWidth="1"/>
    <col min="1008" max="1008" width="10.33203125" bestFit="1" customWidth="1"/>
    <col min="1009" max="1009" width="13.21875" bestFit="1" customWidth="1"/>
    <col min="1010" max="1010" width="10.33203125" bestFit="1" customWidth="1"/>
    <col min="1011" max="1011" width="13.21875" bestFit="1" customWidth="1"/>
    <col min="1012" max="1012" width="10.33203125" bestFit="1" customWidth="1"/>
    <col min="1013" max="1013" width="13.21875" bestFit="1" customWidth="1"/>
    <col min="1014" max="1014" width="10.33203125" bestFit="1" customWidth="1"/>
    <col min="1015" max="1015" width="13.21875" bestFit="1" customWidth="1"/>
    <col min="1016" max="1016" width="10.33203125" bestFit="1" customWidth="1"/>
    <col min="1017" max="1017" width="13.21875" bestFit="1" customWidth="1"/>
    <col min="1018" max="1018" width="10.33203125" bestFit="1" customWidth="1"/>
    <col min="1019" max="1019" width="13.21875" bestFit="1" customWidth="1"/>
    <col min="1020" max="1020" width="10.33203125" bestFit="1" customWidth="1"/>
    <col min="1021" max="1021" width="13.21875" bestFit="1" customWidth="1"/>
    <col min="1022" max="1022" width="10.33203125" bestFit="1" customWidth="1"/>
    <col min="1023" max="1023" width="13.21875" bestFit="1" customWidth="1"/>
    <col min="1024" max="1024" width="10.33203125" bestFit="1" customWidth="1"/>
    <col min="1025" max="1025" width="13.21875" bestFit="1" customWidth="1"/>
    <col min="1026" max="1026" width="10.33203125" bestFit="1" customWidth="1"/>
    <col min="1027" max="1027" width="13.21875" bestFit="1" customWidth="1"/>
    <col min="1028" max="1028" width="10.33203125" bestFit="1" customWidth="1"/>
    <col min="1029" max="1029" width="13.21875" bestFit="1" customWidth="1"/>
    <col min="1030" max="1030" width="10.33203125" bestFit="1" customWidth="1"/>
    <col min="1031" max="1031" width="13.21875" bestFit="1" customWidth="1"/>
    <col min="1032" max="1032" width="10.33203125" bestFit="1" customWidth="1"/>
    <col min="1033" max="1033" width="13.21875" bestFit="1" customWidth="1"/>
    <col min="1034" max="1034" width="10.33203125" bestFit="1" customWidth="1"/>
    <col min="1035" max="1035" width="13.21875" bestFit="1" customWidth="1"/>
    <col min="1036" max="1036" width="10.33203125" bestFit="1" customWidth="1"/>
    <col min="1037" max="1037" width="13.21875" bestFit="1" customWidth="1"/>
    <col min="1038" max="1038" width="10.33203125" bestFit="1" customWidth="1"/>
    <col min="1039" max="1039" width="13.21875" bestFit="1" customWidth="1"/>
    <col min="1040" max="1040" width="10.33203125" bestFit="1" customWidth="1"/>
    <col min="1041" max="1041" width="13.21875" bestFit="1" customWidth="1"/>
    <col min="1042" max="1042" width="10.33203125" bestFit="1" customWidth="1"/>
    <col min="1043" max="1043" width="13.21875" bestFit="1" customWidth="1"/>
    <col min="1044" max="1044" width="10.33203125" bestFit="1" customWidth="1"/>
    <col min="1045" max="1045" width="13.21875" bestFit="1" customWidth="1"/>
    <col min="1046" max="1046" width="10.33203125" bestFit="1" customWidth="1"/>
    <col min="1047" max="1047" width="13.21875" bestFit="1" customWidth="1"/>
    <col min="1048" max="1048" width="10.33203125" bestFit="1" customWidth="1"/>
    <col min="1049" max="1049" width="13.21875" bestFit="1" customWidth="1"/>
    <col min="1050" max="1050" width="10.33203125" bestFit="1" customWidth="1"/>
    <col min="1051" max="1051" width="13.21875" bestFit="1" customWidth="1"/>
    <col min="1052" max="1052" width="10.33203125" bestFit="1" customWidth="1"/>
    <col min="1053" max="1053" width="13.21875" bestFit="1" customWidth="1"/>
    <col min="1054" max="1054" width="10.33203125" bestFit="1" customWidth="1"/>
    <col min="1055" max="1055" width="13.21875" bestFit="1" customWidth="1"/>
    <col min="1056" max="1056" width="10.33203125" bestFit="1" customWidth="1"/>
    <col min="1057" max="1057" width="13.21875" bestFit="1" customWidth="1"/>
    <col min="1058" max="1058" width="10.33203125" bestFit="1" customWidth="1"/>
    <col min="1059" max="1059" width="13.21875" bestFit="1" customWidth="1"/>
    <col min="1060" max="1060" width="10.33203125" bestFit="1" customWidth="1"/>
    <col min="1061" max="1061" width="13.21875" bestFit="1" customWidth="1"/>
    <col min="1062" max="1062" width="10.33203125" bestFit="1" customWidth="1"/>
    <col min="1063" max="1063" width="13.21875" bestFit="1" customWidth="1"/>
    <col min="1064" max="1064" width="10.33203125" bestFit="1" customWidth="1"/>
    <col min="1065" max="1065" width="13.21875" bestFit="1" customWidth="1"/>
    <col min="1066" max="1066" width="10.33203125" bestFit="1" customWidth="1"/>
    <col min="1067" max="1067" width="13.21875" bestFit="1" customWidth="1"/>
    <col min="1068" max="1068" width="10.33203125" bestFit="1" customWidth="1"/>
    <col min="1069" max="1069" width="13.21875" bestFit="1" customWidth="1"/>
    <col min="1070" max="1070" width="10.33203125" bestFit="1" customWidth="1"/>
    <col min="1071" max="1071" width="13.21875" bestFit="1" customWidth="1"/>
    <col min="1072" max="1072" width="10.33203125" bestFit="1" customWidth="1"/>
    <col min="1073" max="1073" width="13.21875" bestFit="1" customWidth="1"/>
    <col min="1074" max="1074" width="10.33203125" bestFit="1" customWidth="1"/>
    <col min="1075" max="1075" width="13.21875" bestFit="1" customWidth="1"/>
    <col min="1076" max="1076" width="10.33203125" bestFit="1" customWidth="1"/>
    <col min="1077" max="1077" width="13.21875" bestFit="1" customWidth="1"/>
    <col min="1078" max="1078" width="10.33203125" bestFit="1" customWidth="1"/>
    <col min="1079" max="1079" width="13.21875" bestFit="1" customWidth="1"/>
    <col min="1080" max="1080" width="10.33203125" bestFit="1" customWidth="1"/>
    <col min="1081" max="1081" width="13.21875" bestFit="1" customWidth="1"/>
    <col min="1082" max="1082" width="10.33203125" bestFit="1" customWidth="1"/>
    <col min="1083" max="1083" width="13.21875" bestFit="1" customWidth="1"/>
    <col min="1084" max="1084" width="10.33203125" bestFit="1" customWidth="1"/>
    <col min="1085" max="1085" width="13.21875" bestFit="1" customWidth="1"/>
    <col min="1086" max="1086" width="10.33203125" bestFit="1" customWidth="1"/>
    <col min="1087" max="1087" width="13.21875" bestFit="1" customWidth="1"/>
    <col min="1088" max="1088" width="10.33203125" bestFit="1" customWidth="1"/>
    <col min="1089" max="1089" width="13.21875" bestFit="1" customWidth="1"/>
    <col min="1090" max="1090" width="10.33203125" bestFit="1" customWidth="1"/>
    <col min="1091" max="1091" width="13.21875" bestFit="1" customWidth="1"/>
    <col min="1092" max="1092" width="10.33203125" bestFit="1" customWidth="1"/>
    <col min="1093" max="1093" width="13.21875" bestFit="1" customWidth="1"/>
    <col min="1094" max="1094" width="10.33203125" bestFit="1" customWidth="1"/>
    <col min="1095" max="1095" width="13.21875" bestFit="1" customWidth="1"/>
    <col min="1096" max="1096" width="10.33203125" bestFit="1" customWidth="1"/>
    <col min="1097" max="1097" width="13.21875" bestFit="1" customWidth="1"/>
    <col min="1098" max="1098" width="10.33203125" bestFit="1" customWidth="1"/>
    <col min="1099" max="1099" width="13.21875" bestFit="1" customWidth="1"/>
    <col min="1100" max="1100" width="10.33203125" bestFit="1" customWidth="1"/>
    <col min="1101" max="1101" width="13.21875" bestFit="1" customWidth="1"/>
    <col min="1102" max="1102" width="10.33203125" bestFit="1" customWidth="1"/>
    <col min="1103" max="1103" width="13.21875" bestFit="1" customWidth="1"/>
    <col min="1104" max="1104" width="10.33203125" bestFit="1" customWidth="1"/>
    <col min="1105" max="1105" width="13.21875" bestFit="1" customWidth="1"/>
    <col min="1106" max="1106" width="10.33203125" bestFit="1" customWidth="1"/>
    <col min="1107" max="1107" width="13.21875" bestFit="1" customWidth="1"/>
    <col min="1108" max="1108" width="10.33203125" bestFit="1" customWidth="1"/>
    <col min="1109" max="1109" width="13.21875" bestFit="1" customWidth="1"/>
    <col min="1110" max="1110" width="10.33203125" bestFit="1" customWidth="1"/>
    <col min="1111" max="1111" width="13.21875" bestFit="1" customWidth="1"/>
    <col min="1112" max="1112" width="10.33203125" bestFit="1" customWidth="1"/>
    <col min="1113" max="1113" width="13.21875" bestFit="1" customWidth="1"/>
    <col min="1114" max="1114" width="10.33203125" bestFit="1" customWidth="1"/>
    <col min="1115" max="1115" width="13.21875" bestFit="1" customWidth="1"/>
    <col min="1116" max="1116" width="10.33203125" bestFit="1" customWidth="1"/>
    <col min="1117" max="1117" width="13.21875" bestFit="1" customWidth="1"/>
    <col min="1118" max="1118" width="10.33203125" bestFit="1" customWidth="1"/>
    <col min="1119" max="1119" width="13.21875" bestFit="1" customWidth="1"/>
    <col min="1120" max="1120" width="10.33203125" bestFit="1" customWidth="1"/>
    <col min="1121" max="1121" width="13.21875" bestFit="1" customWidth="1"/>
    <col min="1122" max="1122" width="10.33203125" bestFit="1" customWidth="1"/>
    <col min="1123" max="1123" width="13.21875" bestFit="1" customWidth="1"/>
    <col min="1124" max="1124" width="10.33203125" bestFit="1" customWidth="1"/>
    <col min="1125" max="1125" width="13.21875" bestFit="1" customWidth="1"/>
    <col min="1126" max="1126" width="10.33203125" bestFit="1" customWidth="1"/>
    <col min="1127" max="1127" width="13.21875" bestFit="1" customWidth="1"/>
    <col min="1128" max="1128" width="10.33203125" bestFit="1" customWidth="1"/>
    <col min="1129" max="1129" width="13.21875" bestFit="1" customWidth="1"/>
    <col min="1130" max="1130" width="10.33203125" bestFit="1" customWidth="1"/>
    <col min="1131" max="1131" width="13.21875" bestFit="1" customWidth="1"/>
    <col min="1132" max="1132" width="10.33203125" bestFit="1" customWidth="1"/>
    <col min="1133" max="1133" width="13.21875" bestFit="1" customWidth="1"/>
    <col min="1134" max="1134" width="10.33203125" bestFit="1" customWidth="1"/>
    <col min="1135" max="1135" width="13.21875" bestFit="1" customWidth="1"/>
    <col min="1136" max="1136" width="10.33203125" bestFit="1" customWidth="1"/>
    <col min="1137" max="1137" width="13.21875" bestFit="1" customWidth="1"/>
    <col min="1138" max="1138" width="10.33203125" bestFit="1" customWidth="1"/>
    <col min="1139" max="1139" width="13.21875" bestFit="1" customWidth="1"/>
    <col min="1140" max="1140" width="10.33203125" bestFit="1" customWidth="1"/>
    <col min="1141" max="1141" width="13.21875" bestFit="1" customWidth="1"/>
    <col min="1142" max="1142" width="10.33203125" bestFit="1" customWidth="1"/>
    <col min="1143" max="1143" width="13.21875" bestFit="1" customWidth="1"/>
    <col min="1144" max="1144" width="10.33203125" bestFit="1" customWidth="1"/>
    <col min="1145" max="1145" width="13.21875" bestFit="1" customWidth="1"/>
    <col min="1146" max="1146" width="10.33203125" bestFit="1" customWidth="1"/>
    <col min="1147" max="1147" width="13.21875" bestFit="1" customWidth="1"/>
    <col min="1148" max="1148" width="10.33203125" bestFit="1" customWidth="1"/>
    <col min="1149" max="1149" width="13.21875" bestFit="1" customWidth="1"/>
    <col min="1150" max="1150" width="10.33203125" bestFit="1" customWidth="1"/>
    <col min="1151" max="1151" width="13.21875" bestFit="1" customWidth="1"/>
    <col min="1152" max="1152" width="10.33203125" bestFit="1" customWidth="1"/>
    <col min="1153" max="1153" width="13.21875" bestFit="1" customWidth="1"/>
    <col min="1154" max="1154" width="10.33203125" bestFit="1" customWidth="1"/>
    <col min="1155" max="1155" width="13.21875" bestFit="1" customWidth="1"/>
    <col min="1156" max="1156" width="10.33203125" bestFit="1" customWidth="1"/>
    <col min="1157" max="1157" width="13.21875" bestFit="1" customWidth="1"/>
    <col min="1158" max="1158" width="10.33203125" bestFit="1" customWidth="1"/>
    <col min="1159" max="1159" width="13.21875" bestFit="1" customWidth="1"/>
    <col min="1160" max="1160" width="10.33203125" bestFit="1" customWidth="1"/>
    <col min="1161" max="1161" width="13.21875" bestFit="1" customWidth="1"/>
    <col min="1162" max="1162" width="10.33203125" bestFit="1" customWidth="1"/>
    <col min="1163" max="1163" width="13.21875" bestFit="1" customWidth="1"/>
    <col min="1164" max="1164" width="10.33203125" bestFit="1" customWidth="1"/>
    <col min="1165" max="1165" width="13.21875" bestFit="1" customWidth="1"/>
    <col min="1166" max="1166" width="10.33203125" bestFit="1" customWidth="1"/>
    <col min="1167" max="1167" width="13.21875" bestFit="1" customWidth="1"/>
    <col min="1168" max="1168" width="10.33203125" bestFit="1" customWidth="1"/>
    <col min="1169" max="1169" width="13.21875" bestFit="1" customWidth="1"/>
    <col min="1170" max="1170" width="10.33203125" bestFit="1" customWidth="1"/>
    <col min="1171" max="1171" width="13.21875" bestFit="1" customWidth="1"/>
    <col min="1172" max="1172" width="10.33203125" bestFit="1" customWidth="1"/>
    <col min="1173" max="1173" width="13.21875" bestFit="1" customWidth="1"/>
    <col min="1174" max="1174" width="10.33203125" bestFit="1" customWidth="1"/>
    <col min="1175" max="1175" width="13.21875" bestFit="1" customWidth="1"/>
    <col min="1176" max="1176" width="10.33203125" bestFit="1" customWidth="1"/>
    <col min="1177" max="1177" width="13.21875" bestFit="1" customWidth="1"/>
    <col min="1178" max="1178" width="10.33203125" bestFit="1" customWidth="1"/>
    <col min="1179" max="1179" width="13.21875" bestFit="1" customWidth="1"/>
    <col min="1180" max="1180" width="10.33203125" bestFit="1" customWidth="1"/>
    <col min="1181" max="1181" width="13.21875" bestFit="1" customWidth="1"/>
    <col min="1182" max="1182" width="10.33203125" bestFit="1" customWidth="1"/>
    <col min="1183" max="1183" width="13.21875" bestFit="1" customWidth="1"/>
    <col min="1184" max="1184" width="10.33203125" bestFit="1" customWidth="1"/>
    <col min="1185" max="1185" width="13.21875" bestFit="1" customWidth="1"/>
    <col min="1186" max="1186" width="10.33203125" bestFit="1" customWidth="1"/>
    <col min="1187" max="1187" width="13.21875" bestFit="1" customWidth="1"/>
    <col min="1188" max="1188" width="10.33203125" bestFit="1" customWidth="1"/>
    <col min="1189" max="1189" width="13.21875" bestFit="1" customWidth="1"/>
    <col min="1190" max="1190" width="10.33203125" bestFit="1" customWidth="1"/>
    <col min="1191" max="1191" width="13.21875" bestFit="1" customWidth="1"/>
    <col min="1192" max="1192" width="10.33203125" bestFit="1" customWidth="1"/>
    <col min="1193" max="1193" width="13.21875" bestFit="1" customWidth="1"/>
    <col min="1194" max="1194" width="10.33203125" bestFit="1" customWidth="1"/>
    <col min="1195" max="1195" width="13.21875" bestFit="1" customWidth="1"/>
    <col min="1196" max="1196" width="10.33203125" bestFit="1" customWidth="1"/>
    <col min="1197" max="1197" width="13.21875" bestFit="1" customWidth="1"/>
    <col min="1198" max="1198" width="10.33203125" bestFit="1" customWidth="1"/>
    <col min="1199" max="1199" width="13.21875" bestFit="1" customWidth="1"/>
    <col min="1200" max="1200" width="10.33203125" bestFit="1" customWidth="1"/>
    <col min="1201" max="1201" width="13.21875" bestFit="1" customWidth="1"/>
    <col min="1202" max="1202" width="10.33203125" bestFit="1" customWidth="1"/>
    <col min="1203" max="1203" width="13.21875" bestFit="1" customWidth="1"/>
    <col min="1204" max="1204" width="10.33203125" bestFit="1" customWidth="1"/>
    <col min="1205" max="1205" width="13.21875" bestFit="1" customWidth="1"/>
    <col min="1206" max="1206" width="10.33203125" bestFit="1" customWidth="1"/>
    <col min="1207" max="1207" width="13.21875" bestFit="1" customWidth="1"/>
    <col min="1208" max="1208" width="10.33203125" bestFit="1" customWidth="1"/>
    <col min="1209" max="1209" width="13.21875" bestFit="1" customWidth="1"/>
    <col min="1210" max="1210" width="10.33203125" bestFit="1" customWidth="1"/>
    <col min="1211" max="1211" width="13.21875" bestFit="1" customWidth="1"/>
    <col min="1212" max="1212" width="10.33203125" bestFit="1" customWidth="1"/>
    <col min="1213" max="1213" width="13.21875" bestFit="1" customWidth="1"/>
    <col min="1214" max="1214" width="10.33203125" bestFit="1" customWidth="1"/>
    <col min="1215" max="1215" width="13.21875" bestFit="1" customWidth="1"/>
    <col min="1216" max="1216" width="10.33203125" bestFit="1" customWidth="1"/>
    <col min="1217" max="1217" width="13.21875" bestFit="1" customWidth="1"/>
    <col min="1218" max="1218" width="10.33203125" bestFit="1" customWidth="1"/>
    <col min="1219" max="1219" width="13.21875" bestFit="1" customWidth="1"/>
    <col min="1220" max="1220" width="10.33203125" bestFit="1" customWidth="1"/>
    <col min="1221" max="1221" width="13.21875" bestFit="1" customWidth="1"/>
    <col min="1222" max="1222" width="10.33203125" bestFit="1" customWidth="1"/>
    <col min="1223" max="1223" width="13.21875" bestFit="1" customWidth="1"/>
    <col min="1224" max="1224" width="10.33203125" bestFit="1" customWidth="1"/>
    <col min="1225" max="1225" width="13.21875" bestFit="1" customWidth="1"/>
    <col min="1226" max="1226" width="10.33203125" bestFit="1" customWidth="1"/>
    <col min="1227" max="1227" width="13.21875" bestFit="1" customWidth="1"/>
    <col min="1228" max="1228" width="10.33203125" bestFit="1" customWidth="1"/>
    <col min="1229" max="1229" width="13.21875" bestFit="1" customWidth="1"/>
    <col min="1230" max="1230" width="10.33203125" bestFit="1" customWidth="1"/>
    <col min="1231" max="1231" width="13.21875" bestFit="1" customWidth="1"/>
    <col min="1232" max="1232" width="10.33203125" bestFit="1" customWidth="1"/>
    <col min="1233" max="1233" width="13.21875" bestFit="1" customWidth="1"/>
    <col min="1234" max="1234" width="10.33203125" bestFit="1" customWidth="1"/>
    <col min="1235" max="1235" width="13.21875" bestFit="1" customWidth="1"/>
    <col min="1236" max="1236" width="10.33203125" bestFit="1" customWidth="1"/>
    <col min="1237" max="1237" width="13.21875" bestFit="1" customWidth="1"/>
    <col min="1238" max="1238" width="10.33203125" bestFit="1" customWidth="1"/>
    <col min="1239" max="1239" width="13.21875" bestFit="1" customWidth="1"/>
    <col min="1240" max="1240" width="10.33203125" bestFit="1" customWidth="1"/>
    <col min="1241" max="1241" width="13.21875" bestFit="1" customWidth="1"/>
    <col min="1242" max="1242" width="10.33203125" bestFit="1" customWidth="1"/>
    <col min="1243" max="1243" width="13.21875" bestFit="1" customWidth="1"/>
    <col min="1244" max="1244" width="10.33203125" bestFit="1" customWidth="1"/>
    <col min="1245" max="1245" width="13.21875" bestFit="1" customWidth="1"/>
    <col min="1246" max="1246" width="10.33203125" bestFit="1" customWidth="1"/>
    <col min="1247" max="1247" width="13.21875" bestFit="1" customWidth="1"/>
    <col min="1248" max="1248" width="10.33203125" bestFit="1" customWidth="1"/>
    <col min="1249" max="1249" width="13.21875" bestFit="1" customWidth="1"/>
    <col min="1250" max="1250" width="10.33203125" bestFit="1" customWidth="1"/>
    <col min="1251" max="1251" width="13.21875" bestFit="1" customWidth="1"/>
    <col min="1252" max="1252" width="10.33203125" bestFit="1" customWidth="1"/>
    <col min="1253" max="1253" width="13.21875" bestFit="1" customWidth="1"/>
    <col min="1254" max="1254" width="10.33203125" bestFit="1" customWidth="1"/>
    <col min="1255" max="1255" width="13.21875" bestFit="1" customWidth="1"/>
    <col min="1256" max="1256" width="10.33203125" bestFit="1" customWidth="1"/>
    <col min="1257" max="1257" width="13.21875" bestFit="1" customWidth="1"/>
    <col min="1258" max="1258" width="10.33203125" bestFit="1" customWidth="1"/>
    <col min="1259" max="1259" width="13.21875" bestFit="1" customWidth="1"/>
    <col min="1260" max="1260" width="10.33203125" bestFit="1" customWidth="1"/>
    <col min="1261" max="1261" width="13.21875" bestFit="1" customWidth="1"/>
    <col min="1262" max="1262" width="10.33203125" bestFit="1" customWidth="1"/>
    <col min="1263" max="1263" width="13.21875" bestFit="1" customWidth="1"/>
    <col min="1264" max="1264" width="10.33203125" bestFit="1" customWidth="1"/>
    <col min="1265" max="1265" width="13.21875" bestFit="1" customWidth="1"/>
    <col min="1266" max="1266" width="10.33203125" bestFit="1" customWidth="1"/>
    <col min="1267" max="1267" width="13.21875" bestFit="1" customWidth="1"/>
    <col min="1268" max="1268" width="10.33203125" bestFit="1" customWidth="1"/>
    <col min="1269" max="1269" width="13.21875" bestFit="1" customWidth="1"/>
    <col min="1270" max="1270" width="10.33203125" bestFit="1" customWidth="1"/>
    <col min="1271" max="1271" width="13.21875" bestFit="1" customWidth="1"/>
    <col min="1272" max="1272" width="10.33203125" bestFit="1" customWidth="1"/>
    <col min="1273" max="1273" width="13.21875" bestFit="1" customWidth="1"/>
    <col min="1274" max="1274" width="10.33203125" bestFit="1" customWidth="1"/>
    <col min="1275" max="1275" width="13.21875" bestFit="1" customWidth="1"/>
    <col min="1276" max="1276" width="10.33203125" bestFit="1" customWidth="1"/>
    <col min="1277" max="1277" width="13.21875" bestFit="1" customWidth="1"/>
    <col min="1278" max="1278" width="10.33203125" bestFit="1" customWidth="1"/>
    <col min="1279" max="1279" width="13.21875" bestFit="1" customWidth="1"/>
    <col min="1280" max="1280" width="10.33203125" bestFit="1" customWidth="1"/>
    <col min="1281" max="1281" width="13.21875" bestFit="1" customWidth="1"/>
    <col min="1282" max="1282" width="10.33203125" bestFit="1" customWidth="1"/>
    <col min="1283" max="1283" width="13.21875" bestFit="1" customWidth="1"/>
    <col min="1284" max="1284" width="10.33203125" bestFit="1" customWidth="1"/>
    <col min="1285" max="1285" width="13.21875" bestFit="1" customWidth="1"/>
    <col min="1286" max="1286" width="10.33203125" bestFit="1" customWidth="1"/>
    <col min="1287" max="1287" width="13.21875" bestFit="1" customWidth="1"/>
    <col min="1288" max="1288" width="10.33203125" bestFit="1" customWidth="1"/>
    <col min="1289" max="1289" width="13.21875" bestFit="1" customWidth="1"/>
    <col min="1290" max="1290" width="10.33203125" bestFit="1" customWidth="1"/>
    <col min="1291" max="1291" width="13.21875" bestFit="1" customWidth="1"/>
    <col min="1292" max="1292" width="10.33203125" bestFit="1" customWidth="1"/>
    <col min="1293" max="1293" width="13.21875" bestFit="1" customWidth="1"/>
    <col min="1294" max="1294" width="10.33203125" bestFit="1" customWidth="1"/>
    <col min="1295" max="1295" width="13.21875" bestFit="1" customWidth="1"/>
    <col min="1296" max="1296" width="10.33203125" bestFit="1" customWidth="1"/>
    <col min="1297" max="1297" width="13.21875" bestFit="1" customWidth="1"/>
    <col min="1298" max="1298" width="10.33203125" bestFit="1" customWidth="1"/>
    <col min="1299" max="1299" width="13.21875" bestFit="1" customWidth="1"/>
    <col min="1300" max="1300" width="10.33203125" bestFit="1" customWidth="1"/>
    <col min="1301" max="1301" width="13.21875" bestFit="1" customWidth="1"/>
    <col min="1302" max="1302" width="10.33203125" bestFit="1" customWidth="1"/>
    <col min="1303" max="1303" width="13.21875" bestFit="1" customWidth="1"/>
    <col min="1304" max="1304" width="10.33203125" bestFit="1" customWidth="1"/>
    <col min="1305" max="1305" width="13.21875" bestFit="1" customWidth="1"/>
    <col min="1306" max="1306" width="10.33203125" bestFit="1" customWidth="1"/>
    <col min="1307" max="1307" width="13.21875" bestFit="1" customWidth="1"/>
    <col min="1308" max="1308" width="10.33203125" bestFit="1" customWidth="1"/>
    <col min="1309" max="1309" width="13.21875" bestFit="1" customWidth="1"/>
    <col min="1310" max="1310" width="10.33203125" bestFit="1" customWidth="1"/>
    <col min="1311" max="1311" width="13.21875" bestFit="1" customWidth="1"/>
    <col min="1312" max="1312" width="10.33203125" bestFit="1" customWidth="1"/>
    <col min="1313" max="1313" width="13.21875" bestFit="1" customWidth="1"/>
    <col min="1314" max="1314" width="10.33203125" bestFit="1" customWidth="1"/>
    <col min="1315" max="1315" width="13.21875" bestFit="1" customWidth="1"/>
    <col min="1316" max="1316" width="10.33203125" bestFit="1" customWidth="1"/>
    <col min="1317" max="1317" width="13.21875" bestFit="1" customWidth="1"/>
    <col min="1318" max="1318" width="10.33203125" bestFit="1" customWidth="1"/>
    <col min="1319" max="1319" width="13.21875" bestFit="1" customWidth="1"/>
    <col min="1320" max="1320" width="10.33203125" bestFit="1" customWidth="1"/>
    <col min="1321" max="1321" width="13.21875" bestFit="1" customWidth="1"/>
    <col min="1322" max="1322" width="10.33203125" bestFit="1" customWidth="1"/>
    <col min="1323" max="1323" width="13.21875" bestFit="1" customWidth="1"/>
    <col min="1324" max="1324" width="10.33203125" bestFit="1" customWidth="1"/>
    <col min="1325" max="1325" width="13.21875" bestFit="1" customWidth="1"/>
    <col min="1326" max="1326" width="10.33203125" bestFit="1" customWidth="1"/>
    <col min="1327" max="1327" width="13.21875" bestFit="1" customWidth="1"/>
    <col min="1328" max="1328" width="10.33203125" bestFit="1" customWidth="1"/>
    <col min="1329" max="1329" width="13.21875" bestFit="1" customWidth="1"/>
    <col min="1330" max="1330" width="10.33203125" bestFit="1" customWidth="1"/>
    <col min="1331" max="1331" width="13.21875" bestFit="1" customWidth="1"/>
    <col min="1332" max="1332" width="10.33203125" bestFit="1" customWidth="1"/>
    <col min="1333" max="1333" width="13.21875" bestFit="1" customWidth="1"/>
    <col min="1334" max="1334" width="10.33203125" bestFit="1" customWidth="1"/>
    <col min="1335" max="1335" width="13.21875" bestFit="1" customWidth="1"/>
    <col min="1336" max="1336" width="10.33203125" bestFit="1" customWidth="1"/>
    <col min="1337" max="1337" width="13.21875" bestFit="1" customWidth="1"/>
    <col min="1338" max="1338" width="10.33203125" bestFit="1" customWidth="1"/>
    <col min="1339" max="1339" width="13.21875" bestFit="1" customWidth="1"/>
    <col min="1340" max="1340" width="10.33203125" bestFit="1" customWidth="1"/>
    <col min="1341" max="1341" width="13.21875" bestFit="1" customWidth="1"/>
    <col min="1342" max="1342" width="10.33203125" bestFit="1" customWidth="1"/>
    <col min="1343" max="1343" width="13.21875" bestFit="1" customWidth="1"/>
    <col min="1344" max="1344" width="10.33203125" bestFit="1" customWidth="1"/>
    <col min="1345" max="1345" width="13.21875" bestFit="1" customWidth="1"/>
    <col min="1346" max="1346" width="10.33203125" bestFit="1" customWidth="1"/>
    <col min="1347" max="1347" width="13.21875" bestFit="1" customWidth="1"/>
    <col min="1348" max="1348" width="10.33203125" bestFit="1" customWidth="1"/>
    <col min="1349" max="1349" width="13.21875" bestFit="1" customWidth="1"/>
    <col min="1350" max="1350" width="10.33203125" bestFit="1" customWidth="1"/>
    <col min="1351" max="1351" width="13.21875" bestFit="1" customWidth="1"/>
    <col min="1352" max="1352" width="10.33203125" bestFit="1" customWidth="1"/>
    <col min="1353" max="1353" width="13.21875" bestFit="1" customWidth="1"/>
    <col min="1354" max="1354" width="10.33203125" bestFit="1" customWidth="1"/>
    <col min="1355" max="1355" width="13.21875" bestFit="1" customWidth="1"/>
    <col min="1356" max="1356" width="10.33203125" bestFit="1" customWidth="1"/>
    <col min="1357" max="1357" width="13.21875" bestFit="1" customWidth="1"/>
    <col min="1358" max="1358" width="10.33203125" bestFit="1" customWidth="1"/>
    <col min="1359" max="1359" width="13.21875" bestFit="1" customWidth="1"/>
    <col min="1360" max="1360" width="10.33203125" bestFit="1" customWidth="1"/>
    <col min="1361" max="1361" width="13.21875" bestFit="1" customWidth="1"/>
    <col min="1362" max="1362" width="10.33203125" bestFit="1" customWidth="1"/>
    <col min="1363" max="1363" width="13.21875" bestFit="1" customWidth="1"/>
    <col min="1364" max="1364" width="10.33203125" bestFit="1" customWidth="1"/>
    <col min="1365" max="1365" width="13.21875" bestFit="1" customWidth="1"/>
    <col min="1366" max="1366" width="10.33203125" bestFit="1" customWidth="1"/>
    <col min="1367" max="1367" width="13.21875" bestFit="1" customWidth="1"/>
    <col min="1368" max="1368" width="10.33203125" bestFit="1" customWidth="1"/>
    <col min="1369" max="1369" width="13.21875" bestFit="1" customWidth="1"/>
    <col min="1370" max="1370" width="10.33203125" bestFit="1" customWidth="1"/>
    <col min="1371" max="1371" width="13.21875" bestFit="1" customWidth="1"/>
    <col min="1372" max="1372" width="10.33203125" bestFit="1" customWidth="1"/>
    <col min="1373" max="1373" width="13.21875" bestFit="1" customWidth="1"/>
    <col min="1374" max="1374" width="10.33203125" bestFit="1" customWidth="1"/>
    <col min="1375" max="1375" width="13.21875" bestFit="1" customWidth="1"/>
    <col min="1376" max="1376" width="10.33203125" bestFit="1" customWidth="1"/>
    <col min="1377" max="1377" width="13.21875" bestFit="1" customWidth="1"/>
    <col min="1378" max="1378" width="10.33203125" bestFit="1" customWidth="1"/>
    <col min="1379" max="1379" width="13.21875" bestFit="1" customWidth="1"/>
    <col min="1380" max="1380" width="10.33203125" bestFit="1" customWidth="1"/>
    <col min="1381" max="1381" width="13.21875" bestFit="1" customWidth="1"/>
    <col min="1382" max="1382" width="10.33203125" bestFit="1" customWidth="1"/>
    <col min="1383" max="1383" width="13.21875" bestFit="1" customWidth="1"/>
    <col min="1384" max="1384" width="10.33203125" bestFit="1" customWidth="1"/>
    <col min="1385" max="1385" width="13.21875" bestFit="1" customWidth="1"/>
    <col min="1386" max="1386" width="10.33203125" bestFit="1" customWidth="1"/>
    <col min="1387" max="1387" width="13.21875" bestFit="1" customWidth="1"/>
    <col min="1388" max="1388" width="10.33203125" bestFit="1" customWidth="1"/>
    <col min="1389" max="1389" width="13.21875" bestFit="1" customWidth="1"/>
    <col min="1390" max="1390" width="10.33203125" bestFit="1" customWidth="1"/>
    <col min="1391" max="1391" width="13.21875" bestFit="1" customWidth="1"/>
    <col min="1392" max="1392" width="10.33203125" bestFit="1" customWidth="1"/>
    <col min="1393" max="1393" width="13.21875" bestFit="1" customWidth="1"/>
    <col min="1394" max="1394" width="10.33203125" bestFit="1" customWidth="1"/>
    <col min="1395" max="1395" width="13.21875" bestFit="1" customWidth="1"/>
    <col min="1396" max="1396" width="10.33203125" bestFit="1" customWidth="1"/>
    <col min="1397" max="1397" width="13.21875" bestFit="1" customWidth="1"/>
    <col min="1398" max="1398" width="10.33203125" bestFit="1" customWidth="1"/>
    <col min="1399" max="1399" width="13.21875" bestFit="1" customWidth="1"/>
    <col min="1400" max="1400" width="10.33203125" bestFit="1" customWidth="1"/>
    <col min="1401" max="1401" width="13.21875" bestFit="1" customWidth="1"/>
    <col min="1402" max="1402" width="10.33203125" bestFit="1" customWidth="1"/>
    <col min="1403" max="1403" width="13.21875" bestFit="1" customWidth="1"/>
    <col min="1404" max="1404" width="10.33203125" bestFit="1" customWidth="1"/>
    <col min="1405" max="1405" width="13.21875" bestFit="1" customWidth="1"/>
    <col min="1406" max="1406" width="10.33203125" bestFit="1" customWidth="1"/>
    <col min="1407" max="1407" width="13.21875" bestFit="1" customWidth="1"/>
    <col min="1408" max="1408" width="10.33203125" bestFit="1" customWidth="1"/>
    <col min="1409" max="1409" width="13.21875" bestFit="1" customWidth="1"/>
    <col min="1410" max="1410" width="10.33203125" bestFit="1" customWidth="1"/>
    <col min="1411" max="1411" width="13.21875" bestFit="1" customWidth="1"/>
    <col min="1412" max="1412" width="10.33203125" bestFit="1" customWidth="1"/>
    <col min="1413" max="1413" width="13.21875" bestFit="1" customWidth="1"/>
    <col min="1414" max="1414" width="10.33203125" bestFit="1" customWidth="1"/>
    <col min="1415" max="1415" width="13.21875" bestFit="1" customWidth="1"/>
    <col min="1416" max="1416" width="10.33203125" bestFit="1" customWidth="1"/>
    <col min="1417" max="1417" width="13.21875" bestFit="1" customWidth="1"/>
    <col min="1418" max="1418" width="10.33203125" bestFit="1" customWidth="1"/>
    <col min="1419" max="1419" width="13.21875" bestFit="1" customWidth="1"/>
    <col min="1420" max="1420" width="10.33203125" bestFit="1" customWidth="1"/>
    <col min="1421" max="1421" width="13.21875" bestFit="1" customWidth="1"/>
    <col min="1422" max="1422" width="10.33203125" bestFit="1" customWidth="1"/>
    <col min="1423" max="1423" width="13.21875" bestFit="1" customWidth="1"/>
    <col min="1424" max="1424" width="10.33203125" bestFit="1" customWidth="1"/>
    <col min="1425" max="1425" width="13.21875" bestFit="1" customWidth="1"/>
    <col min="1426" max="1426" width="10.33203125" bestFit="1" customWidth="1"/>
    <col min="1427" max="1427" width="13.21875" bestFit="1" customWidth="1"/>
    <col min="1428" max="1428" width="10.33203125" bestFit="1" customWidth="1"/>
    <col min="1429" max="1429" width="13.21875" bestFit="1" customWidth="1"/>
    <col min="1430" max="1430" width="10.33203125" bestFit="1" customWidth="1"/>
    <col min="1431" max="1431" width="13.21875" bestFit="1" customWidth="1"/>
    <col min="1432" max="1432" width="10.33203125" bestFit="1" customWidth="1"/>
    <col min="1433" max="1433" width="13.21875" bestFit="1" customWidth="1"/>
    <col min="1434" max="1434" width="10.33203125" bestFit="1" customWidth="1"/>
    <col min="1435" max="1435" width="13.21875" bestFit="1" customWidth="1"/>
    <col min="1436" max="1436" width="10.33203125" bestFit="1" customWidth="1"/>
    <col min="1437" max="1437" width="13.21875" bestFit="1" customWidth="1"/>
    <col min="1438" max="1438" width="10.33203125" bestFit="1" customWidth="1"/>
    <col min="1439" max="1439" width="13.21875" bestFit="1" customWidth="1"/>
    <col min="1440" max="1440" width="10.33203125" bestFit="1" customWidth="1"/>
    <col min="1441" max="1441" width="13.21875" bestFit="1" customWidth="1"/>
    <col min="1442" max="1442" width="10.33203125" bestFit="1" customWidth="1"/>
    <col min="1443" max="1443" width="13.21875" bestFit="1" customWidth="1"/>
    <col min="1444" max="1444" width="10.33203125" bestFit="1" customWidth="1"/>
    <col min="1445" max="1445" width="13.21875" bestFit="1" customWidth="1"/>
    <col min="1446" max="1446" width="10.33203125" bestFit="1" customWidth="1"/>
    <col min="1447" max="1447" width="13.21875" bestFit="1" customWidth="1"/>
    <col min="1448" max="1448" width="10.33203125" bestFit="1" customWidth="1"/>
    <col min="1449" max="1449" width="13.21875" bestFit="1" customWidth="1"/>
    <col min="1450" max="1450" width="10.33203125" bestFit="1" customWidth="1"/>
    <col min="1451" max="1451" width="13.21875" bestFit="1" customWidth="1"/>
    <col min="1452" max="1452" width="10.33203125" bestFit="1" customWidth="1"/>
    <col min="1453" max="1453" width="13.21875" bestFit="1" customWidth="1"/>
    <col min="1454" max="1454" width="10.33203125" bestFit="1" customWidth="1"/>
    <col min="1455" max="1455" width="13.21875" bestFit="1" customWidth="1"/>
    <col min="1456" max="1456" width="10.33203125" bestFit="1" customWidth="1"/>
    <col min="1457" max="1457" width="13.21875" bestFit="1" customWidth="1"/>
    <col min="1458" max="1458" width="10.33203125" bestFit="1" customWidth="1"/>
    <col min="1459" max="1459" width="13.21875" bestFit="1" customWidth="1"/>
    <col min="1460" max="1460" width="10.33203125" bestFit="1" customWidth="1"/>
    <col min="1461" max="1461" width="13.21875" bestFit="1" customWidth="1"/>
    <col min="1462" max="1462" width="10.33203125" bestFit="1" customWidth="1"/>
    <col min="1463" max="1463" width="13.21875" bestFit="1" customWidth="1"/>
    <col min="1464" max="1464" width="10.33203125" bestFit="1" customWidth="1"/>
    <col min="1465" max="1465" width="13.21875" bestFit="1" customWidth="1"/>
    <col min="1466" max="1466" width="10.33203125" bestFit="1" customWidth="1"/>
    <col min="1467" max="1467" width="13.21875" bestFit="1" customWidth="1"/>
    <col min="1468" max="1468" width="10.33203125" bestFit="1" customWidth="1"/>
    <col min="1469" max="1469" width="13.21875" bestFit="1" customWidth="1"/>
    <col min="1470" max="1470" width="10.33203125" bestFit="1" customWidth="1"/>
    <col min="1471" max="1471" width="13.21875" bestFit="1" customWidth="1"/>
    <col min="1472" max="1472" width="10.33203125" bestFit="1" customWidth="1"/>
    <col min="1473" max="1473" width="13.21875" bestFit="1" customWidth="1"/>
    <col min="1474" max="1474" width="10.33203125" bestFit="1" customWidth="1"/>
    <col min="1475" max="1475" width="13.21875" bestFit="1" customWidth="1"/>
    <col min="1476" max="1476" width="10.33203125" bestFit="1" customWidth="1"/>
    <col min="1477" max="1477" width="13.21875" bestFit="1" customWidth="1"/>
    <col min="1478" max="1478" width="10.33203125" bestFit="1" customWidth="1"/>
    <col min="1479" max="1479" width="13.21875" bestFit="1" customWidth="1"/>
    <col min="1480" max="1480" width="10.33203125" bestFit="1" customWidth="1"/>
    <col min="1481" max="1481" width="13.21875" bestFit="1" customWidth="1"/>
    <col min="1482" max="1482" width="10.33203125" bestFit="1" customWidth="1"/>
    <col min="1483" max="1483" width="13.21875" bestFit="1" customWidth="1"/>
    <col min="1484" max="1484" width="10.33203125" bestFit="1" customWidth="1"/>
    <col min="1485" max="1485" width="13.21875" bestFit="1" customWidth="1"/>
    <col min="1486" max="1486" width="10.33203125" bestFit="1" customWidth="1"/>
    <col min="1487" max="1487" width="13.21875" bestFit="1" customWidth="1"/>
    <col min="1488" max="1488" width="10.33203125" bestFit="1" customWidth="1"/>
    <col min="1489" max="1489" width="13.21875" bestFit="1" customWidth="1"/>
    <col min="1490" max="1490" width="10.33203125" bestFit="1" customWidth="1"/>
    <col min="1491" max="1491" width="13.21875" bestFit="1" customWidth="1"/>
    <col min="1492" max="1492" width="10.33203125" bestFit="1" customWidth="1"/>
    <col min="1493" max="1493" width="13.21875" bestFit="1" customWidth="1"/>
    <col min="1494" max="1494" width="10.33203125" bestFit="1" customWidth="1"/>
    <col min="1495" max="1495" width="13.21875" bestFit="1" customWidth="1"/>
    <col min="1496" max="1496" width="10.33203125" bestFit="1" customWidth="1"/>
    <col min="1497" max="1497" width="13.21875" bestFit="1" customWidth="1"/>
    <col min="1498" max="1498" width="10.33203125" bestFit="1" customWidth="1"/>
    <col min="1499" max="1499" width="13.21875" bestFit="1" customWidth="1"/>
    <col min="1500" max="1500" width="10.33203125" bestFit="1" customWidth="1"/>
    <col min="1501" max="1501" width="13.21875" bestFit="1" customWidth="1"/>
    <col min="1502" max="1502" width="10.33203125" bestFit="1" customWidth="1"/>
    <col min="1503" max="1503" width="13.21875" bestFit="1" customWidth="1"/>
    <col min="1504" max="1504" width="10.33203125" bestFit="1" customWidth="1"/>
    <col min="1505" max="1505" width="13.21875" bestFit="1" customWidth="1"/>
    <col min="1506" max="1506" width="10.33203125" bestFit="1" customWidth="1"/>
    <col min="1507" max="1507" width="13.21875" bestFit="1" customWidth="1"/>
    <col min="1508" max="1508" width="10.33203125" bestFit="1" customWidth="1"/>
    <col min="1509" max="1509" width="13.21875" bestFit="1" customWidth="1"/>
    <col min="1510" max="1510" width="10.33203125" bestFit="1" customWidth="1"/>
    <col min="1511" max="1511" width="13.21875" bestFit="1" customWidth="1"/>
    <col min="1512" max="1512" width="10.33203125" bestFit="1" customWidth="1"/>
    <col min="1513" max="1513" width="13.21875" bestFit="1" customWidth="1"/>
    <col min="1514" max="1514" width="10.33203125" bestFit="1" customWidth="1"/>
    <col min="1515" max="1515" width="13.21875" bestFit="1" customWidth="1"/>
    <col min="1516" max="1516" width="10.33203125" bestFit="1" customWidth="1"/>
    <col min="1517" max="1517" width="13.21875" bestFit="1" customWidth="1"/>
    <col min="1518" max="1518" width="10.33203125" bestFit="1" customWidth="1"/>
    <col min="1519" max="1519" width="13.21875" bestFit="1" customWidth="1"/>
    <col min="1520" max="1520" width="10.33203125" bestFit="1" customWidth="1"/>
    <col min="1521" max="1521" width="13.21875" bestFit="1" customWidth="1"/>
    <col min="1522" max="1522" width="10.33203125" bestFit="1" customWidth="1"/>
    <col min="1523" max="1523" width="13.21875" bestFit="1" customWidth="1"/>
    <col min="1524" max="1524" width="10.33203125" bestFit="1" customWidth="1"/>
    <col min="1525" max="1525" width="13.21875" bestFit="1" customWidth="1"/>
    <col min="1526" max="1526" width="10.33203125" bestFit="1" customWidth="1"/>
    <col min="1527" max="1527" width="13.21875" bestFit="1" customWidth="1"/>
    <col min="1528" max="1528" width="10.33203125" bestFit="1" customWidth="1"/>
    <col min="1529" max="1529" width="13.21875" bestFit="1" customWidth="1"/>
    <col min="1530" max="1530" width="10.33203125" bestFit="1" customWidth="1"/>
    <col min="1531" max="1531" width="13.21875" bestFit="1" customWidth="1"/>
    <col min="1532" max="1532" width="10.33203125" bestFit="1" customWidth="1"/>
    <col min="1533" max="1533" width="13.21875" bestFit="1" customWidth="1"/>
    <col min="1534" max="1534" width="10.33203125" bestFit="1" customWidth="1"/>
    <col min="1535" max="1535" width="13.21875" bestFit="1" customWidth="1"/>
    <col min="1536" max="1536" width="10.33203125" bestFit="1" customWidth="1"/>
    <col min="1537" max="1537" width="13.21875" bestFit="1" customWidth="1"/>
    <col min="1538" max="1538" width="10.33203125" bestFit="1" customWidth="1"/>
    <col min="1539" max="1539" width="13.21875" bestFit="1" customWidth="1"/>
    <col min="1540" max="1540" width="10.33203125" bestFit="1" customWidth="1"/>
    <col min="1541" max="1541" width="13.21875" bestFit="1" customWidth="1"/>
    <col min="1542" max="1542" width="10.33203125" bestFit="1" customWidth="1"/>
    <col min="1543" max="1543" width="13.21875" bestFit="1" customWidth="1"/>
    <col min="1544" max="1544" width="10.33203125" bestFit="1" customWidth="1"/>
    <col min="1545" max="1545" width="13.21875" bestFit="1" customWidth="1"/>
    <col min="1546" max="1546" width="10.33203125" bestFit="1" customWidth="1"/>
    <col min="1547" max="1547" width="13.21875" bestFit="1" customWidth="1"/>
    <col min="1548" max="1548" width="10.33203125" bestFit="1" customWidth="1"/>
    <col min="1549" max="1549" width="13.21875" bestFit="1" customWidth="1"/>
    <col min="1550" max="1550" width="10.33203125" bestFit="1" customWidth="1"/>
    <col min="1551" max="1551" width="13.21875" bestFit="1" customWidth="1"/>
    <col min="1552" max="1552" width="10.33203125" bestFit="1" customWidth="1"/>
    <col min="1553" max="1553" width="13.21875" bestFit="1" customWidth="1"/>
    <col min="1554" max="1554" width="10.33203125" bestFit="1" customWidth="1"/>
    <col min="1555" max="1555" width="13.21875" bestFit="1" customWidth="1"/>
    <col min="1556" max="1556" width="10.33203125" bestFit="1" customWidth="1"/>
    <col min="1557" max="1557" width="13.21875" bestFit="1" customWidth="1"/>
    <col min="1558" max="1558" width="10.33203125" bestFit="1" customWidth="1"/>
    <col min="1559" max="1559" width="13.21875" bestFit="1" customWidth="1"/>
    <col min="1560" max="1560" width="10.33203125" bestFit="1" customWidth="1"/>
    <col min="1561" max="1561" width="13.21875" bestFit="1" customWidth="1"/>
    <col min="1562" max="1562" width="10.33203125" bestFit="1" customWidth="1"/>
    <col min="1563" max="1563" width="13.21875" bestFit="1" customWidth="1"/>
    <col min="1564" max="1564" width="10.33203125" bestFit="1" customWidth="1"/>
    <col min="1565" max="1565" width="13.21875" bestFit="1" customWidth="1"/>
    <col min="1566" max="1566" width="10.33203125" bestFit="1" customWidth="1"/>
    <col min="1567" max="1567" width="13.21875" bestFit="1" customWidth="1"/>
    <col min="1568" max="1568" width="10.33203125" bestFit="1" customWidth="1"/>
    <col min="1569" max="1569" width="13.21875" bestFit="1" customWidth="1"/>
    <col min="1570" max="1570" width="10.33203125" bestFit="1" customWidth="1"/>
    <col min="1571" max="1571" width="13.21875" bestFit="1" customWidth="1"/>
    <col min="1572" max="1572" width="10.33203125" bestFit="1" customWidth="1"/>
    <col min="1573" max="1573" width="13.21875" bestFit="1" customWidth="1"/>
    <col min="1574" max="1574" width="10.33203125" bestFit="1" customWidth="1"/>
    <col min="1575" max="1575" width="13.21875" bestFit="1" customWidth="1"/>
    <col min="1576" max="1576" width="10.33203125" bestFit="1" customWidth="1"/>
    <col min="1577" max="1577" width="13.21875" bestFit="1" customWidth="1"/>
    <col min="1578" max="1578" width="10.33203125" bestFit="1" customWidth="1"/>
    <col min="1579" max="1579" width="13.21875" bestFit="1" customWidth="1"/>
    <col min="1580" max="1580" width="10.33203125" bestFit="1" customWidth="1"/>
    <col min="1581" max="1581" width="13.21875" bestFit="1" customWidth="1"/>
    <col min="1582" max="1582" width="10.33203125" bestFit="1" customWidth="1"/>
    <col min="1583" max="1583" width="13.21875" bestFit="1" customWidth="1"/>
    <col min="1584" max="1584" width="10.33203125" bestFit="1" customWidth="1"/>
    <col min="1585" max="1585" width="13.21875" bestFit="1" customWidth="1"/>
    <col min="1586" max="1586" width="10.33203125" bestFit="1" customWidth="1"/>
    <col min="1587" max="1587" width="13.21875" bestFit="1" customWidth="1"/>
    <col min="1588" max="1588" width="10.33203125" bestFit="1" customWidth="1"/>
    <col min="1589" max="1589" width="13.21875" bestFit="1" customWidth="1"/>
    <col min="1590" max="1590" width="10.33203125" bestFit="1" customWidth="1"/>
    <col min="1591" max="1591" width="13.21875" bestFit="1" customWidth="1"/>
    <col min="1592" max="1592" width="10.33203125" bestFit="1" customWidth="1"/>
    <col min="1593" max="1593" width="13.21875" bestFit="1" customWidth="1"/>
    <col min="1594" max="1594" width="10.33203125" bestFit="1" customWidth="1"/>
    <col min="1595" max="1595" width="13.21875" bestFit="1" customWidth="1"/>
    <col min="1596" max="1596" width="10.33203125" bestFit="1" customWidth="1"/>
    <col min="1597" max="1597" width="13.21875" bestFit="1" customWidth="1"/>
    <col min="1598" max="1598" width="10.33203125" bestFit="1" customWidth="1"/>
    <col min="1599" max="1599" width="13.21875" bestFit="1" customWidth="1"/>
    <col min="1600" max="1600" width="10.33203125" bestFit="1" customWidth="1"/>
    <col min="1601" max="1601" width="13.21875" bestFit="1" customWidth="1"/>
    <col min="1602" max="1602" width="10.33203125" bestFit="1" customWidth="1"/>
    <col min="1603" max="1603" width="13.21875" bestFit="1" customWidth="1"/>
    <col min="1604" max="1604" width="10.33203125" bestFit="1" customWidth="1"/>
    <col min="1605" max="1605" width="13.21875" bestFit="1" customWidth="1"/>
    <col min="1606" max="1606" width="10.33203125" bestFit="1" customWidth="1"/>
    <col min="1607" max="1607" width="13.21875" bestFit="1" customWidth="1"/>
    <col min="1608" max="1608" width="10.33203125" bestFit="1" customWidth="1"/>
    <col min="1609" max="1609" width="13.21875" bestFit="1" customWidth="1"/>
    <col min="1610" max="1610" width="10.33203125" bestFit="1" customWidth="1"/>
    <col min="1611" max="1611" width="13.21875" bestFit="1" customWidth="1"/>
    <col min="1612" max="1612" width="10.33203125" bestFit="1" customWidth="1"/>
    <col min="1613" max="1613" width="13.21875" bestFit="1" customWidth="1"/>
    <col min="1614" max="1614" width="10.33203125" bestFit="1" customWidth="1"/>
    <col min="1615" max="1615" width="13.21875" bestFit="1" customWidth="1"/>
    <col min="1616" max="1616" width="10.33203125" bestFit="1" customWidth="1"/>
    <col min="1617" max="1617" width="13.21875" bestFit="1" customWidth="1"/>
    <col min="1618" max="1618" width="10.33203125" bestFit="1" customWidth="1"/>
    <col min="1619" max="1619" width="13.21875" bestFit="1" customWidth="1"/>
    <col min="1620" max="1620" width="10.33203125" bestFit="1" customWidth="1"/>
    <col min="1621" max="1621" width="13.21875" bestFit="1" customWidth="1"/>
    <col min="1622" max="1622" width="10.33203125" bestFit="1" customWidth="1"/>
    <col min="1623" max="1623" width="13.21875" bestFit="1" customWidth="1"/>
    <col min="1624" max="1624" width="10.33203125" bestFit="1" customWidth="1"/>
    <col min="1625" max="1625" width="13.21875" bestFit="1" customWidth="1"/>
    <col min="1626" max="1626" width="10.33203125" bestFit="1" customWidth="1"/>
    <col min="1627" max="1627" width="13.21875" bestFit="1" customWidth="1"/>
    <col min="1628" max="1628" width="10.33203125" bestFit="1" customWidth="1"/>
    <col min="1629" max="1629" width="13.21875" bestFit="1" customWidth="1"/>
    <col min="1630" max="1630" width="10.33203125" bestFit="1" customWidth="1"/>
    <col min="1631" max="1631" width="13.21875" bestFit="1" customWidth="1"/>
    <col min="1632" max="1632" width="10.33203125" bestFit="1" customWidth="1"/>
    <col min="1633" max="1633" width="13.21875" bestFit="1" customWidth="1"/>
    <col min="1634" max="1634" width="10.33203125" bestFit="1" customWidth="1"/>
    <col min="1635" max="1635" width="13.21875" bestFit="1" customWidth="1"/>
    <col min="1636" max="1636" width="10.33203125" bestFit="1" customWidth="1"/>
    <col min="1637" max="1637" width="13.21875" bestFit="1" customWidth="1"/>
    <col min="1638" max="1638" width="10.33203125" bestFit="1" customWidth="1"/>
    <col min="1639" max="1639" width="13.21875" bestFit="1" customWidth="1"/>
    <col min="1640" max="1640" width="10.33203125" bestFit="1" customWidth="1"/>
    <col min="1641" max="1641" width="13.21875" bestFit="1" customWidth="1"/>
    <col min="1642" max="1642" width="10.33203125" bestFit="1" customWidth="1"/>
    <col min="1643" max="1643" width="13.21875" bestFit="1" customWidth="1"/>
    <col min="1644" max="1644" width="10.33203125" bestFit="1" customWidth="1"/>
    <col min="1645" max="1645" width="13.21875" bestFit="1" customWidth="1"/>
    <col min="1646" max="1646" width="10.33203125" bestFit="1" customWidth="1"/>
    <col min="1647" max="1647" width="13.21875" bestFit="1" customWidth="1"/>
    <col min="1648" max="1648" width="10.33203125" bestFit="1" customWidth="1"/>
    <col min="1649" max="1649" width="13.21875" bestFit="1" customWidth="1"/>
    <col min="1650" max="1650" width="10.33203125" bestFit="1" customWidth="1"/>
    <col min="1651" max="1651" width="13.21875" bestFit="1" customWidth="1"/>
    <col min="1652" max="1652" width="10.33203125" bestFit="1" customWidth="1"/>
    <col min="1653" max="1653" width="13.21875" bestFit="1" customWidth="1"/>
    <col min="1654" max="1654" width="10.33203125" bestFit="1" customWidth="1"/>
    <col min="1655" max="1655" width="13.21875" bestFit="1" customWidth="1"/>
    <col min="1656" max="1656" width="10.33203125" bestFit="1" customWidth="1"/>
    <col min="1657" max="1657" width="13.21875" bestFit="1" customWidth="1"/>
    <col min="1658" max="1658" width="10.33203125" bestFit="1" customWidth="1"/>
    <col min="1659" max="1659" width="13.21875" bestFit="1" customWidth="1"/>
    <col min="1660" max="1660" width="10.33203125" bestFit="1" customWidth="1"/>
    <col min="1661" max="1661" width="13.21875" bestFit="1" customWidth="1"/>
    <col min="1662" max="1662" width="10.33203125" bestFit="1" customWidth="1"/>
    <col min="1663" max="1663" width="13.21875" bestFit="1" customWidth="1"/>
    <col min="1664" max="1664" width="10.33203125" bestFit="1" customWidth="1"/>
    <col min="1665" max="1665" width="13.21875" bestFit="1" customWidth="1"/>
    <col min="1666" max="1666" width="10.33203125" bestFit="1" customWidth="1"/>
    <col min="1667" max="1667" width="13.21875" bestFit="1" customWidth="1"/>
    <col min="1668" max="1668" width="10.33203125" bestFit="1" customWidth="1"/>
    <col min="1669" max="1669" width="13.21875" bestFit="1" customWidth="1"/>
    <col min="1670" max="1670" width="10.33203125" bestFit="1" customWidth="1"/>
    <col min="1671" max="1671" width="13.21875" bestFit="1" customWidth="1"/>
    <col min="1672" max="1672" width="10.33203125" bestFit="1" customWidth="1"/>
    <col min="1673" max="1673" width="13.21875" bestFit="1" customWidth="1"/>
    <col min="1674" max="1674" width="10.33203125" bestFit="1" customWidth="1"/>
    <col min="1675" max="1675" width="13.21875" bestFit="1" customWidth="1"/>
    <col min="1676" max="1676" width="10.33203125" bestFit="1" customWidth="1"/>
    <col min="1677" max="1677" width="13.21875" bestFit="1" customWidth="1"/>
    <col min="1678" max="1678" width="10.33203125" bestFit="1" customWidth="1"/>
    <col min="1679" max="1679" width="13.21875" bestFit="1" customWidth="1"/>
    <col min="1680" max="1680" width="10.33203125" bestFit="1" customWidth="1"/>
    <col min="1681" max="1681" width="13.21875" bestFit="1" customWidth="1"/>
    <col min="1682" max="1682" width="10.33203125" bestFit="1" customWidth="1"/>
    <col min="1683" max="1683" width="13.21875" bestFit="1" customWidth="1"/>
    <col min="1684" max="1684" width="10.33203125" bestFit="1" customWidth="1"/>
    <col min="1685" max="1685" width="13.21875" bestFit="1" customWidth="1"/>
    <col min="1686" max="1686" width="10.33203125" bestFit="1" customWidth="1"/>
    <col min="1687" max="1687" width="13.21875" bestFit="1" customWidth="1"/>
    <col min="1688" max="1688" width="10.33203125" bestFit="1" customWidth="1"/>
    <col min="1689" max="1689" width="13.21875" bestFit="1" customWidth="1"/>
    <col min="1690" max="1690" width="10.33203125" bestFit="1" customWidth="1"/>
    <col min="1691" max="1691" width="13.21875" bestFit="1" customWidth="1"/>
    <col min="1692" max="1692" width="10.33203125" bestFit="1" customWidth="1"/>
    <col min="1693" max="1693" width="13.21875" bestFit="1" customWidth="1"/>
    <col min="1694" max="1694" width="10.33203125" bestFit="1" customWidth="1"/>
    <col min="1695" max="1695" width="13.21875" bestFit="1" customWidth="1"/>
    <col min="1696" max="1696" width="10.33203125" bestFit="1" customWidth="1"/>
    <col min="1697" max="1697" width="13.21875" bestFit="1" customWidth="1"/>
    <col min="1698" max="1698" width="10.33203125" bestFit="1" customWidth="1"/>
    <col min="1699" max="1699" width="13.21875" bestFit="1" customWidth="1"/>
    <col min="1700" max="1700" width="10.33203125" bestFit="1" customWidth="1"/>
    <col min="1701" max="1701" width="13.21875" bestFit="1" customWidth="1"/>
    <col min="1702" max="1702" width="10.33203125" bestFit="1" customWidth="1"/>
    <col min="1703" max="1703" width="13.21875" bestFit="1" customWidth="1"/>
    <col min="1704" max="1704" width="10.33203125" bestFit="1" customWidth="1"/>
    <col min="1705" max="1705" width="13.21875" bestFit="1" customWidth="1"/>
    <col min="1706" max="1706" width="10.33203125" bestFit="1" customWidth="1"/>
    <col min="1707" max="1707" width="13.21875" bestFit="1" customWidth="1"/>
    <col min="1708" max="1708" width="10.33203125" bestFit="1" customWidth="1"/>
    <col min="1709" max="1709" width="13.21875" bestFit="1" customWidth="1"/>
    <col min="1710" max="1710" width="10.33203125" bestFit="1" customWidth="1"/>
    <col min="1711" max="1711" width="13.21875" bestFit="1" customWidth="1"/>
    <col min="1712" max="1712" width="10.33203125" bestFit="1" customWidth="1"/>
    <col min="1713" max="1713" width="13.21875" bestFit="1" customWidth="1"/>
    <col min="1714" max="1714" width="10.33203125" bestFit="1" customWidth="1"/>
    <col min="1715" max="1715" width="13.21875" bestFit="1" customWidth="1"/>
    <col min="1716" max="1716" width="10.33203125" bestFit="1" customWidth="1"/>
    <col min="1717" max="1717" width="13.21875" bestFit="1" customWidth="1"/>
    <col min="1718" max="1718" width="10.33203125" bestFit="1" customWidth="1"/>
    <col min="1719" max="1719" width="13.21875" bestFit="1" customWidth="1"/>
    <col min="1720" max="1720" width="10.33203125" bestFit="1" customWidth="1"/>
    <col min="1721" max="1721" width="13.21875" bestFit="1" customWidth="1"/>
    <col min="1722" max="1722" width="10.33203125" bestFit="1" customWidth="1"/>
    <col min="1723" max="1723" width="13.21875" bestFit="1" customWidth="1"/>
    <col min="1724" max="1724" width="10.33203125" bestFit="1" customWidth="1"/>
    <col min="1725" max="1725" width="13.21875" bestFit="1" customWidth="1"/>
    <col min="1726" max="1726" width="10.33203125" bestFit="1" customWidth="1"/>
    <col min="1727" max="1727" width="13.21875" bestFit="1" customWidth="1"/>
    <col min="1728" max="1728" width="10.33203125" bestFit="1" customWidth="1"/>
    <col min="1729" max="1729" width="13.21875" bestFit="1" customWidth="1"/>
    <col min="1730" max="1730" width="10.33203125" bestFit="1" customWidth="1"/>
    <col min="1731" max="1731" width="13.21875" bestFit="1" customWidth="1"/>
    <col min="1732" max="1732" width="10.33203125" bestFit="1" customWidth="1"/>
    <col min="1733" max="1733" width="13.21875" bestFit="1" customWidth="1"/>
    <col min="1734" max="1734" width="10.33203125" bestFit="1" customWidth="1"/>
    <col min="1735" max="1735" width="13.21875" bestFit="1" customWidth="1"/>
    <col min="1736" max="1736" width="10.33203125" bestFit="1" customWidth="1"/>
    <col min="1737" max="1737" width="13.21875" bestFit="1" customWidth="1"/>
    <col min="1738" max="1738" width="10.33203125" bestFit="1" customWidth="1"/>
    <col min="1739" max="1739" width="13.21875" bestFit="1" customWidth="1"/>
    <col min="1740" max="1740" width="10.33203125" bestFit="1" customWidth="1"/>
    <col min="1741" max="1741" width="13.21875" bestFit="1" customWidth="1"/>
    <col min="1742" max="1742" width="10.33203125" bestFit="1" customWidth="1"/>
    <col min="1743" max="1743" width="13.21875" bestFit="1" customWidth="1"/>
    <col min="1744" max="1744" width="10.33203125" bestFit="1" customWidth="1"/>
    <col min="1745" max="1745" width="13.21875" bestFit="1" customWidth="1"/>
    <col min="1746" max="1746" width="10.33203125" bestFit="1" customWidth="1"/>
    <col min="1747" max="1747" width="13.21875" bestFit="1" customWidth="1"/>
    <col min="1748" max="1748" width="10.33203125" bestFit="1" customWidth="1"/>
    <col min="1749" max="1749" width="13.21875" bestFit="1" customWidth="1"/>
    <col min="1750" max="1750" width="10.33203125" bestFit="1" customWidth="1"/>
    <col min="1751" max="1751" width="13.21875" bestFit="1" customWidth="1"/>
    <col min="1752" max="1752" width="10.33203125" bestFit="1" customWidth="1"/>
    <col min="1753" max="1753" width="13.21875" bestFit="1" customWidth="1"/>
    <col min="1754" max="1754" width="10.33203125" bestFit="1" customWidth="1"/>
    <col min="1755" max="1755" width="13.21875" bestFit="1" customWidth="1"/>
    <col min="1756" max="1756" width="10.33203125" bestFit="1" customWidth="1"/>
    <col min="1757" max="1757" width="13.21875" bestFit="1" customWidth="1"/>
    <col min="1758" max="1758" width="10.33203125" bestFit="1" customWidth="1"/>
    <col min="1759" max="1759" width="13.21875" bestFit="1" customWidth="1"/>
    <col min="1760" max="1760" width="10.33203125" bestFit="1" customWidth="1"/>
    <col min="1761" max="1761" width="13.21875" bestFit="1" customWidth="1"/>
    <col min="1762" max="1762" width="10.33203125" bestFit="1" customWidth="1"/>
    <col min="1763" max="1763" width="13.21875" bestFit="1" customWidth="1"/>
    <col min="1764" max="1764" width="10.33203125" bestFit="1" customWidth="1"/>
    <col min="1765" max="1765" width="13.21875" bestFit="1" customWidth="1"/>
    <col min="1766" max="1766" width="10.33203125" bestFit="1" customWidth="1"/>
    <col min="1767" max="1767" width="13.21875" bestFit="1" customWidth="1"/>
    <col min="1768" max="1768" width="10.33203125" bestFit="1" customWidth="1"/>
    <col min="1769" max="1769" width="13.21875" bestFit="1" customWidth="1"/>
    <col min="1770" max="1770" width="10.33203125" bestFit="1" customWidth="1"/>
    <col min="1771" max="1771" width="13.21875" bestFit="1" customWidth="1"/>
    <col min="1772" max="1772" width="10.33203125" bestFit="1" customWidth="1"/>
    <col min="1773" max="1773" width="13.21875" bestFit="1" customWidth="1"/>
    <col min="1774" max="1774" width="10.33203125" bestFit="1" customWidth="1"/>
    <col min="1775" max="1775" width="13.21875" bestFit="1" customWidth="1"/>
    <col min="1776" max="1776" width="10.33203125" bestFit="1" customWidth="1"/>
    <col min="1777" max="1777" width="13.21875" bestFit="1" customWidth="1"/>
    <col min="1778" max="1778" width="10.33203125" bestFit="1" customWidth="1"/>
    <col min="1779" max="1779" width="13.21875" bestFit="1" customWidth="1"/>
    <col min="1780" max="1780" width="10.33203125" bestFit="1" customWidth="1"/>
    <col min="1781" max="1781" width="13.21875" bestFit="1" customWidth="1"/>
    <col min="1782" max="1782" width="10.33203125" bestFit="1" customWidth="1"/>
    <col min="1783" max="1783" width="13.21875" bestFit="1" customWidth="1"/>
    <col min="1784" max="1784" width="10.33203125" bestFit="1" customWidth="1"/>
    <col min="1785" max="1785" width="13.21875" bestFit="1" customWidth="1"/>
    <col min="1786" max="1786" width="10.33203125" bestFit="1" customWidth="1"/>
    <col min="1787" max="1787" width="13.21875" bestFit="1" customWidth="1"/>
    <col min="1788" max="1788" width="10.33203125" bestFit="1" customWidth="1"/>
    <col min="1789" max="1789" width="13.21875" bestFit="1" customWidth="1"/>
    <col min="1790" max="1790" width="10.33203125" bestFit="1" customWidth="1"/>
    <col min="1791" max="1791" width="13.21875" bestFit="1" customWidth="1"/>
    <col min="1792" max="1792" width="10.33203125" bestFit="1" customWidth="1"/>
    <col min="1793" max="1793" width="13.21875" bestFit="1" customWidth="1"/>
    <col min="1794" max="1794" width="10.33203125" bestFit="1" customWidth="1"/>
    <col min="1795" max="1795" width="13.21875" bestFit="1" customWidth="1"/>
    <col min="1796" max="1796" width="10.33203125" bestFit="1" customWidth="1"/>
    <col min="1797" max="1797" width="13.21875" bestFit="1" customWidth="1"/>
    <col min="1798" max="1798" width="10.33203125" bestFit="1" customWidth="1"/>
    <col min="1799" max="1799" width="13.21875" bestFit="1" customWidth="1"/>
    <col min="1800" max="1800" width="10.33203125" bestFit="1" customWidth="1"/>
    <col min="1801" max="1801" width="13.21875" bestFit="1" customWidth="1"/>
    <col min="1802" max="1802" width="10.33203125" bestFit="1" customWidth="1"/>
    <col min="1803" max="1803" width="13.21875" bestFit="1" customWidth="1"/>
    <col min="1804" max="1804" width="10.33203125" bestFit="1" customWidth="1"/>
    <col min="1805" max="1805" width="13.21875" bestFit="1" customWidth="1"/>
    <col min="1806" max="1806" width="10.33203125" bestFit="1" customWidth="1"/>
    <col min="1807" max="1807" width="13.21875" bestFit="1" customWidth="1"/>
    <col min="1808" max="1808" width="10.33203125" bestFit="1" customWidth="1"/>
    <col min="1809" max="1809" width="13.21875" bestFit="1" customWidth="1"/>
    <col min="1810" max="1810" width="10.33203125" bestFit="1" customWidth="1"/>
    <col min="1811" max="1811" width="13.21875" bestFit="1" customWidth="1"/>
    <col min="1812" max="1812" width="10.33203125" bestFit="1" customWidth="1"/>
    <col min="1813" max="1813" width="13.21875" bestFit="1" customWidth="1"/>
    <col min="1814" max="1814" width="10.33203125" bestFit="1" customWidth="1"/>
    <col min="1815" max="1815" width="13.21875" bestFit="1" customWidth="1"/>
    <col min="1816" max="1816" width="10.33203125" bestFit="1" customWidth="1"/>
    <col min="1817" max="1817" width="13.21875" bestFit="1" customWidth="1"/>
    <col min="1818" max="1818" width="10.33203125" bestFit="1" customWidth="1"/>
    <col min="1819" max="1819" width="13.21875" bestFit="1" customWidth="1"/>
    <col min="1820" max="1820" width="10.33203125" bestFit="1" customWidth="1"/>
    <col min="1821" max="1821" width="13.21875" bestFit="1" customWidth="1"/>
    <col min="1822" max="1822" width="10.33203125" bestFit="1" customWidth="1"/>
    <col min="1823" max="1823" width="13.21875" bestFit="1" customWidth="1"/>
    <col min="1824" max="1824" width="10.33203125" bestFit="1" customWidth="1"/>
    <col min="1825" max="1825" width="13.21875" bestFit="1" customWidth="1"/>
    <col min="1826" max="1826" width="10.33203125" bestFit="1" customWidth="1"/>
    <col min="1827" max="1827" width="13.21875" bestFit="1" customWidth="1"/>
    <col min="1828" max="1828" width="10.33203125" bestFit="1" customWidth="1"/>
    <col min="1829" max="1829" width="13.21875" bestFit="1" customWidth="1"/>
    <col min="1830" max="1830" width="10.33203125" bestFit="1" customWidth="1"/>
    <col min="1831" max="1831" width="13.21875" bestFit="1" customWidth="1"/>
    <col min="1832" max="1832" width="10.33203125" bestFit="1" customWidth="1"/>
    <col min="1833" max="1833" width="13.21875" bestFit="1" customWidth="1"/>
    <col min="1834" max="1834" width="10.33203125" bestFit="1" customWidth="1"/>
    <col min="1835" max="1835" width="13.21875" bestFit="1" customWidth="1"/>
    <col min="1836" max="1836" width="10.33203125" bestFit="1" customWidth="1"/>
    <col min="1837" max="1837" width="13.21875" bestFit="1" customWidth="1"/>
    <col min="1838" max="1838" width="10.33203125" bestFit="1" customWidth="1"/>
    <col min="1839" max="1839" width="13.21875" bestFit="1" customWidth="1"/>
    <col min="1840" max="1840" width="10.33203125" bestFit="1" customWidth="1"/>
    <col min="1841" max="1841" width="13.21875" bestFit="1" customWidth="1"/>
    <col min="1842" max="1842" width="10.33203125" bestFit="1" customWidth="1"/>
    <col min="1843" max="1843" width="13.21875" bestFit="1" customWidth="1"/>
    <col min="1844" max="1844" width="10.33203125" bestFit="1" customWidth="1"/>
    <col min="1845" max="1845" width="13.21875" bestFit="1" customWidth="1"/>
    <col min="1846" max="1846" width="10.33203125" bestFit="1" customWidth="1"/>
    <col min="1847" max="1847" width="13.21875" bestFit="1" customWidth="1"/>
    <col min="1848" max="1848" width="10.33203125" bestFit="1" customWidth="1"/>
    <col min="1849" max="1849" width="13.21875" bestFit="1" customWidth="1"/>
    <col min="1850" max="1850" width="10.33203125" bestFit="1" customWidth="1"/>
    <col min="1851" max="1851" width="13.21875" bestFit="1" customWidth="1"/>
    <col min="1852" max="1852" width="10.33203125" bestFit="1" customWidth="1"/>
    <col min="1853" max="1853" width="13.21875" bestFit="1" customWidth="1"/>
    <col min="1854" max="1854" width="10.33203125" bestFit="1" customWidth="1"/>
    <col min="1855" max="1855" width="13.21875" bestFit="1" customWidth="1"/>
    <col min="1856" max="1856" width="10.33203125" bestFit="1" customWidth="1"/>
    <col min="1857" max="1857" width="13.21875" bestFit="1" customWidth="1"/>
    <col min="1858" max="1858" width="10.33203125" bestFit="1" customWidth="1"/>
    <col min="1859" max="1859" width="13.21875" bestFit="1" customWidth="1"/>
    <col min="1860" max="1860" width="10.33203125" bestFit="1" customWidth="1"/>
    <col min="1861" max="1861" width="13.21875" bestFit="1" customWidth="1"/>
    <col min="1862" max="1862" width="10.33203125" bestFit="1" customWidth="1"/>
    <col min="1863" max="1863" width="13.21875" bestFit="1" customWidth="1"/>
    <col min="1864" max="1864" width="10.33203125" bestFit="1" customWidth="1"/>
    <col min="1865" max="1865" width="13.21875" bestFit="1" customWidth="1"/>
    <col min="1866" max="1866" width="10.33203125" bestFit="1" customWidth="1"/>
    <col min="1867" max="1867" width="13.21875" bestFit="1" customWidth="1"/>
    <col min="1868" max="1868" width="10.33203125" bestFit="1" customWidth="1"/>
    <col min="1869" max="1869" width="13.21875" bestFit="1" customWidth="1"/>
    <col min="1870" max="1870" width="10.33203125" bestFit="1" customWidth="1"/>
    <col min="1871" max="1871" width="13.21875" bestFit="1" customWidth="1"/>
    <col min="1872" max="1872" width="10.33203125" bestFit="1" customWidth="1"/>
    <col min="1873" max="1873" width="13.21875" bestFit="1" customWidth="1"/>
    <col min="1874" max="1874" width="10.33203125" bestFit="1" customWidth="1"/>
    <col min="1875" max="1875" width="13.21875" bestFit="1" customWidth="1"/>
    <col min="1876" max="1876" width="10.33203125" bestFit="1" customWidth="1"/>
    <col min="1877" max="1877" width="13.21875" bestFit="1" customWidth="1"/>
    <col min="1878" max="1878" width="10.33203125" bestFit="1" customWidth="1"/>
    <col min="1879" max="1879" width="13.21875" bestFit="1" customWidth="1"/>
    <col min="1880" max="1880" width="10.33203125" bestFit="1" customWidth="1"/>
    <col min="1881" max="1881" width="13.21875" bestFit="1" customWidth="1"/>
    <col min="1882" max="1882" width="10.33203125" bestFit="1" customWidth="1"/>
    <col min="1883" max="1883" width="13.21875" bestFit="1" customWidth="1"/>
    <col min="1884" max="1884" width="10.33203125" bestFit="1" customWidth="1"/>
    <col min="1885" max="1885" width="13.21875" bestFit="1" customWidth="1"/>
    <col min="1886" max="1886" width="10.33203125" bestFit="1" customWidth="1"/>
    <col min="1887" max="1887" width="13.21875" bestFit="1" customWidth="1"/>
    <col min="1888" max="1888" width="10.33203125" bestFit="1" customWidth="1"/>
    <col min="1889" max="1889" width="13.21875" bestFit="1" customWidth="1"/>
    <col min="1890" max="1890" width="10.33203125" bestFit="1" customWidth="1"/>
    <col min="1891" max="1891" width="13.21875" bestFit="1" customWidth="1"/>
    <col min="1892" max="1892" width="10.33203125" bestFit="1" customWidth="1"/>
    <col min="1893" max="1893" width="13.21875" bestFit="1" customWidth="1"/>
    <col min="1894" max="1894" width="10.33203125" bestFit="1" customWidth="1"/>
    <col min="1895" max="1895" width="13.21875" bestFit="1" customWidth="1"/>
    <col min="1896" max="1896" width="10.33203125" bestFit="1" customWidth="1"/>
    <col min="1897" max="1897" width="13.21875" bestFit="1" customWidth="1"/>
    <col min="1898" max="1898" width="10.33203125" bestFit="1" customWidth="1"/>
    <col min="1899" max="1899" width="13.21875" bestFit="1" customWidth="1"/>
    <col min="1900" max="1900" width="10.33203125" bestFit="1" customWidth="1"/>
    <col min="1901" max="1901" width="13.21875" bestFit="1" customWidth="1"/>
    <col min="1902" max="1902" width="10.33203125" bestFit="1" customWidth="1"/>
    <col min="1903" max="1903" width="13.21875" bestFit="1" customWidth="1"/>
    <col min="1904" max="1904" width="10.33203125" bestFit="1" customWidth="1"/>
    <col min="1905" max="1905" width="13.21875" bestFit="1" customWidth="1"/>
    <col min="1906" max="1906" width="10.33203125" bestFit="1" customWidth="1"/>
    <col min="1907" max="1907" width="13.21875" bestFit="1" customWidth="1"/>
    <col min="1908" max="1908" width="10.33203125" bestFit="1" customWidth="1"/>
    <col min="1909" max="1909" width="13.21875" bestFit="1" customWidth="1"/>
    <col min="1910" max="1910" width="10.33203125" bestFit="1" customWidth="1"/>
    <col min="1911" max="1911" width="13.21875" bestFit="1" customWidth="1"/>
    <col min="1912" max="1912" width="10.33203125" bestFit="1" customWidth="1"/>
    <col min="1913" max="1913" width="13.21875" bestFit="1" customWidth="1"/>
    <col min="1914" max="1914" width="10.33203125" bestFit="1" customWidth="1"/>
    <col min="1915" max="1915" width="13.21875" bestFit="1" customWidth="1"/>
    <col min="1916" max="1916" width="10.33203125" bestFit="1" customWidth="1"/>
    <col min="1917" max="1917" width="13.21875" bestFit="1" customWidth="1"/>
    <col min="1918" max="1918" width="10.33203125" bestFit="1" customWidth="1"/>
    <col min="1919" max="1919" width="13.21875" bestFit="1" customWidth="1"/>
    <col min="1920" max="1920" width="10.33203125" bestFit="1" customWidth="1"/>
    <col min="1921" max="1921" width="13.21875" bestFit="1" customWidth="1"/>
    <col min="1922" max="1922" width="10.33203125" bestFit="1" customWidth="1"/>
    <col min="1923" max="1923" width="13.21875" bestFit="1" customWidth="1"/>
    <col min="1924" max="1924" width="10.33203125" bestFit="1" customWidth="1"/>
    <col min="1925" max="1925" width="13.21875" bestFit="1" customWidth="1"/>
    <col min="1926" max="1926" width="10.33203125" bestFit="1" customWidth="1"/>
    <col min="1927" max="1927" width="13.21875" bestFit="1" customWidth="1"/>
    <col min="1928" max="1928" width="10.33203125" bestFit="1" customWidth="1"/>
    <col min="1929" max="1929" width="13.21875" bestFit="1" customWidth="1"/>
    <col min="1930" max="1930" width="10.33203125" bestFit="1" customWidth="1"/>
    <col min="1931" max="1931" width="13.21875" bestFit="1" customWidth="1"/>
    <col min="1932" max="1932" width="10.33203125" bestFit="1" customWidth="1"/>
    <col min="1933" max="1933" width="13.21875" bestFit="1" customWidth="1"/>
    <col min="1934" max="1934" width="10.33203125" bestFit="1" customWidth="1"/>
    <col min="1935" max="1935" width="13.21875" bestFit="1" customWidth="1"/>
    <col min="1936" max="1936" width="10.33203125" bestFit="1" customWidth="1"/>
    <col min="1937" max="1937" width="13.21875" bestFit="1" customWidth="1"/>
    <col min="1938" max="1938" width="10.33203125" bestFit="1" customWidth="1"/>
    <col min="1939" max="1939" width="13.21875" bestFit="1" customWidth="1"/>
    <col min="1940" max="1940" width="10.33203125" bestFit="1" customWidth="1"/>
    <col min="1941" max="1941" width="13.21875" bestFit="1" customWidth="1"/>
    <col min="1942" max="1942" width="10.33203125" bestFit="1" customWidth="1"/>
    <col min="1943" max="1943" width="13.21875" bestFit="1" customWidth="1"/>
    <col min="1944" max="1944" width="10.33203125" bestFit="1" customWidth="1"/>
    <col min="1945" max="1945" width="13.21875" bestFit="1" customWidth="1"/>
    <col min="1946" max="1946" width="10.33203125" bestFit="1" customWidth="1"/>
    <col min="1947" max="1947" width="13.21875" bestFit="1" customWidth="1"/>
    <col min="1948" max="1948" width="10.33203125" bestFit="1" customWidth="1"/>
    <col min="1949" max="1949" width="13.21875" bestFit="1" customWidth="1"/>
    <col min="1950" max="1950" width="10.33203125" bestFit="1" customWidth="1"/>
    <col min="1951" max="1951" width="13.21875" bestFit="1" customWidth="1"/>
    <col min="1952" max="1952" width="10.33203125" bestFit="1" customWidth="1"/>
    <col min="1953" max="1953" width="13.21875" bestFit="1" customWidth="1"/>
    <col min="1954" max="1954" width="10.33203125" bestFit="1" customWidth="1"/>
    <col min="1955" max="1955" width="13.21875" bestFit="1" customWidth="1"/>
    <col min="1956" max="1956" width="10.33203125" bestFit="1" customWidth="1"/>
    <col min="1957" max="1957" width="13.21875" bestFit="1" customWidth="1"/>
    <col min="1958" max="1958" width="10.33203125" bestFit="1" customWidth="1"/>
    <col min="1959" max="1959" width="13.21875" bestFit="1" customWidth="1"/>
    <col min="1960" max="1960" width="10.33203125" bestFit="1" customWidth="1"/>
    <col min="1961" max="1961" width="13.21875" bestFit="1" customWidth="1"/>
    <col min="1962" max="1962" width="10.33203125" bestFit="1" customWidth="1"/>
    <col min="1963" max="1963" width="13.21875" bestFit="1" customWidth="1"/>
    <col min="1964" max="1964" width="10.33203125" bestFit="1" customWidth="1"/>
    <col min="1965" max="1965" width="13.21875" bestFit="1" customWidth="1"/>
    <col min="1966" max="1966" width="10.33203125" bestFit="1" customWidth="1"/>
    <col min="1967" max="1967" width="13.21875" bestFit="1" customWidth="1"/>
    <col min="1968" max="1968" width="10.33203125" bestFit="1" customWidth="1"/>
    <col min="1969" max="1969" width="13.21875" bestFit="1" customWidth="1"/>
    <col min="1970" max="1970" width="10.33203125" bestFit="1" customWidth="1"/>
    <col min="1971" max="1971" width="13.21875" bestFit="1" customWidth="1"/>
    <col min="1972" max="1972" width="10.33203125" bestFit="1" customWidth="1"/>
    <col min="1973" max="1973" width="13.21875" bestFit="1" customWidth="1"/>
    <col min="1974" max="1974" width="10.33203125" bestFit="1" customWidth="1"/>
    <col min="1975" max="1975" width="13.21875" bestFit="1" customWidth="1"/>
    <col min="1976" max="1976" width="10.33203125" bestFit="1" customWidth="1"/>
    <col min="1977" max="1977" width="13.21875" bestFit="1" customWidth="1"/>
    <col min="1978" max="1978" width="10.33203125" bestFit="1" customWidth="1"/>
    <col min="1979" max="1979" width="13.21875" bestFit="1" customWidth="1"/>
    <col min="1980" max="1980" width="10.33203125" bestFit="1" customWidth="1"/>
    <col min="1981" max="1981" width="13.21875" bestFit="1" customWidth="1"/>
    <col min="1982" max="1982" width="10.33203125" bestFit="1" customWidth="1"/>
    <col min="1983" max="1983" width="13.21875" bestFit="1" customWidth="1"/>
    <col min="1984" max="1984" width="10.33203125" bestFit="1" customWidth="1"/>
    <col min="1985" max="1985" width="13.21875" bestFit="1" customWidth="1"/>
    <col min="1986" max="1986" width="10.33203125" bestFit="1" customWidth="1"/>
    <col min="1987" max="1987" width="13.21875" bestFit="1" customWidth="1"/>
    <col min="1988" max="1988" width="10.33203125" bestFit="1" customWidth="1"/>
    <col min="1989" max="1989" width="13.21875" bestFit="1" customWidth="1"/>
    <col min="1990" max="1990" width="10.33203125" bestFit="1" customWidth="1"/>
    <col min="1991" max="1991" width="13.21875" bestFit="1" customWidth="1"/>
    <col min="1992" max="1992" width="10.33203125" bestFit="1" customWidth="1"/>
    <col min="1993" max="1993" width="13.21875" bestFit="1" customWidth="1"/>
    <col min="1994" max="1994" width="10.33203125" bestFit="1" customWidth="1"/>
    <col min="1995" max="1995" width="13.21875" bestFit="1" customWidth="1"/>
    <col min="1996" max="1996" width="10.33203125" bestFit="1" customWidth="1"/>
    <col min="1997" max="1997" width="13.21875" bestFit="1" customWidth="1"/>
    <col min="1998" max="1998" width="10.33203125" bestFit="1" customWidth="1"/>
    <col min="1999" max="1999" width="13.21875" bestFit="1" customWidth="1"/>
    <col min="2000" max="2000" width="10.33203125" bestFit="1" customWidth="1"/>
    <col min="2001" max="2001" width="13.21875" bestFit="1" customWidth="1"/>
    <col min="2002" max="2002" width="10.33203125" bestFit="1" customWidth="1"/>
    <col min="2003" max="2003" width="13.21875" bestFit="1" customWidth="1"/>
    <col min="2004" max="2004" width="10.33203125" bestFit="1" customWidth="1"/>
    <col min="2005" max="2005" width="13.21875" bestFit="1" customWidth="1"/>
    <col min="2006" max="2006" width="10.33203125" bestFit="1" customWidth="1"/>
    <col min="2007" max="2007" width="13.21875" bestFit="1" customWidth="1"/>
    <col min="2008" max="2008" width="10.33203125" bestFit="1" customWidth="1"/>
    <col min="2009" max="2009" width="13.21875" bestFit="1" customWidth="1"/>
    <col min="2010" max="2010" width="10.33203125" bestFit="1" customWidth="1"/>
    <col min="2011" max="2011" width="13.21875" bestFit="1" customWidth="1"/>
    <col min="2012" max="2012" width="10.33203125" bestFit="1" customWidth="1"/>
    <col min="2013" max="2013" width="13.21875" bestFit="1" customWidth="1"/>
    <col min="2014" max="2014" width="10.33203125" bestFit="1" customWidth="1"/>
    <col min="2015" max="2015" width="13.21875" bestFit="1" customWidth="1"/>
    <col min="2016" max="2016" width="10.33203125" bestFit="1" customWidth="1"/>
    <col min="2017" max="2017" width="13.21875" bestFit="1" customWidth="1"/>
    <col min="2018" max="2018" width="10.33203125" bestFit="1" customWidth="1"/>
    <col min="2019" max="2019" width="13.21875" bestFit="1" customWidth="1"/>
    <col min="2020" max="2020" width="10.33203125" bestFit="1" customWidth="1"/>
    <col min="2021" max="2021" width="13.21875" bestFit="1" customWidth="1"/>
    <col min="2022" max="2022" width="10.33203125" bestFit="1" customWidth="1"/>
    <col min="2023" max="2023" width="13.21875" bestFit="1" customWidth="1"/>
    <col min="2024" max="2024" width="10.33203125" bestFit="1" customWidth="1"/>
    <col min="2025" max="2025" width="13.21875" bestFit="1" customWidth="1"/>
    <col min="2026" max="2026" width="10.33203125" bestFit="1" customWidth="1"/>
    <col min="2027" max="2027" width="13.21875" bestFit="1" customWidth="1"/>
    <col min="2028" max="2028" width="10.33203125" bestFit="1" customWidth="1"/>
    <col min="2029" max="2029" width="13.21875" bestFit="1" customWidth="1"/>
    <col min="2030" max="2030" width="10.33203125" bestFit="1" customWidth="1"/>
    <col min="2031" max="2031" width="13.21875" bestFit="1" customWidth="1"/>
    <col min="2032" max="2032" width="10.33203125" bestFit="1" customWidth="1"/>
    <col min="2033" max="2033" width="13.21875" bestFit="1" customWidth="1"/>
    <col min="2034" max="2034" width="10.33203125" bestFit="1" customWidth="1"/>
    <col min="2035" max="2035" width="13.21875" bestFit="1" customWidth="1"/>
    <col min="2036" max="2036" width="10.33203125" bestFit="1" customWidth="1"/>
    <col min="2037" max="2037" width="13.21875" bestFit="1" customWidth="1"/>
    <col min="2038" max="2038" width="10.33203125" bestFit="1" customWidth="1"/>
    <col min="2039" max="2039" width="13.21875" bestFit="1" customWidth="1"/>
    <col min="2040" max="2040" width="10.33203125" bestFit="1" customWidth="1"/>
    <col min="2041" max="2041" width="13.21875" bestFit="1" customWidth="1"/>
    <col min="2042" max="2042" width="10.33203125" bestFit="1" customWidth="1"/>
    <col min="2043" max="2043" width="13.21875" bestFit="1" customWidth="1"/>
    <col min="2044" max="2044" width="10.33203125" bestFit="1" customWidth="1"/>
    <col min="2045" max="2045" width="13.21875" bestFit="1" customWidth="1"/>
    <col min="2046" max="2046" width="10.33203125" bestFit="1" customWidth="1"/>
    <col min="2047" max="2047" width="13.21875" bestFit="1" customWidth="1"/>
    <col min="2048" max="2048" width="10.33203125" bestFit="1" customWidth="1"/>
    <col min="2049" max="2049" width="13.21875" bestFit="1" customWidth="1"/>
    <col min="2050" max="2050" width="10.33203125" bestFit="1" customWidth="1"/>
    <col min="2051" max="2051" width="13.21875" bestFit="1" customWidth="1"/>
    <col min="2052" max="2052" width="10.33203125" bestFit="1" customWidth="1"/>
    <col min="2053" max="2053" width="13.21875" bestFit="1" customWidth="1"/>
    <col min="2054" max="2054" width="10.33203125" bestFit="1" customWidth="1"/>
    <col min="2055" max="2055" width="13.21875" bestFit="1" customWidth="1"/>
    <col min="2056" max="2056" width="10.33203125" bestFit="1" customWidth="1"/>
    <col min="2057" max="2057" width="13.21875" bestFit="1" customWidth="1"/>
    <col min="2058" max="2058" width="10.33203125" bestFit="1" customWidth="1"/>
    <col min="2059" max="2059" width="13.21875" bestFit="1" customWidth="1"/>
    <col min="2060" max="2060" width="10.33203125" bestFit="1" customWidth="1"/>
    <col min="2061" max="2061" width="13.21875" bestFit="1" customWidth="1"/>
    <col min="2062" max="2062" width="10.33203125" bestFit="1" customWidth="1"/>
    <col min="2063" max="2063" width="13.21875" bestFit="1" customWidth="1"/>
    <col min="2064" max="2064" width="10.33203125" bestFit="1" customWidth="1"/>
    <col min="2065" max="2065" width="13.21875" bestFit="1" customWidth="1"/>
    <col min="2066" max="2066" width="10.33203125" bestFit="1" customWidth="1"/>
    <col min="2067" max="2067" width="13.21875" bestFit="1" customWidth="1"/>
    <col min="2068" max="2068" width="10.33203125" bestFit="1" customWidth="1"/>
    <col min="2069" max="2069" width="13.21875" bestFit="1" customWidth="1"/>
    <col min="2070" max="2070" width="10.33203125" bestFit="1" customWidth="1"/>
    <col min="2071" max="2071" width="13.21875" bestFit="1" customWidth="1"/>
    <col min="2072" max="2072" width="10.33203125" bestFit="1" customWidth="1"/>
    <col min="2073" max="2073" width="13.21875" bestFit="1" customWidth="1"/>
    <col min="2074" max="2074" width="10.33203125" bestFit="1" customWidth="1"/>
    <col min="2075" max="2075" width="13.21875" bestFit="1" customWidth="1"/>
    <col min="2076" max="2076" width="10.33203125" bestFit="1" customWidth="1"/>
    <col min="2077" max="2077" width="13.21875" bestFit="1" customWidth="1"/>
    <col min="2078" max="2078" width="10.33203125" bestFit="1" customWidth="1"/>
    <col min="2079" max="2079" width="13.21875" bestFit="1" customWidth="1"/>
    <col min="2080" max="2080" width="10.33203125" bestFit="1" customWidth="1"/>
    <col min="2081" max="2081" width="13.21875" bestFit="1" customWidth="1"/>
    <col min="2082" max="2082" width="10.33203125" bestFit="1" customWidth="1"/>
    <col min="2083" max="2083" width="13.21875" bestFit="1" customWidth="1"/>
    <col min="2084" max="2084" width="10.33203125" bestFit="1" customWidth="1"/>
    <col min="2085" max="2085" width="13.21875" bestFit="1" customWidth="1"/>
    <col min="2086" max="2086" width="10.33203125" bestFit="1" customWidth="1"/>
    <col min="2087" max="2087" width="13.21875" bestFit="1" customWidth="1"/>
    <col min="2088" max="2088" width="10.33203125" bestFit="1" customWidth="1"/>
    <col min="2089" max="2089" width="13.21875" bestFit="1" customWidth="1"/>
    <col min="2090" max="2090" width="10.33203125" bestFit="1" customWidth="1"/>
    <col min="2091" max="2091" width="13.21875" bestFit="1" customWidth="1"/>
    <col min="2092" max="2092" width="10.33203125" bestFit="1" customWidth="1"/>
    <col min="2093" max="2093" width="13.21875" bestFit="1" customWidth="1"/>
    <col min="2094" max="2094" width="10.33203125" bestFit="1" customWidth="1"/>
    <col min="2095" max="2095" width="13.21875" bestFit="1" customWidth="1"/>
    <col min="2096" max="2096" width="10.33203125" bestFit="1" customWidth="1"/>
    <col min="2097" max="2097" width="13.21875" bestFit="1" customWidth="1"/>
    <col min="2098" max="2098" width="10.33203125" bestFit="1" customWidth="1"/>
    <col min="2099" max="2099" width="13.21875" bestFit="1" customWidth="1"/>
    <col min="2100" max="2100" width="10.33203125" bestFit="1" customWidth="1"/>
    <col min="2101" max="2101" width="13.21875" bestFit="1" customWidth="1"/>
    <col min="2102" max="2102" width="10.33203125" bestFit="1" customWidth="1"/>
    <col min="2103" max="2103" width="13.21875" bestFit="1" customWidth="1"/>
    <col min="2104" max="2104" width="10.33203125" bestFit="1" customWidth="1"/>
    <col min="2105" max="2105" width="13.21875" bestFit="1" customWidth="1"/>
    <col min="2106" max="2106" width="10.33203125" bestFit="1" customWidth="1"/>
    <col min="2107" max="2107" width="13.21875" bestFit="1" customWidth="1"/>
    <col min="2108" max="2108" width="10.33203125" bestFit="1" customWidth="1"/>
    <col min="2109" max="2109" width="13.21875" bestFit="1" customWidth="1"/>
    <col min="2110" max="2110" width="10.33203125" bestFit="1" customWidth="1"/>
    <col min="2111" max="2111" width="13.21875" bestFit="1" customWidth="1"/>
    <col min="2112" max="2112" width="10.33203125" bestFit="1" customWidth="1"/>
    <col min="2113" max="2113" width="13.21875" bestFit="1" customWidth="1"/>
    <col min="2114" max="2114" width="10.33203125" bestFit="1" customWidth="1"/>
    <col min="2115" max="2115" width="13.21875" bestFit="1" customWidth="1"/>
    <col min="2116" max="2116" width="10.33203125" bestFit="1" customWidth="1"/>
    <col min="2117" max="2117" width="13.21875" bestFit="1" customWidth="1"/>
    <col min="2118" max="2118" width="10.33203125" bestFit="1" customWidth="1"/>
    <col min="2119" max="2119" width="13.21875" bestFit="1" customWidth="1"/>
    <col min="2120" max="2120" width="10.33203125" bestFit="1" customWidth="1"/>
    <col min="2121" max="2121" width="13.21875" bestFit="1" customWidth="1"/>
    <col min="2122" max="2122" width="10.33203125" bestFit="1" customWidth="1"/>
    <col min="2123" max="2123" width="13.21875" bestFit="1" customWidth="1"/>
    <col min="2124" max="2124" width="10.33203125" bestFit="1" customWidth="1"/>
    <col min="2125" max="2125" width="13.21875" bestFit="1" customWidth="1"/>
    <col min="2126" max="2126" width="10.33203125" bestFit="1" customWidth="1"/>
    <col min="2127" max="2127" width="13.21875" bestFit="1" customWidth="1"/>
    <col min="2128" max="2128" width="10.33203125" bestFit="1" customWidth="1"/>
    <col min="2129" max="2129" width="13.21875" bestFit="1" customWidth="1"/>
    <col min="2130" max="2130" width="10.33203125" bestFit="1" customWidth="1"/>
    <col min="2131" max="2131" width="13.21875" bestFit="1" customWidth="1"/>
    <col min="2132" max="2132" width="10.33203125" bestFit="1" customWidth="1"/>
    <col min="2133" max="2133" width="13.21875" bestFit="1" customWidth="1"/>
    <col min="2134" max="2134" width="10.33203125" bestFit="1" customWidth="1"/>
    <col min="2135" max="2135" width="13.21875" bestFit="1" customWidth="1"/>
    <col min="2136" max="2136" width="10.33203125" bestFit="1" customWidth="1"/>
    <col min="2137" max="2137" width="13.21875" bestFit="1" customWidth="1"/>
    <col min="2138" max="2138" width="10.33203125" bestFit="1" customWidth="1"/>
    <col min="2139" max="2139" width="13.21875" bestFit="1" customWidth="1"/>
    <col min="2140" max="2140" width="10.33203125" bestFit="1" customWidth="1"/>
    <col min="2141" max="2141" width="13.21875" bestFit="1" customWidth="1"/>
    <col min="2142" max="2142" width="10.33203125" bestFit="1" customWidth="1"/>
    <col min="2143" max="2143" width="13.21875" bestFit="1" customWidth="1"/>
    <col min="2144" max="2144" width="10.33203125" bestFit="1" customWidth="1"/>
    <col min="2145" max="2145" width="13.21875" bestFit="1" customWidth="1"/>
    <col min="2146" max="2146" width="10.33203125" bestFit="1" customWidth="1"/>
    <col min="2147" max="2147" width="13.21875" bestFit="1" customWidth="1"/>
    <col min="2148" max="2148" width="10.33203125" bestFit="1" customWidth="1"/>
    <col min="2149" max="2149" width="13.21875" bestFit="1" customWidth="1"/>
    <col min="2150" max="2150" width="10.33203125" bestFit="1" customWidth="1"/>
    <col min="2151" max="2151" width="13.21875" bestFit="1" customWidth="1"/>
    <col min="2152" max="2152" width="10.33203125" bestFit="1" customWidth="1"/>
    <col min="2153" max="2153" width="13.21875" bestFit="1" customWidth="1"/>
    <col min="2154" max="2154" width="10.33203125" bestFit="1" customWidth="1"/>
    <col min="2155" max="2155" width="13.21875" bestFit="1" customWidth="1"/>
    <col min="2156" max="2156" width="10.33203125" bestFit="1" customWidth="1"/>
    <col min="2157" max="2157" width="13.21875" bestFit="1" customWidth="1"/>
    <col min="2158" max="2158" width="10.33203125" bestFit="1" customWidth="1"/>
    <col min="2159" max="2159" width="13.21875" bestFit="1" customWidth="1"/>
    <col min="2160" max="2160" width="10.33203125" bestFit="1" customWidth="1"/>
    <col min="2161" max="2161" width="13.21875" bestFit="1" customWidth="1"/>
    <col min="2162" max="2162" width="10.33203125" bestFit="1" customWidth="1"/>
    <col min="2163" max="2163" width="13.21875" bestFit="1" customWidth="1"/>
    <col min="2164" max="2164" width="10.33203125" bestFit="1" customWidth="1"/>
    <col min="2165" max="2165" width="13.21875" bestFit="1" customWidth="1"/>
    <col min="2166" max="2166" width="10.33203125" bestFit="1" customWidth="1"/>
    <col min="2167" max="2167" width="13.21875" bestFit="1" customWidth="1"/>
    <col min="2168" max="2168" width="10.33203125" bestFit="1" customWidth="1"/>
    <col min="2169" max="2169" width="13.21875" bestFit="1" customWidth="1"/>
    <col min="2170" max="2170" width="10.33203125" bestFit="1" customWidth="1"/>
    <col min="2171" max="2171" width="13.21875" bestFit="1" customWidth="1"/>
    <col min="2172" max="2172" width="10.33203125" bestFit="1" customWidth="1"/>
    <col min="2173" max="2173" width="13.21875" bestFit="1" customWidth="1"/>
    <col min="2174" max="2174" width="10.33203125" bestFit="1" customWidth="1"/>
    <col min="2175" max="2175" width="13.21875" bestFit="1" customWidth="1"/>
    <col min="2176" max="2176" width="10.33203125" bestFit="1" customWidth="1"/>
    <col min="2177" max="2177" width="13.21875" bestFit="1" customWidth="1"/>
    <col min="2178" max="2178" width="10.33203125" bestFit="1" customWidth="1"/>
    <col min="2179" max="2179" width="13.21875" bestFit="1" customWidth="1"/>
    <col min="2180" max="2180" width="10.33203125" bestFit="1" customWidth="1"/>
    <col min="2181" max="2181" width="13.21875" bestFit="1" customWidth="1"/>
    <col min="2182" max="2182" width="10.33203125" bestFit="1" customWidth="1"/>
    <col min="2183" max="2183" width="13.21875" bestFit="1" customWidth="1"/>
    <col min="2184" max="2184" width="10.33203125" bestFit="1" customWidth="1"/>
    <col min="2185" max="2185" width="13.21875" bestFit="1" customWidth="1"/>
    <col min="2186" max="2186" width="10.33203125" bestFit="1" customWidth="1"/>
    <col min="2187" max="2187" width="13.21875" bestFit="1" customWidth="1"/>
    <col min="2188" max="2188" width="10.33203125" bestFit="1" customWidth="1"/>
    <col min="2189" max="2189" width="13.21875" bestFit="1" customWidth="1"/>
    <col min="2190" max="2190" width="10.33203125" bestFit="1" customWidth="1"/>
    <col min="2191" max="2191" width="13.21875" bestFit="1" customWidth="1"/>
    <col min="2192" max="2192" width="10.33203125" bestFit="1" customWidth="1"/>
    <col min="2193" max="2193" width="13.21875" bestFit="1" customWidth="1"/>
    <col min="2194" max="2194" width="10.33203125" bestFit="1" customWidth="1"/>
    <col min="2195" max="2195" width="13.21875" bestFit="1" customWidth="1"/>
    <col min="2196" max="2196" width="10.33203125" bestFit="1" customWidth="1"/>
    <col min="2197" max="2197" width="13.21875" bestFit="1" customWidth="1"/>
    <col min="2198" max="2198" width="10.33203125" bestFit="1" customWidth="1"/>
    <col min="2199" max="2199" width="13.21875" bestFit="1" customWidth="1"/>
    <col min="2200" max="2200" width="10.33203125" bestFit="1" customWidth="1"/>
    <col min="2201" max="2201" width="13.21875" bestFit="1" customWidth="1"/>
    <col min="2202" max="2202" width="10.33203125" bestFit="1" customWidth="1"/>
    <col min="2203" max="2203" width="13.21875" bestFit="1" customWidth="1"/>
    <col min="2204" max="2204" width="10.33203125" bestFit="1" customWidth="1"/>
    <col min="2205" max="2205" width="13.21875" bestFit="1" customWidth="1"/>
    <col min="2206" max="2206" width="10.33203125" bestFit="1" customWidth="1"/>
    <col min="2207" max="2207" width="13.21875" bestFit="1" customWidth="1"/>
    <col min="2208" max="2208" width="10.33203125" bestFit="1" customWidth="1"/>
    <col min="2209" max="2209" width="13.21875" bestFit="1" customWidth="1"/>
    <col min="2210" max="2210" width="10.33203125" bestFit="1" customWidth="1"/>
    <col min="2211" max="2211" width="13.21875" bestFit="1" customWidth="1"/>
    <col min="2212" max="2212" width="10.33203125" bestFit="1" customWidth="1"/>
    <col min="2213" max="2213" width="13.21875" bestFit="1" customWidth="1"/>
    <col min="2214" max="2214" width="10.33203125" bestFit="1" customWidth="1"/>
    <col min="2215" max="2215" width="13.21875" bestFit="1" customWidth="1"/>
    <col min="2216" max="2216" width="10.33203125" bestFit="1" customWidth="1"/>
    <col min="2217" max="2217" width="13.21875" bestFit="1" customWidth="1"/>
    <col min="2218" max="2218" width="10.33203125" bestFit="1" customWidth="1"/>
    <col min="2219" max="2219" width="13.21875" bestFit="1" customWidth="1"/>
    <col min="2220" max="2220" width="10.33203125" bestFit="1" customWidth="1"/>
    <col min="2221" max="2221" width="13.21875" bestFit="1" customWidth="1"/>
    <col min="2222" max="2222" width="10.33203125" bestFit="1" customWidth="1"/>
    <col min="2223" max="2223" width="13.21875" bestFit="1" customWidth="1"/>
    <col min="2224" max="2224" width="10.33203125" bestFit="1" customWidth="1"/>
    <col min="2225" max="2225" width="13.21875" bestFit="1" customWidth="1"/>
    <col min="2226" max="2226" width="10.33203125" bestFit="1" customWidth="1"/>
    <col min="2227" max="2227" width="13.21875" bestFit="1" customWidth="1"/>
    <col min="2228" max="2228" width="10.33203125" bestFit="1" customWidth="1"/>
    <col min="2229" max="2229" width="13.21875" bestFit="1" customWidth="1"/>
    <col min="2230" max="2230" width="10.33203125" bestFit="1" customWidth="1"/>
    <col min="2231" max="2231" width="13.21875" bestFit="1" customWidth="1"/>
    <col min="2232" max="2232" width="10.33203125" bestFit="1" customWidth="1"/>
    <col min="2233" max="2233" width="13.21875" bestFit="1" customWidth="1"/>
    <col min="2234" max="2234" width="10.33203125" bestFit="1" customWidth="1"/>
    <col min="2235" max="2235" width="13.21875" bestFit="1" customWidth="1"/>
    <col min="2236" max="2236" width="10.33203125" bestFit="1" customWidth="1"/>
    <col min="2237" max="2237" width="13.21875" bestFit="1" customWidth="1"/>
    <col min="2238" max="2238" width="10.33203125" bestFit="1" customWidth="1"/>
    <col min="2239" max="2239" width="13.21875" bestFit="1" customWidth="1"/>
    <col min="2240" max="2240" width="10.33203125" bestFit="1" customWidth="1"/>
    <col min="2241" max="2241" width="13.21875" bestFit="1" customWidth="1"/>
    <col min="2242" max="2242" width="10.33203125" bestFit="1" customWidth="1"/>
    <col min="2243" max="2243" width="13.21875" bestFit="1" customWidth="1"/>
    <col min="2244" max="2244" width="10.33203125" bestFit="1" customWidth="1"/>
    <col min="2245" max="2245" width="13.21875" bestFit="1" customWidth="1"/>
    <col min="2246" max="2246" width="10.33203125" bestFit="1" customWidth="1"/>
    <col min="2247" max="2247" width="13.21875" bestFit="1" customWidth="1"/>
    <col min="2248" max="2248" width="10.33203125" bestFit="1" customWidth="1"/>
    <col min="2249" max="2249" width="13.21875" bestFit="1" customWidth="1"/>
    <col min="2250" max="2250" width="10.33203125" bestFit="1" customWidth="1"/>
    <col min="2251" max="2251" width="13.21875" bestFit="1" customWidth="1"/>
    <col min="2252" max="2252" width="10.33203125" bestFit="1" customWidth="1"/>
    <col min="2253" max="2253" width="13.21875" bestFit="1" customWidth="1"/>
    <col min="2254" max="2254" width="10.33203125" bestFit="1" customWidth="1"/>
    <col min="2255" max="2255" width="13.21875" bestFit="1" customWidth="1"/>
    <col min="2256" max="2256" width="10.33203125" bestFit="1" customWidth="1"/>
    <col min="2257" max="2257" width="13.21875" bestFit="1" customWidth="1"/>
    <col min="2258" max="2258" width="10.33203125" bestFit="1" customWidth="1"/>
    <col min="2259" max="2259" width="13.21875" bestFit="1" customWidth="1"/>
    <col min="2260" max="2260" width="10.33203125" bestFit="1" customWidth="1"/>
    <col min="2261" max="2261" width="13.21875" bestFit="1" customWidth="1"/>
    <col min="2262" max="2262" width="10.33203125" bestFit="1" customWidth="1"/>
    <col min="2263" max="2263" width="13.21875" bestFit="1" customWidth="1"/>
    <col min="2264" max="2264" width="10.33203125" bestFit="1" customWidth="1"/>
    <col min="2265" max="2265" width="13.21875" bestFit="1" customWidth="1"/>
    <col min="2266" max="2266" width="10.33203125" bestFit="1" customWidth="1"/>
    <col min="2267" max="2267" width="13.21875" bestFit="1" customWidth="1"/>
    <col min="2268" max="2268" width="10.33203125" bestFit="1" customWidth="1"/>
    <col min="2269" max="2269" width="13.21875" bestFit="1" customWidth="1"/>
    <col min="2270" max="2270" width="10.33203125" bestFit="1" customWidth="1"/>
    <col min="2271" max="2271" width="13.21875" bestFit="1" customWidth="1"/>
    <col min="2272" max="2272" width="10.33203125" bestFit="1" customWidth="1"/>
    <col min="2273" max="2273" width="13.21875" bestFit="1" customWidth="1"/>
    <col min="2274" max="2274" width="10.33203125" bestFit="1" customWidth="1"/>
    <col min="2275" max="2275" width="13.21875" bestFit="1" customWidth="1"/>
    <col min="2276" max="2276" width="10.33203125" bestFit="1" customWidth="1"/>
    <col min="2277" max="2277" width="13.21875" bestFit="1" customWidth="1"/>
    <col min="2278" max="2278" width="10.33203125" bestFit="1" customWidth="1"/>
    <col min="2279" max="2279" width="13.21875" bestFit="1" customWidth="1"/>
    <col min="2280" max="2280" width="10.33203125" bestFit="1" customWidth="1"/>
    <col min="2281" max="2281" width="13.21875" bestFit="1" customWidth="1"/>
    <col min="2282" max="2282" width="10.33203125" bestFit="1" customWidth="1"/>
    <col min="2283" max="2283" width="13.21875" bestFit="1" customWidth="1"/>
    <col min="2284" max="2284" width="10.33203125" bestFit="1" customWidth="1"/>
    <col min="2285" max="2285" width="13.21875" bestFit="1" customWidth="1"/>
    <col min="2286" max="2286" width="10.33203125" bestFit="1" customWidth="1"/>
    <col min="2287" max="2287" width="13.21875" bestFit="1" customWidth="1"/>
    <col min="2288" max="2288" width="10.33203125" bestFit="1" customWidth="1"/>
    <col min="2289" max="2289" width="13.21875" bestFit="1" customWidth="1"/>
    <col min="2290" max="2290" width="10.33203125" bestFit="1" customWidth="1"/>
    <col min="2291" max="2291" width="13.21875" bestFit="1" customWidth="1"/>
    <col min="2292" max="2292" width="10.33203125" bestFit="1" customWidth="1"/>
    <col min="2293" max="2293" width="13.21875" bestFit="1" customWidth="1"/>
    <col min="2294" max="2294" width="10.33203125" bestFit="1" customWidth="1"/>
    <col min="2295" max="2295" width="13.21875" bestFit="1" customWidth="1"/>
    <col min="2296" max="2296" width="10.33203125" bestFit="1" customWidth="1"/>
    <col min="2297" max="2297" width="13.21875" bestFit="1" customWidth="1"/>
    <col min="2298" max="2298" width="10.33203125" bestFit="1" customWidth="1"/>
    <col min="2299" max="2299" width="13.21875" bestFit="1" customWidth="1"/>
    <col min="2300" max="2300" width="10.33203125" bestFit="1" customWidth="1"/>
    <col min="2301" max="2301" width="13.21875" bestFit="1" customWidth="1"/>
    <col min="2302" max="2302" width="10.33203125" bestFit="1" customWidth="1"/>
    <col min="2303" max="2303" width="13.21875" bestFit="1" customWidth="1"/>
    <col min="2304" max="2304" width="10.33203125" bestFit="1" customWidth="1"/>
    <col min="2305" max="2305" width="13.21875" bestFit="1" customWidth="1"/>
    <col min="2306" max="2306" width="10.33203125" bestFit="1" customWidth="1"/>
    <col min="2307" max="2307" width="13.21875" bestFit="1" customWidth="1"/>
    <col min="2308" max="2308" width="10.33203125" bestFit="1" customWidth="1"/>
    <col min="2309" max="2309" width="13.21875" bestFit="1" customWidth="1"/>
    <col min="2310" max="2310" width="10.33203125" bestFit="1" customWidth="1"/>
    <col min="2311" max="2311" width="13.21875" bestFit="1" customWidth="1"/>
    <col min="2312" max="2312" width="10.33203125" bestFit="1" customWidth="1"/>
    <col min="2313" max="2313" width="13.21875" bestFit="1" customWidth="1"/>
    <col min="2314" max="2314" width="10.33203125" bestFit="1" customWidth="1"/>
    <col min="2315" max="2315" width="13.21875" bestFit="1" customWidth="1"/>
    <col min="2316" max="2316" width="10.33203125" bestFit="1" customWidth="1"/>
    <col min="2317" max="2317" width="13.21875" bestFit="1" customWidth="1"/>
    <col min="2318" max="2318" width="10.33203125" bestFit="1" customWidth="1"/>
    <col min="2319" max="2319" width="13.21875" bestFit="1" customWidth="1"/>
    <col min="2320" max="2320" width="10.33203125" bestFit="1" customWidth="1"/>
    <col min="2321" max="2321" width="13.21875" bestFit="1" customWidth="1"/>
    <col min="2322" max="2322" width="10.33203125" bestFit="1" customWidth="1"/>
    <col min="2323" max="2323" width="13.21875" bestFit="1" customWidth="1"/>
    <col min="2324" max="2324" width="10.33203125" bestFit="1" customWidth="1"/>
    <col min="2325" max="2325" width="13.21875" bestFit="1" customWidth="1"/>
    <col min="2326" max="2326" width="10.33203125" bestFit="1" customWidth="1"/>
    <col min="2327" max="2327" width="13.21875" bestFit="1" customWidth="1"/>
    <col min="2328" max="2328" width="10.33203125" bestFit="1" customWidth="1"/>
    <col min="2329" max="2329" width="13.21875" bestFit="1" customWidth="1"/>
    <col min="2330" max="2330" width="10.33203125" bestFit="1" customWidth="1"/>
    <col min="2331" max="2331" width="13.21875" bestFit="1" customWidth="1"/>
    <col min="2332" max="2332" width="10.33203125" bestFit="1" customWidth="1"/>
    <col min="2333" max="2333" width="13.21875" bestFit="1" customWidth="1"/>
    <col min="2334" max="2334" width="10.33203125" bestFit="1" customWidth="1"/>
    <col min="2335" max="2335" width="13.21875" bestFit="1" customWidth="1"/>
    <col min="2336" max="2336" width="10.33203125" bestFit="1" customWidth="1"/>
    <col min="2337" max="2337" width="13.21875" bestFit="1" customWidth="1"/>
    <col min="2338" max="2338" width="10.33203125" bestFit="1" customWidth="1"/>
    <col min="2339" max="2339" width="13.21875" bestFit="1" customWidth="1"/>
    <col min="2340" max="2340" width="10.33203125" bestFit="1" customWidth="1"/>
    <col min="2341" max="2341" width="13.21875" bestFit="1" customWidth="1"/>
    <col min="2342" max="2342" width="10.33203125" bestFit="1" customWidth="1"/>
    <col min="2343" max="2343" width="13.21875" bestFit="1" customWidth="1"/>
    <col min="2344" max="2344" width="10.33203125" bestFit="1" customWidth="1"/>
    <col min="2345" max="2345" width="13.21875" bestFit="1" customWidth="1"/>
    <col min="2346" max="2346" width="10.33203125" bestFit="1" customWidth="1"/>
    <col min="2347" max="2347" width="13.21875" bestFit="1" customWidth="1"/>
    <col min="2348" max="2348" width="10.33203125" bestFit="1" customWidth="1"/>
    <col min="2349" max="2349" width="13.21875" bestFit="1" customWidth="1"/>
    <col min="2350" max="2350" width="10.33203125" bestFit="1" customWidth="1"/>
    <col min="2351" max="2351" width="13.21875" bestFit="1" customWidth="1"/>
    <col min="2352" max="2352" width="10.33203125" bestFit="1" customWidth="1"/>
    <col min="2353" max="2353" width="13.21875" bestFit="1" customWidth="1"/>
    <col min="2354" max="2354" width="10.33203125" bestFit="1" customWidth="1"/>
    <col min="2355" max="2355" width="13.21875" bestFit="1" customWidth="1"/>
    <col min="2356" max="2356" width="10.33203125" bestFit="1" customWidth="1"/>
    <col min="2357" max="2357" width="13.21875" bestFit="1" customWidth="1"/>
    <col min="2358" max="2358" width="10.33203125" bestFit="1" customWidth="1"/>
    <col min="2359" max="2359" width="13.21875" bestFit="1" customWidth="1"/>
    <col min="2360" max="2360" width="10.33203125" bestFit="1" customWidth="1"/>
    <col min="2361" max="2361" width="13.21875" bestFit="1" customWidth="1"/>
    <col min="2362" max="2362" width="10.33203125" bestFit="1" customWidth="1"/>
    <col min="2363" max="2363" width="13.21875" bestFit="1" customWidth="1"/>
    <col min="2364" max="2364" width="10.33203125" bestFit="1" customWidth="1"/>
    <col min="2365" max="2365" width="13.21875" bestFit="1" customWidth="1"/>
    <col min="2366" max="2366" width="10.33203125" bestFit="1" customWidth="1"/>
    <col min="2367" max="2367" width="13.21875" bestFit="1" customWidth="1"/>
    <col min="2368" max="2368" width="10.33203125" bestFit="1" customWidth="1"/>
    <col min="2369" max="2369" width="13.21875" bestFit="1" customWidth="1"/>
    <col min="2370" max="2370" width="10.33203125" bestFit="1" customWidth="1"/>
    <col min="2371" max="2371" width="13.21875" bestFit="1" customWidth="1"/>
    <col min="2372" max="2372" width="10.33203125" bestFit="1" customWidth="1"/>
    <col min="2373" max="2373" width="13.21875" bestFit="1" customWidth="1"/>
    <col min="2374" max="2374" width="10.33203125" bestFit="1" customWidth="1"/>
    <col min="2375" max="2375" width="13.21875" bestFit="1" customWidth="1"/>
    <col min="2376" max="2376" width="10.33203125" bestFit="1" customWidth="1"/>
    <col min="2377" max="2377" width="13.21875" bestFit="1" customWidth="1"/>
    <col min="2378" max="2378" width="10.33203125" bestFit="1" customWidth="1"/>
    <col min="2379" max="2379" width="13.21875" bestFit="1" customWidth="1"/>
    <col min="2380" max="2380" width="10.33203125" bestFit="1" customWidth="1"/>
    <col min="2381" max="2381" width="13.21875" bestFit="1" customWidth="1"/>
    <col min="2382" max="2382" width="10.33203125" bestFit="1" customWidth="1"/>
    <col min="2383" max="2383" width="13.21875" bestFit="1" customWidth="1"/>
    <col min="2384" max="2384" width="10.33203125" bestFit="1" customWidth="1"/>
    <col min="2385" max="2385" width="13.21875" bestFit="1" customWidth="1"/>
    <col min="2386" max="2386" width="10.33203125" bestFit="1" customWidth="1"/>
    <col min="2387" max="2387" width="13.21875" bestFit="1" customWidth="1"/>
    <col min="2388" max="2388" width="10.33203125" bestFit="1" customWidth="1"/>
    <col min="2389" max="2389" width="13.21875" bestFit="1" customWidth="1"/>
    <col min="2390" max="2390" width="10.33203125" bestFit="1" customWidth="1"/>
    <col min="2391" max="2391" width="13.21875" bestFit="1" customWidth="1"/>
    <col min="2392" max="2392" width="10.33203125" bestFit="1" customWidth="1"/>
    <col min="2393" max="2393" width="13.21875" bestFit="1" customWidth="1"/>
    <col min="2394" max="2394" width="10.33203125" bestFit="1" customWidth="1"/>
    <col min="2395" max="2395" width="13.21875" bestFit="1" customWidth="1"/>
    <col min="2396" max="2396" width="10.33203125" bestFit="1" customWidth="1"/>
    <col min="2397" max="2397" width="13.21875" bestFit="1" customWidth="1"/>
    <col min="2398" max="2398" width="10.33203125" bestFit="1" customWidth="1"/>
    <col min="2399" max="2399" width="13.21875" bestFit="1" customWidth="1"/>
    <col min="2400" max="2400" width="10.33203125" bestFit="1" customWidth="1"/>
    <col min="2401" max="2401" width="13.21875" bestFit="1" customWidth="1"/>
    <col min="2402" max="2402" width="10.33203125" bestFit="1" customWidth="1"/>
    <col min="2403" max="2403" width="13.21875" bestFit="1" customWidth="1"/>
    <col min="2404" max="2404" width="10.33203125" bestFit="1" customWidth="1"/>
    <col min="2405" max="2405" width="13.21875" bestFit="1" customWidth="1"/>
    <col min="2406" max="2406" width="10.33203125" bestFit="1" customWidth="1"/>
    <col min="2407" max="2407" width="13.21875" bestFit="1" customWidth="1"/>
    <col min="2408" max="2408" width="10.33203125" bestFit="1" customWidth="1"/>
    <col min="2409" max="2409" width="13.21875" bestFit="1" customWidth="1"/>
    <col min="2410" max="2410" width="10.33203125" bestFit="1" customWidth="1"/>
    <col min="2411" max="2411" width="13.21875" bestFit="1" customWidth="1"/>
    <col min="2412" max="2412" width="10.33203125" bestFit="1" customWidth="1"/>
    <col min="2413" max="2413" width="13.21875" bestFit="1" customWidth="1"/>
    <col min="2414" max="2414" width="10.33203125" bestFit="1" customWidth="1"/>
    <col min="2415" max="2415" width="13.21875" bestFit="1" customWidth="1"/>
    <col min="2416" max="2416" width="10.33203125" bestFit="1" customWidth="1"/>
    <col min="2417" max="2417" width="13.21875" bestFit="1" customWidth="1"/>
    <col min="2418" max="2418" width="10.33203125" bestFit="1" customWidth="1"/>
    <col min="2419" max="2419" width="13.21875" bestFit="1" customWidth="1"/>
    <col min="2420" max="2420" width="10.33203125" bestFit="1" customWidth="1"/>
    <col min="2421" max="2421" width="13.21875" bestFit="1" customWidth="1"/>
    <col min="2422" max="2422" width="10.33203125" bestFit="1" customWidth="1"/>
    <col min="2423" max="2423" width="13.21875" bestFit="1" customWidth="1"/>
    <col min="2424" max="2424" width="10.33203125" bestFit="1" customWidth="1"/>
    <col min="2425" max="2425" width="13.21875" bestFit="1" customWidth="1"/>
    <col min="2426" max="2426" width="10.33203125" bestFit="1" customWidth="1"/>
    <col min="2427" max="2427" width="13.21875" bestFit="1" customWidth="1"/>
    <col min="2428" max="2428" width="10.33203125" bestFit="1" customWidth="1"/>
    <col min="2429" max="2429" width="13.21875" bestFit="1" customWidth="1"/>
    <col min="2430" max="2430" width="10.33203125" bestFit="1" customWidth="1"/>
    <col min="2431" max="2431" width="13.21875" bestFit="1" customWidth="1"/>
    <col min="2432" max="2432" width="10.33203125" bestFit="1" customWidth="1"/>
    <col min="2433" max="2433" width="13.21875" bestFit="1" customWidth="1"/>
    <col min="2434" max="2434" width="10.33203125" bestFit="1" customWidth="1"/>
    <col min="2435" max="2435" width="13.21875" bestFit="1" customWidth="1"/>
    <col min="2436" max="2436" width="10.33203125" bestFit="1" customWidth="1"/>
    <col min="2437" max="2437" width="13.21875" bestFit="1" customWidth="1"/>
    <col min="2438" max="2438" width="10.33203125" bestFit="1" customWidth="1"/>
    <col min="2439" max="2439" width="13.21875" bestFit="1" customWidth="1"/>
    <col min="2440" max="2440" width="10.33203125" bestFit="1" customWidth="1"/>
    <col min="2441" max="2441" width="13.21875" bestFit="1" customWidth="1"/>
    <col min="2442" max="2442" width="10.33203125" bestFit="1" customWidth="1"/>
    <col min="2443" max="2443" width="13.21875" bestFit="1" customWidth="1"/>
    <col min="2444" max="2444" width="10.33203125" bestFit="1" customWidth="1"/>
    <col min="2445" max="2445" width="13.21875" bestFit="1" customWidth="1"/>
    <col min="2446" max="2446" width="10.33203125" bestFit="1" customWidth="1"/>
    <col min="2447" max="2447" width="13.21875" bestFit="1" customWidth="1"/>
    <col min="2448" max="2448" width="10.33203125" bestFit="1" customWidth="1"/>
    <col min="2449" max="2449" width="13.21875" bestFit="1" customWidth="1"/>
    <col min="2450" max="2450" width="10.33203125" bestFit="1" customWidth="1"/>
    <col min="2451" max="2451" width="13.21875" bestFit="1" customWidth="1"/>
    <col min="2452" max="2452" width="10.33203125" bestFit="1" customWidth="1"/>
    <col min="2453" max="2453" width="13.21875" bestFit="1" customWidth="1"/>
    <col min="2454" max="2454" width="10.33203125" bestFit="1" customWidth="1"/>
    <col min="2455" max="2455" width="13.21875" bestFit="1" customWidth="1"/>
    <col min="2456" max="2456" width="10.33203125" bestFit="1" customWidth="1"/>
    <col min="2457" max="2457" width="13.21875" bestFit="1" customWidth="1"/>
    <col min="2458" max="2458" width="10.33203125" bestFit="1" customWidth="1"/>
    <col min="2459" max="2459" width="13.21875" bestFit="1" customWidth="1"/>
    <col min="2460" max="2460" width="10.33203125" bestFit="1" customWidth="1"/>
    <col min="2461" max="2461" width="13.21875" bestFit="1" customWidth="1"/>
    <col min="2462" max="2462" width="10.33203125" bestFit="1" customWidth="1"/>
    <col min="2463" max="2463" width="13.21875" bestFit="1" customWidth="1"/>
    <col min="2464" max="2464" width="10.33203125" bestFit="1" customWidth="1"/>
    <col min="2465" max="2465" width="13.21875" bestFit="1" customWidth="1"/>
    <col min="2466" max="2466" width="10.33203125" bestFit="1" customWidth="1"/>
    <col min="2467" max="2467" width="13.21875" bestFit="1" customWidth="1"/>
    <col min="2468" max="2468" width="10.33203125" bestFit="1" customWidth="1"/>
    <col min="2469" max="2469" width="13.21875" bestFit="1" customWidth="1"/>
    <col min="2470" max="2470" width="10.33203125" bestFit="1" customWidth="1"/>
    <col min="2471" max="2471" width="13.21875" bestFit="1" customWidth="1"/>
    <col min="2472" max="2472" width="10.33203125" bestFit="1" customWidth="1"/>
    <col min="2473" max="2473" width="13.21875" bestFit="1" customWidth="1"/>
    <col min="2474" max="2474" width="10.33203125" bestFit="1" customWidth="1"/>
    <col min="2475" max="2475" width="13.21875" bestFit="1" customWidth="1"/>
    <col min="2476" max="2476" width="10.33203125" bestFit="1" customWidth="1"/>
    <col min="2477" max="2477" width="13.21875" bestFit="1" customWidth="1"/>
    <col min="2478" max="2478" width="10.33203125" bestFit="1" customWidth="1"/>
    <col min="2479" max="2479" width="13.21875" bestFit="1" customWidth="1"/>
    <col min="2480" max="2480" width="10.33203125" bestFit="1" customWidth="1"/>
    <col min="2481" max="2481" width="13.21875" bestFit="1" customWidth="1"/>
    <col min="2482" max="2482" width="10.33203125" bestFit="1" customWidth="1"/>
    <col min="2483" max="2483" width="13.21875" bestFit="1" customWidth="1"/>
    <col min="2484" max="2484" width="10.33203125" bestFit="1" customWidth="1"/>
    <col min="2485" max="2485" width="13.21875" bestFit="1" customWidth="1"/>
    <col min="2486" max="2486" width="10.33203125" bestFit="1" customWidth="1"/>
    <col min="2487" max="2487" width="13.21875" bestFit="1" customWidth="1"/>
    <col min="2488" max="2488" width="10.33203125" bestFit="1" customWidth="1"/>
    <col min="2489" max="2489" width="13.21875" bestFit="1" customWidth="1"/>
    <col min="2490" max="2490" width="10.33203125" bestFit="1" customWidth="1"/>
    <col min="2491" max="2491" width="13.21875" bestFit="1" customWidth="1"/>
    <col min="2492" max="2492" width="10.33203125" bestFit="1" customWidth="1"/>
    <col min="2493" max="2493" width="13.21875" bestFit="1" customWidth="1"/>
    <col min="2494" max="2494" width="10.33203125" bestFit="1" customWidth="1"/>
    <col min="2495" max="2495" width="13.21875" bestFit="1" customWidth="1"/>
    <col min="2496" max="2496" width="10.33203125" bestFit="1" customWidth="1"/>
    <col min="2497" max="2497" width="13.21875" bestFit="1" customWidth="1"/>
    <col min="2498" max="2498" width="10.33203125" bestFit="1" customWidth="1"/>
    <col min="2499" max="2499" width="13.21875" bestFit="1" customWidth="1"/>
    <col min="2500" max="2500" width="10.33203125" bestFit="1" customWidth="1"/>
    <col min="2501" max="2501" width="13.21875" bestFit="1" customWidth="1"/>
    <col min="2502" max="2502" width="10.33203125" bestFit="1" customWidth="1"/>
    <col min="2503" max="2503" width="13.21875" bestFit="1" customWidth="1"/>
    <col min="2504" max="2504" width="10.33203125" bestFit="1" customWidth="1"/>
    <col min="2505" max="2505" width="13.21875" bestFit="1" customWidth="1"/>
    <col min="2506" max="2506" width="10.33203125" bestFit="1" customWidth="1"/>
    <col min="2507" max="2507" width="13.21875" bestFit="1" customWidth="1"/>
    <col min="2508" max="2508" width="10.33203125" bestFit="1" customWidth="1"/>
    <col min="2509" max="2509" width="13.21875" bestFit="1" customWidth="1"/>
    <col min="2510" max="2510" width="10.33203125" bestFit="1" customWidth="1"/>
    <col min="2511" max="2511" width="13.21875" bestFit="1" customWidth="1"/>
    <col min="2512" max="2512" width="10.33203125" bestFit="1" customWidth="1"/>
    <col min="2513" max="2513" width="13.21875" bestFit="1" customWidth="1"/>
    <col min="2514" max="2514" width="10.33203125" bestFit="1" customWidth="1"/>
    <col min="2515" max="2515" width="13.21875" bestFit="1" customWidth="1"/>
    <col min="2516" max="2516" width="10.33203125" bestFit="1" customWidth="1"/>
    <col min="2517" max="2517" width="13.21875" bestFit="1" customWidth="1"/>
    <col min="2518" max="2518" width="10.33203125" bestFit="1" customWidth="1"/>
    <col min="2519" max="2519" width="13.21875" bestFit="1" customWidth="1"/>
    <col min="2520" max="2520" width="10.33203125" bestFit="1" customWidth="1"/>
    <col min="2521" max="2521" width="13.21875" bestFit="1" customWidth="1"/>
    <col min="2522" max="2522" width="10.33203125" bestFit="1" customWidth="1"/>
    <col min="2523" max="2523" width="13.21875" bestFit="1" customWidth="1"/>
    <col min="2524" max="2524" width="10.33203125" bestFit="1" customWidth="1"/>
    <col min="2525" max="2525" width="13.21875" bestFit="1" customWidth="1"/>
    <col min="2526" max="2526" width="10.33203125" bestFit="1" customWidth="1"/>
    <col min="2527" max="2527" width="13.21875" bestFit="1" customWidth="1"/>
    <col min="2528" max="2528" width="10.33203125" bestFit="1" customWidth="1"/>
    <col min="2529" max="2529" width="13.21875" bestFit="1" customWidth="1"/>
    <col min="2530" max="2530" width="10.33203125" bestFit="1" customWidth="1"/>
    <col min="2531" max="2531" width="13.21875" bestFit="1" customWidth="1"/>
    <col min="2532" max="2532" width="10.33203125" bestFit="1" customWidth="1"/>
    <col min="2533" max="2533" width="13.21875" bestFit="1" customWidth="1"/>
    <col min="2534" max="2534" width="10.33203125" bestFit="1" customWidth="1"/>
    <col min="2535" max="2535" width="13.21875" bestFit="1" customWidth="1"/>
    <col min="2536" max="2536" width="10.33203125" bestFit="1" customWidth="1"/>
    <col min="2537" max="2537" width="13.21875" bestFit="1" customWidth="1"/>
    <col min="2538" max="2538" width="10.33203125" bestFit="1" customWidth="1"/>
    <col min="2539" max="2539" width="13.21875" bestFit="1" customWidth="1"/>
    <col min="2540" max="2540" width="10.33203125" bestFit="1" customWidth="1"/>
    <col min="2541" max="2541" width="13.21875" bestFit="1" customWidth="1"/>
    <col min="2542" max="2542" width="10.33203125" bestFit="1" customWidth="1"/>
    <col min="2543" max="2543" width="13.21875" bestFit="1" customWidth="1"/>
    <col min="2544" max="2544" width="10.33203125" bestFit="1" customWidth="1"/>
    <col min="2545" max="2545" width="13.21875" bestFit="1" customWidth="1"/>
    <col min="2546" max="2546" width="10.33203125" bestFit="1" customWidth="1"/>
    <col min="2547" max="2547" width="13.21875" bestFit="1" customWidth="1"/>
    <col min="2548" max="2548" width="10.33203125" bestFit="1" customWidth="1"/>
    <col min="2549" max="2549" width="13.21875" bestFit="1" customWidth="1"/>
    <col min="2550" max="2550" width="10.33203125" bestFit="1" customWidth="1"/>
    <col min="2551" max="2551" width="13.21875" bestFit="1" customWidth="1"/>
    <col min="2552" max="2552" width="10.33203125" bestFit="1" customWidth="1"/>
    <col min="2553" max="2553" width="13.21875" bestFit="1" customWidth="1"/>
    <col min="2554" max="2554" width="10.33203125" bestFit="1" customWidth="1"/>
    <col min="2555" max="2555" width="13.21875" bestFit="1" customWidth="1"/>
    <col min="2556" max="2556" width="10.33203125" bestFit="1" customWidth="1"/>
    <col min="2557" max="2557" width="13.21875" bestFit="1" customWidth="1"/>
    <col min="2558" max="2558" width="10.33203125" bestFit="1" customWidth="1"/>
    <col min="2559" max="2559" width="13.21875" bestFit="1" customWidth="1"/>
    <col min="2560" max="2560" width="10.33203125" bestFit="1" customWidth="1"/>
    <col min="2561" max="2561" width="13.21875" bestFit="1" customWidth="1"/>
    <col min="2562" max="2562" width="10.33203125" bestFit="1" customWidth="1"/>
    <col min="2563" max="2563" width="13.21875" bestFit="1" customWidth="1"/>
    <col min="2564" max="2564" width="10.33203125" bestFit="1" customWidth="1"/>
    <col min="2565" max="2565" width="13.21875" bestFit="1" customWidth="1"/>
    <col min="2566" max="2566" width="10.33203125" bestFit="1" customWidth="1"/>
    <col min="2567" max="2567" width="13.21875" bestFit="1" customWidth="1"/>
    <col min="2568" max="2568" width="10.33203125" bestFit="1" customWidth="1"/>
    <col min="2569" max="2569" width="13.21875" bestFit="1" customWidth="1"/>
    <col min="2570" max="2570" width="10.33203125" bestFit="1" customWidth="1"/>
    <col min="2571" max="2571" width="13.21875" bestFit="1" customWidth="1"/>
    <col min="2572" max="2572" width="10.33203125" bestFit="1" customWidth="1"/>
    <col min="2573" max="2573" width="13.21875" bestFit="1" customWidth="1"/>
    <col min="2574" max="2574" width="10.33203125" bestFit="1" customWidth="1"/>
    <col min="2575" max="2575" width="13.21875" bestFit="1" customWidth="1"/>
    <col min="2576" max="2576" width="10.33203125" bestFit="1" customWidth="1"/>
    <col min="2577" max="2577" width="13.21875" bestFit="1" customWidth="1"/>
    <col min="2578" max="2578" width="10.33203125" bestFit="1" customWidth="1"/>
    <col min="2579" max="2579" width="13.21875" bestFit="1" customWidth="1"/>
    <col min="2580" max="2580" width="10.33203125" bestFit="1" customWidth="1"/>
    <col min="2581" max="2581" width="13.21875" bestFit="1" customWidth="1"/>
    <col min="2582" max="2582" width="10.33203125" bestFit="1" customWidth="1"/>
    <col min="2583" max="2583" width="13.21875" bestFit="1" customWidth="1"/>
    <col min="2584" max="2584" width="10.33203125" bestFit="1" customWidth="1"/>
    <col min="2585" max="2585" width="13.21875" bestFit="1" customWidth="1"/>
    <col min="2586" max="2586" width="10.33203125" bestFit="1" customWidth="1"/>
    <col min="2587" max="2587" width="13.21875" bestFit="1" customWidth="1"/>
    <col min="2588" max="2588" width="10.33203125" bestFit="1" customWidth="1"/>
    <col min="2589" max="2589" width="13.21875" bestFit="1" customWidth="1"/>
    <col min="2590" max="2590" width="10.33203125" bestFit="1" customWidth="1"/>
    <col min="2591" max="2591" width="13.21875" bestFit="1" customWidth="1"/>
    <col min="2592" max="2592" width="10.33203125" bestFit="1" customWidth="1"/>
    <col min="2593" max="2593" width="13.21875" bestFit="1" customWidth="1"/>
    <col min="2594" max="2594" width="10.33203125" bestFit="1" customWidth="1"/>
    <col min="2595" max="2595" width="13.21875" bestFit="1" customWidth="1"/>
    <col min="2596" max="2596" width="10.33203125" bestFit="1" customWidth="1"/>
    <col min="2597" max="2597" width="13.21875" bestFit="1" customWidth="1"/>
    <col min="2598" max="2598" width="10.33203125" bestFit="1" customWidth="1"/>
    <col min="2599" max="2599" width="13.21875" bestFit="1" customWidth="1"/>
    <col min="2600" max="2600" width="10.33203125" bestFit="1" customWidth="1"/>
    <col min="2601" max="2601" width="13.21875" bestFit="1" customWidth="1"/>
    <col min="2602" max="2602" width="10.33203125" bestFit="1" customWidth="1"/>
    <col min="2603" max="2603" width="13.21875" bestFit="1" customWidth="1"/>
    <col min="2604" max="2604" width="10.33203125" bestFit="1" customWidth="1"/>
    <col min="2605" max="2605" width="13.21875" bestFit="1" customWidth="1"/>
    <col min="2606" max="2606" width="10.33203125" bestFit="1" customWidth="1"/>
    <col min="2607" max="2607" width="13.21875" bestFit="1" customWidth="1"/>
    <col min="2608" max="2608" width="10.33203125" bestFit="1" customWidth="1"/>
    <col min="2609" max="2609" width="13.21875" bestFit="1" customWidth="1"/>
    <col min="2610" max="2610" width="10.33203125" bestFit="1" customWidth="1"/>
    <col min="2611" max="2611" width="13.21875" bestFit="1" customWidth="1"/>
    <col min="2612" max="2612" width="10.33203125" bestFit="1" customWidth="1"/>
    <col min="2613" max="2613" width="13.21875" bestFit="1" customWidth="1"/>
    <col min="2614" max="2614" width="10.33203125" bestFit="1" customWidth="1"/>
    <col min="2615" max="2615" width="13.21875" bestFit="1" customWidth="1"/>
    <col min="2616" max="2616" width="10.33203125" bestFit="1" customWidth="1"/>
    <col min="2617" max="2617" width="13.21875" bestFit="1" customWidth="1"/>
    <col min="2618" max="2618" width="10.33203125" bestFit="1" customWidth="1"/>
    <col min="2619" max="2619" width="13.21875" bestFit="1" customWidth="1"/>
    <col min="2620" max="2620" width="10.33203125" bestFit="1" customWidth="1"/>
    <col min="2621" max="2621" width="13.21875" bestFit="1" customWidth="1"/>
    <col min="2622" max="2622" width="10.33203125" bestFit="1" customWidth="1"/>
    <col min="2623" max="2623" width="13.21875" bestFit="1" customWidth="1"/>
    <col min="2624" max="2624" width="10.33203125" bestFit="1" customWidth="1"/>
    <col min="2625" max="2625" width="13.21875" bestFit="1" customWidth="1"/>
    <col min="2626" max="2626" width="10.33203125" bestFit="1" customWidth="1"/>
    <col min="2627" max="2627" width="13.21875" bestFit="1" customWidth="1"/>
    <col min="2628" max="2628" width="10.33203125" bestFit="1" customWidth="1"/>
    <col min="2629" max="2629" width="13.21875" bestFit="1" customWidth="1"/>
    <col min="2630" max="2630" width="10.33203125" bestFit="1" customWidth="1"/>
    <col min="2631" max="2631" width="13.21875" bestFit="1" customWidth="1"/>
    <col min="2632" max="2632" width="10.33203125" bestFit="1" customWidth="1"/>
    <col min="2633" max="2633" width="13.21875" bestFit="1" customWidth="1"/>
    <col min="2634" max="2634" width="10.33203125" bestFit="1" customWidth="1"/>
    <col min="2635" max="2635" width="13.21875" bestFit="1" customWidth="1"/>
    <col min="2636" max="2636" width="10.33203125" bestFit="1" customWidth="1"/>
    <col min="2637" max="2637" width="13.21875" bestFit="1" customWidth="1"/>
    <col min="2638" max="2638" width="10.33203125" bestFit="1" customWidth="1"/>
    <col min="2639" max="2639" width="13.21875" bestFit="1" customWidth="1"/>
    <col min="2640" max="2640" width="10.33203125" bestFit="1" customWidth="1"/>
    <col min="2641" max="2641" width="13.21875" bestFit="1" customWidth="1"/>
    <col min="2642" max="2642" width="10.33203125" bestFit="1" customWidth="1"/>
    <col min="2643" max="2643" width="13.21875" bestFit="1" customWidth="1"/>
    <col min="2644" max="2644" width="10.33203125" bestFit="1" customWidth="1"/>
    <col min="2645" max="2645" width="13.21875" bestFit="1" customWidth="1"/>
    <col min="2646" max="2646" width="10.33203125" bestFit="1" customWidth="1"/>
    <col min="2647" max="2647" width="13.21875" bestFit="1" customWidth="1"/>
    <col min="2648" max="2648" width="10.33203125" bestFit="1" customWidth="1"/>
    <col min="2649" max="2649" width="13.21875" bestFit="1" customWidth="1"/>
    <col min="2650" max="2650" width="10.33203125" bestFit="1" customWidth="1"/>
    <col min="2651" max="2651" width="13.21875" bestFit="1" customWidth="1"/>
    <col min="2652" max="2652" width="10.33203125" bestFit="1" customWidth="1"/>
    <col min="2653" max="2653" width="13.21875" bestFit="1" customWidth="1"/>
    <col min="2654" max="2654" width="10.33203125" bestFit="1" customWidth="1"/>
    <col min="2655" max="2655" width="13.21875" bestFit="1" customWidth="1"/>
    <col min="2656" max="2656" width="10.33203125" bestFit="1" customWidth="1"/>
    <col min="2657" max="2657" width="13.21875" bestFit="1" customWidth="1"/>
    <col min="2658" max="2658" width="10.33203125" bestFit="1" customWidth="1"/>
    <col min="2659" max="2659" width="13.21875" bestFit="1" customWidth="1"/>
    <col min="2660" max="2660" width="10.33203125" bestFit="1" customWidth="1"/>
    <col min="2661" max="2661" width="13.21875" bestFit="1" customWidth="1"/>
    <col min="2662" max="2662" width="10.33203125" bestFit="1" customWidth="1"/>
    <col min="2663" max="2663" width="13.21875" bestFit="1" customWidth="1"/>
    <col min="2664" max="2664" width="10.33203125" bestFit="1" customWidth="1"/>
    <col min="2665" max="2665" width="13.21875" bestFit="1" customWidth="1"/>
    <col min="2666" max="2666" width="10.33203125" bestFit="1" customWidth="1"/>
    <col min="2667" max="2667" width="13.21875" bestFit="1" customWidth="1"/>
    <col min="2668" max="2668" width="10.33203125" bestFit="1" customWidth="1"/>
    <col min="2669" max="2669" width="13.21875" bestFit="1" customWidth="1"/>
    <col min="2670" max="2670" width="10.33203125" bestFit="1" customWidth="1"/>
    <col min="2671" max="2671" width="13.21875" bestFit="1" customWidth="1"/>
    <col min="2672" max="2672" width="10.33203125" bestFit="1" customWidth="1"/>
    <col min="2673" max="2673" width="13.21875" bestFit="1" customWidth="1"/>
    <col min="2674" max="2674" width="10.33203125" bestFit="1" customWidth="1"/>
    <col min="2675" max="2675" width="13.21875" bestFit="1" customWidth="1"/>
    <col min="2676" max="2676" width="10.33203125" bestFit="1" customWidth="1"/>
    <col min="2677" max="2677" width="13.21875" bestFit="1" customWidth="1"/>
    <col min="2678" max="2678" width="10.33203125" bestFit="1" customWidth="1"/>
    <col min="2679" max="2679" width="13.21875" bestFit="1" customWidth="1"/>
    <col min="2680" max="2680" width="10.33203125" bestFit="1" customWidth="1"/>
    <col min="2681" max="2681" width="13.21875" bestFit="1" customWidth="1"/>
    <col min="2682" max="2682" width="10.33203125" bestFit="1" customWidth="1"/>
    <col min="2683" max="2683" width="13.21875" bestFit="1" customWidth="1"/>
    <col min="2684" max="2684" width="10.33203125" bestFit="1" customWidth="1"/>
    <col min="2685" max="2685" width="13.21875" bestFit="1" customWidth="1"/>
    <col min="2686" max="2686" width="10.33203125" bestFit="1" customWidth="1"/>
    <col min="2687" max="2687" width="13.21875" bestFit="1" customWidth="1"/>
    <col min="2688" max="2688" width="10.33203125" bestFit="1" customWidth="1"/>
    <col min="2689" max="2689" width="13.21875" bestFit="1" customWidth="1"/>
    <col min="2690" max="2690" width="10.33203125" bestFit="1" customWidth="1"/>
    <col min="2691" max="2691" width="13.21875" bestFit="1" customWidth="1"/>
    <col min="2692" max="2692" width="10.33203125" bestFit="1" customWidth="1"/>
    <col min="2693" max="2693" width="13.21875" bestFit="1" customWidth="1"/>
    <col min="2694" max="2694" width="10.33203125" bestFit="1" customWidth="1"/>
    <col min="2695" max="2695" width="13.21875" bestFit="1" customWidth="1"/>
    <col min="2696" max="2696" width="10.33203125" bestFit="1" customWidth="1"/>
    <col min="2697" max="2697" width="13.21875" bestFit="1" customWidth="1"/>
    <col min="2698" max="2698" width="10.33203125" bestFit="1" customWidth="1"/>
    <col min="2699" max="2699" width="13.21875" bestFit="1" customWidth="1"/>
    <col min="2700" max="2700" width="10.33203125" bestFit="1" customWidth="1"/>
    <col min="2701" max="2701" width="13.21875" bestFit="1" customWidth="1"/>
    <col min="2702" max="2702" width="10.33203125" bestFit="1" customWidth="1"/>
    <col min="2703" max="2703" width="13.21875" bestFit="1" customWidth="1"/>
    <col min="2704" max="2704" width="10.33203125" bestFit="1" customWidth="1"/>
    <col min="2705" max="2705" width="13.21875" bestFit="1" customWidth="1"/>
    <col min="2706" max="2706" width="10.33203125" bestFit="1" customWidth="1"/>
    <col min="2707" max="2707" width="13.21875" bestFit="1" customWidth="1"/>
    <col min="2708" max="2708" width="10.33203125" bestFit="1" customWidth="1"/>
    <col min="2709" max="2709" width="13.21875" bestFit="1" customWidth="1"/>
    <col min="2710" max="2710" width="10.33203125" bestFit="1" customWidth="1"/>
    <col min="2711" max="2711" width="13.21875" bestFit="1" customWidth="1"/>
    <col min="2712" max="2712" width="10.33203125" bestFit="1" customWidth="1"/>
    <col min="2713" max="2713" width="13.21875" bestFit="1" customWidth="1"/>
    <col min="2714" max="2714" width="10.33203125" bestFit="1" customWidth="1"/>
    <col min="2715" max="2715" width="13.21875" bestFit="1" customWidth="1"/>
    <col min="2716" max="2716" width="10.33203125" bestFit="1" customWidth="1"/>
    <col min="2717" max="2717" width="13.21875" bestFit="1" customWidth="1"/>
    <col min="2718" max="2718" width="10.33203125" bestFit="1" customWidth="1"/>
    <col min="2719" max="2719" width="13.21875" bestFit="1" customWidth="1"/>
    <col min="2720" max="2720" width="10.33203125" bestFit="1" customWidth="1"/>
    <col min="2721" max="2721" width="13.21875" bestFit="1" customWidth="1"/>
    <col min="2722" max="2722" width="10.33203125" bestFit="1" customWidth="1"/>
    <col min="2723" max="2723" width="13.21875" bestFit="1" customWidth="1"/>
    <col min="2724" max="2724" width="10.33203125" bestFit="1" customWidth="1"/>
    <col min="2725" max="2725" width="13.21875" bestFit="1" customWidth="1"/>
    <col min="2726" max="2726" width="10.33203125" bestFit="1" customWidth="1"/>
    <col min="2727" max="2727" width="13.21875" bestFit="1" customWidth="1"/>
    <col min="2728" max="2728" width="10.33203125" bestFit="1" customWidth="1"/>
    <col min="2729" max="2729" width="13.21875" bestFit="1" customWidth="1"/>
    <col min="2730" max="2730" width="10.33203125" bestFit="1" customWidth="1"/>
    <col min="2731" max="2731" width="13.21875" bestFit="1" customWidth="1"/>
    <col min="2732" max="2732" width="10.33203125" bestFit="1" customWidth="1"/>
    <col min="2733" max="2733" width="13.21875" bestFit="1" customWidth="1"/>
    <col min="2734" max="2734" width="10.33203125" bestFit="1" customWidth="1"/>
    <col min="2735" max="2735" width="13.21875" bestFit="1" customWidth="1"/>
    <col min="2736" max="2736" width="10.33203125" bestFit="1" customWidth="1"/>
    <col min="2737" max="2737" width="13.21875" bestFit="1" customWidth="1"/>
    <col min="2738" max="2738" width="10.33203125" bestFit="1" customWidth="1"/>
    <col min="2739" max="2739" width="13.21875" bestFit="1" customWidth="1"/>
    <col min="2740" max="2740" width="10.33203125" bestFit="1" customWidth="1"/>
    <col min="2741" max="2741" width="13.21875" bestFit="1" customWidth="1"/>
    <col min="2742" max="2742" width="10.33203125" bestFit="1" customWidth="1"/>
    <col min="2743" max="2743" width="13.21875" bestFit="1" customWidth="1"/>
    <col min="2744" max="2744" width="10.33203125" bestFit="1" customWidth="1"/>
    <col min="2745" max="2745" width="13.21875" bestFit="1" customWidth="1"/>
    <col min="2746" max="2746" width="10.33203125" bestFit="1" customWidth="1"/>
    <col min="2747" max="2747" width="13.21875" bestFit="1" customWidth="1"/>
    <col min="2748" max="2748" width="10.33203125" bestFit="1" customWidth="1"/>
    <col min="2749" max="2749" width="13.21875" bestFit="1" customWidth="1"/>
    <col min="2750" max="2750" width="10.33203125" bestFit="1" customWidth="1"/>
    <col min="2751" max="2751" width="13.21875" bestFit="1" customWidth="1"/>
    <col min="2752" max="2752" width="10.33203125" bestFit="1" customWidth="1"/>
    <col min="2753" max="2753" width="13.21875" bestFit="1" customWidth="1"/>
    <col min="2754" max="2754" width="10.33203125" bestFit="1" customWidth="1"/>
    <col min="2755" max="2755" width="13.21875" bestFit="1" customWidth="1"/>
    <col min="2756" max="2756" width="10.33203125" bestFit="1" customWidth="1"/>
    <col min="2757" max="2757" width="13.21875" bestFit="1" customWidth="1"/>
    <col min="2758" max="2758" width="10.33203125" bestFit="1" customWidth="1"/>
    <col min="2759" max="2759" width="13.21875" bestFit="1" customWidth="1"/>
    <col min="2760" max="2760" width="10.33203125" bestFit="1" customWidth="1"/>
    <col min="2761" max="2761" width="13.21875" bestFit="1" customWidth="1"/>
    <col min="2762" max="2762" width="10.33203125" bestFit="1" customWidth="1"/>
    <col min="2763" max="2763" width="13.21875" bestFit="1" customWidth="1"/>
    <col min="2764" max="2764" width="10.33203125" bestFit="1" customWidth="1"/>
    <col min="2765" max="2765" width="13.21875" bestFit="1" customWidth="1"/>
    <col min="2766" max="2766" width="10.33203125" bestFit="1" customWidth="1"/>
    <col min="2767" max="2767" width="13.21875" bestFit="1" customWidth="1"/>
    <col min="2768" max="2768" width="10.33203125" bestFit="1" customWidth="1"/>
    <col min="2769" max="2769" width="13.21875" bestFit="1" customWidth="1"/>
    <col min="2770" max="2770" width="10.33203125" bestFit="1" customWidth="1"/>
    <col min="2771" max="2771" width="13.21875" bestFit="1" customWidth="1"/>
    <col min="2772" max="2772" width="10.33203125" bestFit="1" customWidth="1"/>
    <col min="2773" max="2773" width="13.21875" bestFit="1" customWidth="1"/>
    <col min="2774" max="2774" width="10.33203125" bestFit="1" customWidth="1"/>
    <col min="2775" max="2775" width="13.21875" bestFit="1" customWidth="1"/>
    <col min="2776" max="2776" width="10.33203125" bestFit="1" customWidth="1"/>
    <col min="2777" max="2777" width="13.21875" bestFit="1" customWidth="1"/>
    <col min="2778" max="2778" width="10.33203125" bestFit="1" customWidth="1"/>
    <col min="2779" max="2779" width="13.21875" bestFit="1" customWidth="1"/>
    <col min="2780" max="2780" width="10.33203125" bestFit="1" customWidth="1"/>
    <col min="2781" max="2781" width="13.21875" bestFit="1" customWidth="1"/>
    <col min="2782" max="2782" width="10.33203125" bestFit="1" customWidth="1"/>
    <col min="2783" max="2783" width="13.21875" bestFit="1" customWidth="1"/>
    <col min="2784" max="2784" width="10.33203125" bestFit="1" customWidth="1"/>
    <col min="2785" max="2785" width="13.21875" bestFit="1" customWidth="1"/>
    <col min="2786" max="2786" width="10.33203125" bestFit="1" customWidth="1"/>
    <col min="2787" max="2787" width="13.21875" bestFit="1" customWidth="1"/>
    <col min="2788" max="2788" width="10.33203125" bestFit="1" customWidth="1"/>
    <col min="2789" max="2789" width="13.21875" bestFit="1" customWidth="1"/>
    <col min="2790" max="2790" width="10.33203125" bestFit="1" customWidth="1"/>
    <col min="2791" max="2791" width="13.21875" bestFit="1" customWidth="1"/>
    <col min="2792" max="2792" width="10.33203125" bestFit="1" customWidth="1"/>
    <col min="2793" max="2793" width="13.21875" bestFit="1" customWidth="1"/>
    <col min="2794" max="2794" width="10.33203125" bestFit="1" customWidth="1"/>
    <col min="2795" max="2795" width="13.21875" bestFit="1" customWidth="1"/>
    <col min="2796" max="2796" width="10.33203125" bestFit="1" customWidth="1"/>
    <col min="2797" max="2797" width="13.21875" bestFit="1" customWidth="1"/>
    <col min="2798" max="2798" width="10.33203125" bestFit="1" customWidth="1"/>
    <col min="2799" max="2799" width="13.21875" bestFit="1" customWidth="1"/>
    <col min="2800" max="2800" width="10.33203125" bestFit="1" customWidth="1"/>
    <col min="2801" max="2801" width="13.21875" bestFit="1" customWidth="1"/>
    <col min="2802" max="2802" width="10.33203125" bestFit="1" customWidth="1"/>
    <col min="2803" max="2803" width="13.21875" bestFit="1" customWidth="1"/>
    <col min="2804" max="2804" width="10.33203125" bestFit="1" customWidth="1"/>
    <col min="2805" max="2805" width="13.21875" bestFit="1" customWidth="1"/>
    <col min="2806" max="2806" width="10.33203125" bestFit="1" customWidth="1"/>
    <col min="2807" max="2807" width="13.21875" bestFit="1" customWidth="1"/>
    <col min="2808" max="2808" width="10.33203125" bestFit="1" customWidth="1"/>
    <col min="2809" max="2809" width="13.21875" bestFit="1" customWidth="1"/>
    <col min="2810" max="2810" width="10.33203125" bestFit="1" customWidth="1"/>
    <col min="2811" max="2811" width="13.21875" bestFit="1" customWidth="1"/>
    <col min="2812" max="2812" width="10.33203125" bestFit="1" customWidth="1"/>
    <col min="2813" max="2813" width="13.21875" bestFit="1" customWidth="1"/>
    <col min="2814" max="2814" width="10.33203125" bestFit="1" customWidth="1"/>
    <col min="2815" max="2815" width="13.21875" bestFit="1" customWidth="1"/>
    <col min="2816" max="2816" width="10.33203125" bestFit="1" customWidth="1"/>
    <col min="2817" max="2817" width="13.21875" bestFit="1" customWidth="1"/>
    <col min="2818" max="2818" width="10.33203125" bestFit="1" customWidth="1"/>
    <col min="2819" max="2819" width="13.21875" bestFit="1" customWidth="1"/>
    <col min="2820" max="2820" width="10.33203125" bestFit="1" customWidth="1"/>
    <col min="2821" max="2821" width="13.21875" bestFit="1" customWidth="1"/>
    <col min="2822" max="2822" width="10.33203125" bestFit="1" customWidth="1"/>
    <col min="2823" max="2823" width="13.21875" bestFit="1" customWidth="1"/>
    <col min="2824" max="2824" width="10.33203125" bestFit="1" customWidth="1"/>
    <col min="2825" max="2825" width="13.21875" bestFit="1" customWidth="1"/>
    <col min="2826" max="2826" width="10.33203125" bestFit="1" customWidth="1"/>
    <col min="2827" max="2827" width="13.21875" bestFit="1" customWidth="1"/>
    <col min="2828" max="2828" width="10.33203125" bestFit="1" customWidth="1"/>
    <col min="2829" max="2829" width="13.21875" bestFit="1" customWidth="1"/>
    <col min="2830" max="2830" width="10.33203125" bestFit="1" customWidth="1"/>
    <col min="2831" max="2831" width="13.21875" bestFit="1" customWidth="1"/>
    <col min="2832" max="2832" width="10.33203125" bestFit="1" customWidth="1"/>
    <col min="2833" max="2833" width="13.21875" bestFit="1" customWidth="1"/>
    <col min="2834" max="2834" width="10.33203125" bestFit="1" customWidth="1"/>
    <col min="2835" max="2835" width="13.21875" bestFit="1" customWidth="1"/>
    <col min="2836" max="2836" width="10.33203125" bestFit="1" customWidth="1"/>
    <col min="2837" max="2837" width="13.21875" bestFit="1" customWidth="1"/>
    <col min="2838" max="2838" width="10.33203125" bestFit="1" customWidth="1"/>
    <col min="2839" max="2839" width="13.21875" bestFit="1" customWidth="1"/>
    <col min="2840" max="2840" width="10.33203125" bestFit="1" customWidth="1"/>
    <col min="2841" max="2841" width="13.21875" bestFit="1" customWidth="1"/>
    <col min="2842" max="2842" width="10.33203125" bestFit="1" customWidth="1"/>
    <col min="2843" max="2843" width="13.21875" bestFit="1" customWidth="1"/>
    <col min="2844" max="2844" width="10.33203125" bestFit="1" customWidth="1"/>
    <col min="2845" max="2845" width="13.21875" bestFit="1" customWidth="1"/>
    <col min="2846" max="2846" width="10.33203125" bestFit="1" customWidth="1"/>
    <col min="2847" max="2847" width="13.21875" bestFit="1" customWidth="1"/>
    <col min="2848" max="2848" width="10.33203125" bestFit="1" customWidth="1"/>
    <col min="2849" max="2849" width="13.21875" bestFit="1" customWidth="1"/>
    <col min="2850" max="2850" width="10.33203125" bestFit="1" customWidth="1"/>
    <col min="2851" max="2851" width="13.21875" bestFit="1" customWidth="1"/>
    <col min="2852" max="2852" width="10.33203125" bestFit="1" customWidth="1"/>
    <col min="2853" max="2853" width="13.21875" bestFit="1" customWidth="1"/>
    <col min="2854" max="2854" width="10.33203125" bestFit="1" customWidth="1"/>
    <col min="2855" max="2855" width="13.21875" bestFit="1" customWidth="1"/>
    <col min="2856" max="2856" width="10.33203125" bestFit="1" customWidth="1"/>
    <col min="2857" max="2857" width="13.21875" bestFit="1" customWidth="1"/>
    <col min="2858" max="2858" width="10.33203125" bestFit="1" customWidth="1"/>
    <col min="2859" max="2859" width="13.21875" bestFit="1" customWidth="1"/>
    <col min="2860" max="2860" width="10.33203125" bestFit="1" customWidth="1"/>
    <col min="2861" max="2861" width="13.21875" bestFit="1" customWidth="1"/>
    <col min="2862" max="2862" width="10.33203125" bestFit="1" customWidth="1"/>
    <col min="2863" max="2863" width="13.21875" bestFit="1" customWidth="1"/>
    <col min="2864" max="2864" width="10.33203125" bestFit="1" customWidth="1"/>
    <col min="2865" max="2865" width="13.21875" bestFit="1" customWidth="1"/>
    <col min="2866" max="2866" width="10.33203125" bestFit="1" customWidth="1"/>
    <col min="2867" max="2867" width="13.21875" bestFit="1" customWidth="1"/>
    <col min="2868" max="2868" width="10.33203125" bestFit="1" customWidth="1"/>
    <col min="2869" max="2869" width="13.21875" bestFit="1" customWidth="1"/>
    <col min="2870" max="2870" width="10.33203125" bestFit="1" customWidth="1"/>
    <col min="2871" max="2871" width="13.21875" bestFit="1" customWidth="1"/>
    <col min="2872" max="2872" width="10.33203125" bestFit="1" customWidth="1"/>
    <col min="2873" max="2873" width="13.21875" bestFit="1" customWidth="1"/>
    <col min="2874" max="2874" width="10.33203125" bestFit="1" customWidth="1"/>
    <col min="2875" max="2875" width="13.21875" bestFit="1" customWidth="1"/>
    <col min="2876" max="2876" width="10.33203125" bestFit="1" customWidth="1"/>
    <col min="2877" max="2877" width="13.21875" bestFit="1" customWidth="1"/>
    <col min="2878" max="2878" width="10.33203125" bestFit="1" customWidth="1"/>
    <col min="2879" max="2879" width="13.21875" bestFit="1" customWidth="1"/>
    <col min="2880" max="2880" width="10.33203125" bestFit="1" customWidth="1"/>
    <col min="2881" max="2881" width="13.21875" bestFit="1" customWidth="1"/>
    <col min="2882" max="2882" width="10.33203125" bestFit="1" customWidth="1"/>
    <col min="2883" max="2883" width="13.21875" bestFit="1" customWidth="1"/>
    <col min="2884" max="2884" width="10.33203125" bestFit="1" customWidth="1"/>
    <col min="2885" max="2885" width="13.21875" bestFit="1" customWidth="1"/>
    <col min="2886" max="2886" width="10.33203125" bestFit="1" customWidth="1"/>
    <col min="2887" max="2887" width="13.21875" bestFit="1" customWidth="1"/>
    <col min="2888" max="2888" width="10.33203125" bestFit="1" customWidth="1"/>
    <col min="2889" max="2889" width="13.21875" bestFit="1" customWidth="1"/>
    <col min="2890" max="2890" width="10.33203125" bestFit="1" customWidth="1"/>
    <col min="2891" max="2891" width="13.21875" bestFit="1" customWidth="1"/>
    <col min="2892" max="2892" width="10.33203125" bestFit="1" customWidth="1"/>
    <col min="2893" max="2893" width="13.21875" bestFit="1" customWidth="1"/>
    <col min="2894" max="2894" width="10.33203125" bestFit="1" customWidth="1"/>
    <col min="2895" max="2895" width="13.21875" bestFit="1" customWidth="1"/>
    <col min="2896" max="2896" width="10.33203125" bestFit="1" customWidth="1"/>
    <col min="2897" max="2897" width="13.21875" bestFit="1" customWidth="1"/>
    <col min="2898" max="2898" width="10.33203125" bestFit="1" customWidth="1"/>
    <col min="2899" max="2899" width="13.21875" bestFit="1" customWidth="1"/>
    <col min="2900" max="2900" width="10.33203125" bestFit="1" customWidth="1"/>
    <col min="2901" max="2901" width="13.21875" bestFit="1" customWidth="1"/>
    <col min="2902" max="2902" width="10.33203125" bestFit="1" customWidth="1"/>
    <col min="2903" max="2903" width="13.21875" bestFit="1" customWidth="1"/>
    <col min="2904" max="2904" width="10.33203125" bestFit="1" customWidth="1"/>
    <col min="2905" max="2905" width="13.21875" bestFit="1" customWidth="1"/>
    <col min="2906" max="2906" width="10.33203125" bestFit="1" customWidth="1"/>
    <col min="2907" max="2907" width="13.21875" bestFit="1" customWidth="1"/>
    <col min="2908" max="2908" width="10.33203125" bestFit="1" customWidth="1"/>
    <col min="2909" max="2909" width="13.21875" bestFit="1" customWidth="1"/>
    <col min="2910" max="2910" width="10.33203125" bestFit="1" customWidth="1"/>
    <col min="2911" max="2911" width="13.21875" bestFit="1" customWidth="1"/>
    <col min="2912" max="2912" width="10.33203125" bestFit="1" customWidth="1"/>
    <col min="2913" max="2913" width="13.21875" bestFit="1" customWidth="1"/>
    <col min="2914" max="2914" width="10.33203125" bestFit="1" customWidth="1"/>
    <col min="2915" max="2915" width="13.21875" bestFit="1" customWidth="1"/>
    <col min="2916" max="2916" width="10.33203125" bestFit="1" customWidth="1"/>
    <col min="2917" max="2917" width="13.21875" bestFit="1" customWidth="1"/>
    <col min="2918" max="2918" width="10.33203125" bestFit="1" customWidth="1"/>
    <col min="2919" max="2919" width="13.21875" bestFit="1" customWidth="1"/>
    <col min="2920" max="2920" width="10.33203125" bestFit="1" customWidth="1"/>
    <col min="2921" max="2921" width="13.21875" bestFit="1" customWidth="1"/>
    <col min="2922" max="2922" width="10.33203125" bestFit="1" customWidth="1"/>
    <col min="2923" max="2923" width="13.21875" bestFit="1" customWidth="1"/>
    <col min="2924" max="2924" width="10.33203125" bestFit="1" customWidth="1"/>
    <col min="2925" max="2925" width="13.21875" bestFit="1" customWidth="1"/>
    <col min="2926" max="2926" width="10.33203125" bestFit="1" customWidth="1"/>
    <col min="2927" max="2927" width="13.21875" bestFit="1" customWidth="1"/>
    <col min="2928" max="2928" width="10.33203125" bestFit="1" customWidth="1"/>
    <col min="2929" max="2929" width="13.21875" bestFit="1" customWidth="1"/>
    <col min="2930" max="2930" width="10.33203125" bestFit="1" customWidth="1"/>
    <col min="2931" max="2931" width="13.21875" bestFit="1" customWidth="1"/>
    <col min="2932" max="2932" width="10.33203125" bestFit="1" customWidth="1"/>
    <col min="2933" max="2933" width="13.21875" bestFit="1" customWidth="1"/>
    <col min="2934" max="2934" width="10.33203125" bestFit="1" customWidth="1"/>
    <col min="2935" max="2935" width="13.21875" bestFit="1" customWidth="1"/>
    <col min="2936" max="2936" width="10.33203125" bestFit="1" customWidth="1"/>
    <col min="2937" max="2937" width="13.21875" bestFit="1" customWidth="1"/>
    <col min="2938" max="2938" width="10.33203125" bestFit="1" customWidth="1"/>
    <col min="2939" max="2939" width="13.21875" bestFit="1" customWidth="1"/>
    <col min="2940" max="2940" width="10.33203125" bestFit="1" customWidth="1"/>
    <col min="2941" max="2941" width="13.21875" bestFit="1" customWidth="1"/>
    <col min="2942" max="2942" width="10.33203125" bestFit="1" customWidth="1"/>
    <col min="2943" max="2943" width="13.21875" bestFit="1" customWidth="1"/>
    <col min="2944" max="2944" width="10.33203125" bestFit="1" customWidth="1"/>
    <col min="2945" max="2945" width="13.21875" bestFit="1" customWidth="1"/>
    <col min="2946" max="2946" width="10.33203125" bestFit="1" customWidth="1"/>
    <col min="2947" max="2947" width="13.21875" bestFit="1" customWidth="1"/>
    <col min="2948" max="2948" width="10.33203125" bestFit="1" customWidth="1"/>
    <col min="2949" max="2949" width="13.21875" bestFit="1" customWidth="1"/>
    <col min="2950" max="2950" width="10.33203125" bestFit="1" customWidth="1"/>
    <col min="2951" max="2951" width="13.21875" bestFit="1" customWidth="1"/>
    <col min="2952" max="2952" width="10.33203125" bestFit="1" customWidth="1"/>
    <col min="2953" max="2953" width="13.21875" bestFit="1" customWidth="1"/>
    <col min="2954" max="2954" width="10.33203125" bestFit="1" customWidth="1"/>
    <col min="2955" max="2955" width="13.21875" bestFit="1" customWidth="1"/>
    <col min="2956" max="2956" width="10.33203125" bestFit="1" customWidth="1"/>
    <col min="2957" max="2957" width="13.21875" bestFit="1" customWidth="1"/>
    <col min="2958" max="2958" width="10.33203125" bestFit="1" customWidth="1"/>
    <col min="2959" max="2959" width="13.21875" bestFit="1" customWidth="1"/>
    <col min="2960" max="2960" width="10.33203125" bestFit="1" customWidth="1"/>
    <col min="2961" max="2961" width="13.21875" bestFit="1" customWidth="1"/>
    <col min="2962" max="2962" width="10.33203125" bestFit="1" customWidth="1"/>
    <col min="2963" max="2963" width="13.21875" bestFit="1" customWidth="1"/>
    <col min="2964" max="2964" width="10.33203125" bestFit="1" customWidth="1"/>
    <col min="2965" max="2965" width="13.21875" bestFit="1" customWidth="1"/>
    <col min="2966" max="2966" width="10.33203125" bestFit="1" customWidth="1"/>
    <col min="2967" max="2967" width="13.21875" bestFit="1" customWidth="1"/>
    <col min="2968" max="2968" width="10.33203125" bestFit="1" customWidth="1"/>
    <col min="2969" max="2969" width="13.21875" bestFit="1" customWidth="1"/>
    <col min="2970" max="2970" width="10.33203125" bestFit="1" customWidth="1"/>
    <col min="2971" max="2971" width="13.21875" bestFit="1" customWidth="1"/>
    <col min="2972" max="2972" width="10.33203125" bestFit="1" customWidth="1"/>
    <col min="2973" max="2973" width="13.21875" bestFit="1" customWidth="1"/>
    <col min="2974" max="2974" width="10.33203125" bestFit="1" customWidth="1"/>
    <col min="2975" max="2975" width="13.21875" bestFit="1" customWidth="1"/>
    <col min="2976" max="2976" width="10.33203125" bestFit="1" customWidth="1"/>
    <col min="2977" max="2977" width="13.21875" bestFit="1" customWidth="1"/>
    <col min="2978" max="2978" width="10.33203125" bestFit="1" customWidth="1"/>
    <col min="2979" max="2979" width="13.21875" bestFit="1" customWidth="1"/>
    <col min="2980" max="2980" width="10.33203125" bestFit="1" customWidth="1"/>
    <col min="2981" max="2981" width="13.21875" bestFit="1" customWidth="1"/>
    <col min="2982" max="2982" width="10.33203125" bestFit="1" customWidth="1"/>
    <col min="2983" max="2983" width="13.21875" bestFit="1" customWidth="1"/>
    <col min="2984" max="2984" width="10.33203125" bestFit="1" customWidth="1"/>
    <col min="2985" max="2985" width="13.21875" bestFit="1" customWidth="1"/>
    <col min="2986" max="2986" width="10.33203125" bestFit="1" customWidth="1"/>
    <col min="2987" max="2987" width="13.21875" bestFit="1" customWidth="1"/>
    <col min="2988" max="2988" width="10.33203125" bestFit="1" customWidth="1"/>
    <col min="2989" max="2989" width="13.21875" bestFit="1" customWidth="1"/>
    <col min="2990" max="2990" width="10.33203125" bestFit="1" customWidth="1"/>
    <col min="2991" max="2991" width="13.21875" bestFit="1" customWidth="1"/>
    <col min="2992" max="2992" width="10.33203125" bestFit="1" customWidth="1"/>
    <col min="2993" max="2993" width="13.21875" bestFit="1" customWidth="1"/>
    <col min="2994" max="2994" width="10.33203125" bestFit="1" customWidth="1"/>
    <col min="2995" max="2995" width="13.21875" bestFit="1" customWidth="1"/>
    <col min="2996" max="2996" width="10.33203125" bestFit="1" customWidth="1"/>
    <col min="2997" max="2997" width="13.21875" bestFit="1" customWidth="1"/>
    <col min="2998" max="2998" width="10.33203125" bestFit="1" customWidth="1"/>
    <col min="2999" max="2999" width="13.21875" bestFit="1" customWidth="1"/>
    <col min="3000" max="3000" width="10.33203125" bestFit="1" customWidth="1"/>
    <col min="3001" max="3001" width="13.21875" bestFit="1" customWidth="1"/>
    <col min="3002" max="3002" width="11" bestFit="1" customWidth="1"/>
  </cols>
  <sheetData>
    <row r="1" spans="1:4" x14ac:dyDescent="0.3">
      <c r="A1" s="12" t="s">
        <v>1775</v>
      </c>
      <c r="B1" s="12"/>
      <c r="C1" s="12" t="s">
        <v>1776</v>
      </c>
      <c r="D1" t="s">
        <v>1777</v>
      </c>
    </row>
    <row r="2" spans="1:4" x14ac:dyDescent="0.3">
      <c r="A2" t="s">
        <v>23</v>
      </c>
      <c r="C2">
        <f>COUNTA(A2:A377)</f>
        <v>376</v>
      </c>
      <c r="D2" s="14">
        <f>C2/1501</f>
        <v>0.25049966688874081</v>
      </c>
    </row>
    <row r="3" spans="1:4" x14ac:dyDescent="0.3">
      <c r="A3" t="s">
        <v>65</v>
      </c>
      <c r="D3" s="13"/>
    </row>
    <row r="4" spans="1:4" x14ac:dyDescent="0.3">
      <c r="A4" t="s">
        <v>76</v>
      </c>
    </row>
    <row r="5" spans="1:4" x14ac:dyDescent="0.3">
      <c r="A5" t="s">
        <v>90</v>
      </c>
    </row>
    <row r="6" spans="1:4" x14ac:dyDescent="0.3">
      <c r="A6" t="s">
        <v>91</v>
      </c>
    </row>
    <row r="7" spans="1:4" x14ac:dyDescent="0.3">
      <c r="A7" t="s">
        <v>98</v>
      </c>
    </row>
    <row r="8" spans="1:4" x14ac:dyDescent="0.3">
      <c r="A8" t="s">
        <v>101</v>
      </c>
    </row>
    <row r="9" spans="1:4" x14ac:dyDescent="0.3">
      <c r="A9" t="s">
        <v>102</v>
      </c>
    </row>
    <row r="10" spans="1:4" x14ac:dyDescent="0.3">
      <c r="A10" t="s">
        <v>109</v>
      </c>
    </row>
    <row r="11" spans="1:4" x14ac:dyDescent="0.3">
      <c r="A11" t="s">
        <v>110</v>
      </c>
    </row>
    <row r="12" spans="1:4" x14ac:dyDescent="0.3">
      <c r="A12" t="s">
        <v>112</v>
      </c>
    </row>
    <row r="13" spans="1:4" x14ac:dyDescent="0.3">
      <c r="A13" t="s">
        <v>117</v>
      </c>
    </row>
    <row r="14" spans="1:4" x14ac:dyDescent="0.3">
      <c r="A14" t="s">
        <v>119</v>
      </c>
    </row>
    <row r="15" spans="1:4" x14ac:dyDescent="0.3">
      <c r="A15" t="s">
        <v>121</v>
      </c>
    </row>
    <row r="16" spans="1:4" x14ac:dyDescent="0.3">
      <c r="A16" t="s">
        <v>125</v>
      </c>
    </row>
    <row r="17" spans="1:1" x14ac:dyDescent="0.3">
      <c r="A17" t="s">
        <v>126</v>
      </c>
    </row>
    <row r="18" spans="1:1" x14ac:dyDescent="0.3">
      <c r="A18" t="s">
        <v>128</v>
      </c>
    </row>
    <row r="19" spans="1:1" x14ac:dyDescent="0.3">
      <c r="A19" t="s">
        <v>133</v>
      </c>
    </row>
    <row r="20" spans="1:1" x14ac:dyDescent="0.3">
      <c r="A20" t="s">
        <v>139</v>
      </c>
    </row>
    <row r="21" spans="1:1" x14ac:dyDescent="0.3">
      <c r="A21" t="s">
        <v>143</v>
      </c>
    </row>
    <row r="22" spans="1:1" x14ac:dyDescent="0.3">
      <c r="A22" t="s">
        <v>147</v>
      </c>
    </row>
    <row r="23" spans="1:1" x14ac:dyDescent="0.3">
      <c r="A23" t="s">
        <v>149</v>
      </c>
    </row>
    <row r="24" spans="1:1" x14ac:dyDescent="0.3">
      <c r="A24" t="s">
        <v>157</v>
      </c>
    </row>
    <row r="25" spans="1:1" x14ac:dyDescent="0.3">
      <c r="A25" t="s">
        <v>158</v>
      </c>
    </row>
    <row r="26" spans="1:1" x14ac:dyDescent="0.3">
      <c r="A26" t="s">
        <v>160</v>
      </c>
    </row>
    <row r="27" spans="1:1" x14ac:dyDescent="0.3">
      <c r="A27" t="s">
        <v>161</v>
      </c>
    </row>
    <row r="28" spans="1:1" x14ac:dyDescent="0.3">
      <c r="A28" t="s">
        <v>164</v>
      </c>
    </row>
    <row r="29" spans="1:1" x14ac:dyDescent="0.3">
      <c r="A29" t="s">
        <v>170</v>
      </c>
    </row>
    <row r="30" spans="1:1" x14ac:dyDescent="0.3">
      <c r="A30" t="s">
        <v>173</v>
      </c>
    </row>
    <row r="31" spans="1:1" x14ac:dyDescent="0.3">
      <c r="A31" t="s">
        <v>176</v>
      </c>
    </row>
    <row r="32" spans="1:1" x14ac:dyDescent="0.3">
      <c r="A32" t="s">
        <v>178</v>
      </c>
    </row>
    <row r="33" spans="1:1" x14ac:dyDescent="0.3">
      <c r="A33" t="s">
        <v>187</v>
      </c>
    </row>
    <row r="34" spans="1:1" x14ac:dyDescent="0.3">
      <c r="A34" t="s">
        <v>192</v>
      </c>
    </row>
    <row r="35" spans="1:1" x14ac:dyDescent="0.3">
      <c r="A35" t="s">
        <v>195</v>
      </c>
    </row>
    <row r="36" spans="1:1" x14ac:dyDescent="0.3">
      <c r="A36" t="s">
        <v>199</v>
      </c>
    </row>
    <row r="37" spans="1:1" x14ac:dyDescent="0.3">
      <c r="A37" t="s">
        <v>203</v>
      </c>
    </row>
    <row r="38" spans="1:1" x14ac:dyDescent="0.3">
      <c r="A38" t="s">
        <v>211</v>
      </c>
    </row>
    <row r="39" spans="1:1" x14ac:dyDescent="0.3">
      <c r="A39" t="s">
        <v>213</v>
      </c>
    </row>
    <row r="40" spans="1:1" x14ac:dyDescent="0.3">
      <c r="A40" t="s">
        <v>216</v>
      </c>
    </row>
    <row r="41" spans="1:1" x14ac:dyDescent="0.3">
      <c r="A41" t="s">
        <v>223</v>
      </c>
    </row>
    <row r="42" spans="1:1" x14ac:dyDescent="0.3">
      <c r="A42" t="s">
        <v>232</v>
      </c>
    </row>
    <row r="43" spans="1:1" x14ac:dyDescent="0.3">
      <c r="A43" t="s">
        <v>236</v>
      </c>
    </row>
    <row r="44" spans="1:1" x14ac:dyDescent="0.3">
      <c r="A44" t="s">
        <v>241</v>
      </c>
    </row>
    <row r="45" spans="1:1" x14ac:dyDescent="0.3">
      <c r="A45" t="s">
        <v>243</v>
      </c>
    </row>
    <row r="46" spans="1:1" x14ac:dyDescent="0.3">
      <c r="A46" t="s">
        <v>245</v>
      </c>
    </row>
    <row r="47" spans="1:1" x14ac:dyDescent="0.3">
      <c r="A47" t="s">
        <v>247</v>
      </c>
    </row>
    <row r="48" spans="1:1" x14ac:dyDescent="0.3">
      <c r="A48" t="s">
        <v>251</v>
      </c>
    </row>
    <row r="49" spans="1:1" x14ac:dyDescent="0.3">
      <c r="A49" t="s">
        <v>255</v>
      </c>
    </row>
    <row r="50" spans="1:1" x14ac:dyDescent="0.3">
      <c r="A50" t="s">
        <v>256</v>
      </c>
    </row>
    <row r="51" spans="1:1" x14ac:dyDescent="0.3">
      <c r="A51" t="s">
        <v>257</v>
      </c>
    </row>
    <row r="52" spans="1:1" x14ac:dyDescent="0.3">
      <c r="A52" t="s">
        <v>262</v>
      </c>
    </row>
    <row r="53" spans="1:1" x14ac:dyDescent="0.3">
      <c r="A53" t="s">
        <v>276</v>
      </c>
    </row>
    <row r="54" spans="1:1" x14ac:dyDescent="0.3">
      <c r="A54" t="s">
        <v>279</v>
      </c>
    </row>
    <row r="55" spans="1:1" x14ac:dyDescent="0.3">
      <c r="A55" t="s">
        <v>280</v>
      </c>
    </row>
    <row r="56" spans="1:1" x14ac:dyDescent="0.3">
      <c r="A56" t="s">
        <v>289</v>
      </c>
    </row>
    <row r="57" spans="1:1" x14ac:dyDescent="0.3">
      <c r="A57" t="s">
        <v>298</v>
      </c>
    </row>
    <row r="58" spans="1:1" x14ac:dyDescent="0.3">
      <c r="A58" t="s">
        <v>304</v>
      </c>
    </row>
    <row r="59" spans="1:1" x14ac:dyDescent="0.3">
      <c r="A59" t="s">
        <v>305</v>
      </c>
    </row>
    <row r="60" spans="1:1" x14ac:dyDescent="0.3">
      <c r="A60" t="s">
        <v>306</v>
      </c>
    </row>
    <row r="61" spans="1:1" x14ac:dyDescent="0.3">
      <c r="A61" t="s">
        <v>307</v>
      </c>
    </row>
    <row r="62" spans="1:1" x14ac:dyDescent="0.3">
      <c r="A62" t="s">
        <v>308</v>
      </c>
    </row>
    <row r="63" spans="1:1" x14ac:dyDescent="0.3">
      <c r="A63" t="s">
        <v>313</v>
      </c>
    </row>
    <row r="64" spans="1:1" x14ac:dyDescent="0.3">
      <c r="A64" t="s">
        <v>322</v>
      </c>
    </row>
    <row r="65" spans="1:1" x14ac:dyDescent="0.3">
      <c r="A65" t="s">
        <v>324</v>
      </c>
    </row>
    <row r="66" spans="1:1" x14ac:dyDescent="0.3">
      <c r="A66" t="s">
        <v>325</v>
      </c>
    </row>
    <row r="67" spans="1:1" x14ac:dyDescent="0.3">
      <c r="A67" t="s">
        <v>326</v>
      </c>
    </row>
    <row r="68" spans="1:1" x14ac:dyDescent="0.3">
      <c r="A68" t="s">
        <v>329</v>
      </c>
    </row>
    <row r="69" spans="1:1" x14ac:dyDescent="0.3">
      <c r="A69" t="s">
        <v>333</v>
      </c>
    </row>
    <row r="70" spans="1:1" x14ac:dyDescent="0.3">
      <c r="A70" t="s">
        <v>337</v>
      </c>
    </row>
    <row r="71" spans="1:1" x14ac:dyDescent="0.3">
      <c r="A71" t="s">
        <v>339</v>
      </c>
    </row>
    <row r="72" spans="1:1" x14ac:dyDescent="0.3">
      <c r="A72" t="s">
        <v>345</v>
      </c>
    </row>
    <row r="73" spans="1:1" x14ac:dyDescent="0.3">
      <c r="A73" t="s">
        <v>349</v>
      </c>
    </row>
    <row r="74" spans="1:1" x14ac:dyDescent="0.3">
      <c r="A74" t="s">
        <v>366</v>
      </c>
    </row>
    <row r="75" spans="1:1" x14ac:dyDescent="0.3">
      <c r="A75" t="s">
        <v>368</v>
      </c>
    </row>
    <row r="76" spans="1:1" x14ac:dyDescent="0.3">
      <c r="A76" t="s">
        <v>369</v>
      </c>
    </row>
    <row r="77" spans="1:1" x14ac:dyDescent="0.3">
      <c r="A77" t="s">
        <v>373</v>
      </c>
    </row>
    <row r="78" spans="1:1" x14ac:dyDescent="0.3">
      <c r="A78" t="s">
        <v>379</v>
      </c>
    </row>
    <row r="79" spans="1:1" x14ac:dyDescent="0.3">
      <c r="A79" t="s">
        <v>380</v>
      </c>
    </row>
    <row r="80" spans="1:1" x14ac:dyDescent="0.3">
      <c r="A80" t="s">
        <v>382</v>
      </c>
    </row>
    <row r="81" spans="1:1" x14ac:dyDescent="0.3">
      <c r="A81" t="s">
        <v>387</v>
      </c>
    </row>
    <row r="82" spans="1:1" x14ac:dyDescent="0.3">
      <c r="A82" t="s">
        <v>395</v>
      </c>
    </row>
    <row r="83" spans="1:1" x14ac:dyDescent="0.3">
      <c r="A83" t="s">
        <v>406</v>
      </c>
    </row>
    <row r="84" spans="1:1" x14ac:dyDescent="0.3">
      <c r="A84" t="s">
        <v>412</v>
      </c>
    </row>
    <row r="85" spans="1:1" x14ac:dyDescent="0.3">
      <c r="A85" t="s">
        <v>422</v>
      </c>
    </row>
    <row r="86" spans="1:1" x14ac:dyDescent="0.3">
      <c r="A86" t="s">
        <v>423</v>
      </c>
    </row>
    <row r="87" spans="1:1" x14ac:dyDescent="0.3">
      <c r="A87" t="s">
        <v>424</v>
      </c>
    </row>
    <row r="88" spans="1:1" x14ac:dyDescent="0.3">
      <c r="A88" t="s">
        <v>430</v>
      </c>
    </row>
    <row r="89" spans="1:1" x14ac:dyDescent="0.3">
      <c r="A89" t="s">
        <v>434</v>
      </c>
    </row>
    <row r="90" spans="1:1" x14ac:dyDescent="0.3">
      <c r="A90" t="s">
        <v>435</v>
      </c>
    </row>
    <row r="91" spans="1:1" x14ac:dyDescent="0.3">
      <c r="A91" t="s">
        <v>437</v>
      </c>
    </row>
    <row r="92" spans="1:1" x14ac:dyDescent="0.3">
      <c r="A92" t="s">
        <v>438</v>
      </c>
    </row>
    <row r="93" spans="1:1" x14ac:dyDescent="0.3">
      <c r="A93" t="s">
        <v>440</v>
      </c>
    </row>
    <row r="94" spans="1:1" x14ac:dyDescent="0.3">
      <c r="A94" t="s">
        <v>443</v>
      </c>
    </row>
    <row r="95" spans="1:1" x14ac:dyDescent="0.3">
      <c r="A95" t="s">
        <v>451</v>
      </c>
    </row>
    <row r="96" spans="1:1" x14ac:dyDescent="0.3">
      <c r="A96" t="s">
        <v>455</v>
      </c>
    </row>
    <row r="97" spans="1:1" x14ac:dyDescent="0.3">
      <c r="A97" t="s">
        <v>457</v>
      </c>
    </row>
    <row r="98" spans="1:1" x14ac:dyDescent="0.3">
      <c r="A98" t="s">
        <v>458</v>
      </c>
    </row>
    <row r="99" spans="1:1" x14ac:dyDescent="0.3">
      <c r="A99" t="s">
        <v>460</v>
      </c>
    </row>
    <row r="100" spans="1:1" x14ac:dyDescent="0.3">
      <c r="A100" t="s">
        <v>463</v>
      </c>
    </row>
    <row r="101" spans="1:1" x14ac:dyDescent="0.3">
      <c r="A101" t="s">
        <v>464</v>
      </c>
    </row>
    <row r="102" spans="1:1" x14ac:dyDescent="0.3">
      <c r="A102" t="s">
        <v>471</v>
      </c>
    </row>
    <row r="103" spans="1:1" x14ac:dyDescent="0.3">
      <c r="A103" t="s">
        <v>472</v>
      </c>
    </row>
    <row r="104" spans="1:1" x14ac:dyDescent="0.3">
      <c r="A104" t="s">
        <v>476</v>
      </c>
    </row>
    <row r="105" spans="1:1" x14ac:dyDescent="0.3">
      <c r="A105" t="s">
        <v>480</v>
      </c>
    </row>
    <row r="106" spans="1:1" x14ac:dyDescent="0.3">
      <c r="A106" t="s">
        <v>484</v>
      </c>
    </row>
    <row r="107" spans="1:1" x14ac:dyDescent="0.3">
      <c r="A107" t="s">
        <v>485</v>
      </c>
    </row>
    <row r="108" spans="1:1" x14ac:dyDescent="0.3">
      <c r="A108" t="s">
        <v>486</v>
      </c>
    </row>
    <row r="109" spans="1:1" x14ac:dyDescent="0.3">
      <c r="A109" t="s">
        <v>489</v>
      </c>
    </row>
    <row r="110" spans="1:1" x14ac:dyDescent="0.3">
      <c r="A110" t="s">
        <v>491</v>
      </c>
    </row>
    <row r="111" spans="1:1" x14ac:dyDescent="0.3">
      <c r="A111" t="s">
        <v>498</v>
      </c>
    </row>
    <row r="112" spans="1:1" x14ac:dyDescent="0.3">
      <c r="A112" t="s">
        <v>500</v>
      </c>
    </row>
    <row r="113" spans="1:1" x14ac:dyDescent="0.3">
      <c r="A113" t="s">
        <v>501</v>
      </c>
    </row>
    <row r="114" spans="1:1" x14ac:dyDescent="0.3">
      <c r="A114" t="s">
        <v>505</v>
      </c>
    </row>
    <row r="115" spans="1:1" x14ac:dyDescent="0.3">
      <c r="A115" t="s">
        <v>507</v>
      </c>
    </row>
    <row r="116" spans="1:1" x14ac:dyDescent="0.3">
      <c r="A116" t="s">
        <v>511</v>
      </c>
    </row>
    <row r="117" spans="1:1" x14ac:dyDescent="0.3">
      <c r="A117" t="s">
        <v>519</v>
      </c>
    </row>
    <row r="118" spans="1:1" x14ac:dyDescent="0.3">
      <c r="A118" t="s">
        <v>522</v>
      </c>
    </row>
    <row r="119" spans="1:1" x14ac:dyDescent="0.3">
      <c r="A119" t="s">
        <v>523</v>
      </c>
    </row>
    <row r="120" spans="1:1" x14ac:dyDescent="0.3">
      <c r="A120" t="s">
        <v>526</v>
      </c>
    </row>
    <row r="121" spans="1:1" x14ac:dyDescent="0.3">
      <c r="A121" t="s">
        <v>528</v>
      </c>
    </row>
    <row r="122" spans="1:1" x14ac:dyDescent="0.3">
      <c r="A122" t="s">
        <v>533</v>
      </c>
    </row>
    <row r="123" spans="1:1" x14ac:dyDescent="0.3">
      <c r="A123" t="s">
        <v>534</v>
      </c>
    </row>
    <row r="124" spans="1:1" x14ac:dyDescent="0.3">
      <c r="A124" t="s">
        <v>536</v>
      </c>
    </row>
    <row r="125" spans="1:1" x14ac:dyDescent="0.3">
      <c r="A125" t="s">
        <v>537</v>
      </c>
    </row>
    <row r="126" spans="1:1" x14ac:dyDescent="0.3">
      <c r="A126" t="s">
        <v>540</v>
      </c>
    </row>
    <row r="127" spans="1:1" x14ac:dyDescent="0.3">
      <c r="A127" t="s">
        <v>548</v>
      </c>
    </row>
    <row r="128" spans="1:1" x14ac:dyDescent="0.3">
      <c r="A128" t="s">
        <v>554</v>
      </c>
    </row>
    <row r="129" spans="1:1" x14ac:dyDescent="0.3">
      <c r="A129" t="s">
        <v>563</v>
      </c>
    </row>
    <row r="130" spans="1:1" x14ac:dyDescent="0.3">
      <c r="A130" t="s">
        <v>565</v>
      </c>
    </row>
    <row r="131" spans="1:1" x14ac:dyDescent="0.3">
      <c r="A131" t="s">
        <v>567</v>
      </c>
    </row>
    <row r="132" spans="1:1" x14ac:dyDescent="0.3">
      <c r="A132" t="s">
        <v>570</v>
      </c>
    </row>
    <row r="133" spans="1:1" x14ac:dyDescent="0.3">
      <c r="A133" t="s">
        <v>571</v>
      </c>
    </row>
    <row r="134" spans="1:1" x14ac:dyDescent="0.3">
      <c r="A134" t="s">
        <v>573</v>
      </c>
    </row>
    <row r="135" spans="1:1" x14ac:dyDescent="0.3">
      <c r="A135" t="s">
        <v>575</v>
      </c>
    </row>
    <row r="136" spans="1:1" x14ac:dyDescent="0.3">
      <c r="A136" t="s">
        <v>576</v>
      </c>
    </row>
    <row r="137" spans="1:1" x14ac:dyDescent="0.3">
      <c r="A137" t="s">
        <v>585</v>
      </c>
    </row>
    <row r="138" spans="1:1" x14ac:dyDescent="0.3">
      <c r="A138" t="s">
        <v>586</v>
      </c>
    </row>
    <row r="139" spans="1:1" x14ac:dyDescent="0.3">
      <c r="A139" t="s">
        <v>588</v>
      </c>
    </row>
    <row r="140" spans="1:1" x14ac:dyDescent="0.3">
      <c r="A140" t="s">
        <v>590</v>
      </c>
    </row>
    <row r="141" spans="1:1" x14ac:dyDescent="0.3">
      <c r="A141" t="s">
        <v>591</v>
      </c>
    </row>
    <row r="142" spans="1:1" x14ac:dyDescent="0.3">
      <c r="A142" t="s">
        <v>593</v>
      </c>
    </row>
    <row r="143" spans="1:1" x14ac:dyDescent="0.3">
      <c r="A143" t="s">
        <v>598</v>
      </c>
    </row>
    <row r="144" spans="1:1" x14ac:dyDescent="0.3">
      <c r="A144" t="s">
        <v>601</v>
      </c>
    </row>
    <row r="145" spans="1:1" x14ac:dyDescent="0.3">
      <c r="A145" t="s">
        <v>602</v>
      </c>
    </row>
    <row r="146" spans="1:1" x14ac:dyDescent="0.3">
      <c r="A146" t="s">
        <v>603</v>
      </c>
    </row>
    <row r="147" spans="1:1" x14ac:dyDescent="0.3">
      <c r="A147" t="s">
        <v>608</v>
      </c>
    </row>
    <row r="148" spans="1:1" x14ac:dyDescent="0.3">
      <c r="A148" t="s">
        <v>610</v>
      </c>
    </row>
    <row r="149" spans="1:1" x14ac:dyDescent="0.3">
      <c r="A149" t="s">
        <v>612</v>
      </c>
    </row>
    <row r="150" spans="1:1" x14ac:dyDescent="0.3">
      <c r="A150" t="s">
        <v>615</v>
      </c>
    </row>
    <row r="151" spans="1:1" x14ac:dyDescent="0.3">
      <c r="A151" t="s">
        <v>616</v>
      </c>
    </row>
    <row r="152" spans="1:1" x14ac:dyDescent="0.3">
      <c r="A152" t="s">
        <v>619</v>
      </c>
    </row>
    <row r="153" spans="1:1" x14ac:dyDescent="0.3">
      <c r="A153" t="s">
        <v>621</v>
      </c>
    </row>
    <row r="154" spans="1:1" x14ac:dyDescent="0.3">
      <c r="A154" t="s">
        <v>622</v>
      </c>
    </row>
    <row r="155" spans="1:1" x14ac:dyDescent="0.3">
      <c r="A155" t="s">
        <v>629</v>
      </c>
    </row>
    <row r="156" spans="1:1" x14ac:dyDescent="0.3">
      <c r="A156" t="s">
        <v>630</v>
      </c>
    </row>
    <row r="157" spans="1:1" x14ac:dyDescent="0.3">
      <c r="A157" t="s">
        <v>633</v>
      </c>
    </row>
    <row r="158" spans="1:1" x14ac:dyDescent="0.3">
      <c r="A158" t="s">
        <v>642</v>
      </c>
    </row>
    <row r="159" spans="1:1" x14ac:dyDescent="0.3">
      <c r="A159" t="s">
        <v>643</v>
      </c>
    </row>
    <row r="160" spans="1:1" x14ac:dyDescent="0.3">
      <c r="A160" t="s">
        <v>658</v>
      </c>
    </row>
    <row r="161" spans="1:1" x14ac:dyDescent="0.3">
      <c r="A161" t="s">
        <v>663</v>
      </c>
    </row>
    <row r="162" spans="1:1" x14ac:dyDescent="0.3">
      <c r="A162" t="s">
        <v>664</v>
      </c>
    </row>
    <row r="163" spans="1:1" x14ac:dyDescent="0.3">
      <c r="A163" t="s">
        <v>665</v>
      </c>
    </row>
    <row r="164" spans="1:1" x14ac:dyDescent="0.3">
      <c r="A164" t="s">
        <v>666</v>
      </c>
    </row>
    <row r="165" spans="1:1" x14ac:dyDescent="0.3">
      <c r="A165" t="s">
        <v>670</v>
      </c>
    </row>
    <row r="166" spans="1:1" x14ac:dyDescent="0.3">
      <c r="A166" t="s">
        <v>671</v>
      </c>
    </row>
    <row r="167" spans="1:1" x14ac:dyDescent="0.3">
      <c r="A167" t="s">
        <v>674</v>
      </c>
    </row>
    <row r="168" spans="1:1" x14ac:dyDescent="0.3">
      <c r="A168" t="s">
        <v>675</v>
      </c>
    </row>
    <row r="169" spans="1:1" x14ac:dyDescent="0.3">
      <c r="A169" t="s">
        <v>679</v>
      </c>
    </row>
    <row r="170" spans="1:1" x14ac:dyDescent="0.3">
      <c r="A170" t="s">
        <v>682</v>
      </c>
    </row>
    <row r="171" spans="1:1" x14ac:dyDescent="0.3">
      <c r="A171" t="s">
        <v>684</v>
      </c>
    </row>
    <row r="172" spans="1:1" x14ac:dyDescent="0.3">
      <c r="A172" t="s">
        <v>687</v>
      </c>
    </row>
    <row r="173" spans="1:1" x14ac:dyDescent="0.3">
      <c r="A173" t="s">
        <v>702</v>
      </c>
    </row>
    <row r="174" spans="1:1" x14ac:dyDescent="0.3">
      <c r="A174" t="s">
        <v>704</v>
      </c>
    </row>
    <row r="175" spans="1:1" x14ac:dyDescent="0.3">
      <c r="A175" t="s">
        <v>706</v>
      </c>
    </row>
    <row r="176" spans="1:1" x14ac:dyDescent="0.3">
      <c r="A176" t="s">
        <v>708</v>
      </c>
    </row>
    <row r="177" spans="1:1" x14ac:dyDescent="0.3">
      <c r="A177" t="s">
        <v>710</v>
      </c>
    </row>
    <row r="178" spans="1:1" x14ac:dyDescent="0.3">
      <c r="A178" t="s">
        <v>712</v>
      </c>
    </row>
    <row r="179" spans="1:1" x14ac:dyDescent="0.3">
      <c r="A179" t="s">
        <v>723</v>
      </c>
    </row>
    <row r="180" spans="1:1" x14ac:dyDescent="0.3">
      <c r="A180" t="s">
        <v>727</v>
      </c>
    </row>
    <row r="181" spans="1:1" x14ac:dyDescent="0.3">
      <c r="A181" t="s">
        <v>730</v>
      </c>
    </row>
    <row r="182" spans="1:1" x14ac:dyDescent="0.3">
      <c r="A182" t="s">
        <v>731</v>
      </c>
    </row>
    <row r="183" spans="1:1" x14ac:dyDescent="0.3">
      <c r="A183" t="s">
        <v>733</v>
      </c>
    </row>
    <row r="184" spans="1:1" x14ac:dyDescent="0.3">
      <c r="A184" t="s">
        <v>736</v>
      </c>
    </row>
    <row r="185" spans="1:1" x14ac:dyDescent="0.3">
      <c r="A185" t="s">
        <v>737</v>
      </c>
    </row>
    <row r="186" spans="1:1" x14ac:dyDescent="0.3">
      <c r="A186" t="s">
        <v>742</v>
      </c>
    </row>
    <row r="187" spans="1:1" x14ac:dyDescent="0.3">
      <c r="A187" t="s">
        <v>743</v>
      </c>
    </row>
    <row r="188" spans="1:1" x14ac:dyDescent="0.3">
      <c r="A188" t="s">
        <v>744</v>
      </c>
    </row>
    <row r="189" spans="1:1" x14ac:dyDescent="0.3">
      <c r="A189" t="s">
        <v>747</v>
      </c>
    </row>
    <row r="190" spans="1:1" x14ac:dyDescent="0.3">
      <c r="A190" t="s">
        <v>750</v>
      </c>
    </row>
    <row r="191" spans="1:1" x14ac:dyDescent="0.3">
      <c r="A191" t="s">
        <v>751</v>
      </c>
    </row>
    <row r="192" spans="1:1" x14ac:dyDescent="0.3">
      <c r="A192" t="s">
        <v>754</v>
      </c>
    </row>
    <row r="193" spans="1:1" x14ac:dyDescent="0.3">
      <c r="A193" t="s">
        <v>756</v>
      </c>
    </row>
    <row r="194" spans="1:1" x14ac:dyDescent="0.3">
      <c r="A194" t="s">
        <v>757</v>
      </c>
    </row>
    <row r="195" spans="1:1" x14ac:dyDescent="0.3">
      <c r="A195" t="s">
        <v>762</v>
      </c>
    </row>
    <row r="196" spans="1:1" x14ac:dyDescent="0.3">
      <c r="A196" t="s">
        <v>771</v>
      </c>
    </row>
    <row r="197" spans="1:1" x14ac:dyDescent="0.3">
      <c r="A197" t="s">
        <v>781</v>
      </c>
    </row>
    <row r="198" spans="1:1" x14ac:dyDescent="0.3">
      <c r="A198" t="s">
        <v>783</v>
      </c>
    </row>
    <row r="199" spans="1:1" x14ac:dyDescent="0.3">
      <c r="A199" t="s">
        <v>788</v>
      </c>
    </row>
    <row r="200" spans="1:1" x14ac:dyDescent="0.3">
      <c r="A200" t="s">
        <v>792</v>
      </c>
    </row>
    <row r="201" spans="1:1" x14ac:dyDescent="0.3">
      <c r="A201" t="s">
        <v>794</v>
      </c>
    </row>
    <row r="202" spans="1:1" x14ac:dyDescent="0.3">
      <c r="A202" t="s">
        <v>797</v>
      </c>
    </row>
    <row r="203" spans="1:1" x14ac:dyDescent="0.3">
      <c r="A203" t="s">
        <v>804</v>
      </c>
    </row>
    <row r="204" spans="1:1" x14ac:dyDescent="0.3">
      <c r="A204" t="s">
        <v>805</v>
      </c>
    </row>
    <row r="205" spans="1:1" x14ac:dyDescent="0.3">
      <c r="A205" t="s">
        <v>807</v>
      </c>
    </row>
    <row r="206" spans="1:1" x14ac:dyDescent="0.3">
      <c r="A206" t="s">
        <v>810</v>
      </c>
    </row>
    <row r="207" spans="1:1" x14ac:dyDescent="0.3">
      <c r="A207" t="s">
        <v>811</v>
      </c>
    </row>
    <row r="208" spans="1:1" x14ac:dyDescent="0.3">
      <c r="A208" t="s">
        <v>816</v>
      </c>
    </row>
    <row r="209" spans="1:1" x14ac:dyDescent="0.3">
      <c r="A209" t="s">
        <v>817</v>
      </c>
    </row>
    <row r="210" spans="1:1" x14ac:dyDescent="0.3">
      <c r="A210" t="s">
        <v>820</v>
      </c>
    </row>
    <row r="211" spans="1:1" x14ac:dyDescent="0.3">
      <c r="A211" t="s">
        <v>834</v>
      </c>
    </row>
    <row r="212" spans="1:1" x14ac:dyDescent="0.3">
      <c r="A212" t="s">
        <v>835</v>
      </c>
    </row>
    <row r="213" spans="1:1" x14ac:dyDescent="0.3">
      <c r="A213" t="s">
        <v>836</v>
      </c>
    </row>
    <row r="214" spans="1:1" x14ac:dyDescent="0.3">
      <c r="A214" t="s">
        <v>837</v>
      </c>
    </row>
    <row r="215" spans="1:1" x14ac:dyDescent="0.3">
      <c r="A215" t="s">
        <v>849</v>
      </c>
    </row>
    <row r="216" spans="1:1" x14ac:dyDescent="0.3">
      <c r="A216" t="s">
        <v>853</v>
      </c>
    </row>
    <row r="217" spans="1:1" x14ac:dyDescent="0.3">
      <c r="A217" t="s">
        <v>857</v>
      </c>
    </row>
    <row r="218" spans="1:1" x14ac:dyDescent="0.3">
      <c r="A218" t="s">
        <v>864</v>
      </c>
    </row>
    <row r="219" spans="1:1" x14ac:dyDescent="0.3">
      <c r="A219" t="s">
        <v>873</v>
      </c>
    </row>
    <row r="220" spans="1:1" x14ac:dyDescent="0.3">
      <c r="A220" t="s">
        <v>884</v>
      </c>
    </row>
    <row r="221" spans="1:1" x14ac:dyDescent="0.3">
      <c r="A221" t="s">
        <v>886</v>
      </c>
    </row>
    <row r="222" spans="1:1" x14ac:dyDescent="0.3">
      <c r="A222" t="s">
        <v>890</v>
      </c>
    </row>
    <row r="223" spans="1:1" x14ac:dyDescent="0.3">
      <c r="A223" t="s">
        <v>894</v>
      </c>
    </row>
    <row r="224" spans="1:1" x14ac:dyDescent="0.3">
      <c r="A224" t="s">
        <v>897</v>
      </c>
    </row>
    <row r="225" spans="1:1" x14ac:dyDescent="0.3">
      <c r="A225" t="s">
        <v>898</v>
      </c>
    </row>
    <row r="226" spans="1:1" x14ac:dyDescent="0.3">
      <c r="A226" t="s">
        <v>899</v>
      </c>
    </row>
    <row r="227" spans="1:1" x14ac:dyDescent="0.3">
      <c r="A227" t="s">
        <v>900</v>
      </c>
    </row>
    <row r="228" spans="1:1" x14ac:dyDescent="0.3">
      <c r="A228" t="s">
        <v>901</v>
      </c>
    </row>
    <row r="229" spans="1:1" x14ac:dyDescent="0.3">
      <c r="A229" t="s">
        <v>905</v>
      </c>
    </row>
    <row r="230" spans="1:1" x14ac:dyDescent="0.3">
      <c r="A230" t="s">
        <v>906</v>
      </c>
    </row>
    <row r="231" spans="1:1" x14ac:dyDescent="0.3">
      <c r="A231" t="s">
        <v>907</v>
      </c>
    </row>
    <row r="232" spans="1:1" x14ac:dyDescent="0.3">
      <c r="A232" t="s">
        <v>913</v>
      </c>
    </row>
    <row r="233" spans="1:1" x14ac:dyDescent="0.3">
      <c r="A233" t="s">
        <v>915</v>
      </c>
    </row>
    <row r="234" spans="1:1" x14ac:dyDescent="0.3">
      <c r="A234" t="s">
        <v>916</v>
      </c>
    </row>
    <row r="235" spans="1:1" x14ac:dyDescent="0.3">
      <c r="A235" t="s">
        <v>920</v>
      </c>
    </row>
    <row r="236" spans="1:1" x14ac:dyDescent="0.3">
      <c r="A236" t="s">
        <v>922</v>
      </c>
    </row>
    <row r="237" spans="1:1" x14ac:dyDescent="0.3">
      <c r="A237" t="s">
        <v>927</v>
      </c>
    </row>
    <row r="238" spans="1:1" x14ac:dyDescent="0.3">
      <c r="A238" t="s">
        <v>931</v>
      </c>
    </row>
    <row r="239" spans="1:1" x14ac:dyDescent="0.3">
      <c r="A239" t="s">
        <v>933</v>
      </c>
    </row>
    <row r="240" spans="1:1" x14ac:dyDescent="0.3">
      <c r="A240" t="s">
        <v>934</v>
      </c>
    </row>
    <row r="241" spans="1:1" x14ac:dyDescent="0.3">
      <c r="A241" t="s">
        <v>935</v>
      </c>
    </row>
    <row r="242" spans="1:1" x14ac:dyDescent="0.3">
      <c r="A242" t="s">
        <v>936</v>
      </c>
    </row>
    <row r="243" spans="1:1" x14ac:dyDescent="0.3">
      <c r="A243" t="s">
        <v>940</v>
      </c>
    </row>
    <row r="244" spans="1:1" x14ac:dyDescent="0.3">
      <c r="A244" t="s">
        <v>941</v>
      </c>
    </row>
    <row r="245" spans="1:1" x14ac:dyDescent="0.3">
      <c r="A245" t="s">
        <v>944</v>
      </c>
    </row>
    <row r="246" spans="1:1" x14ac:dyDescent="0.3">
      <c r="A246" t="s">
        <v>946</v>
      </c>
    </row>
    <row r="247" spans="1:1" x14ac:dyDescent="0.3">
      <c r="A247" t="s">
        <v>947</v>
      </c>
    </row>
    <row r="248" spans="1:1" x14ac:dyDescent="0.3">
      <c r="A248" t="s">
        <v>950</v>
      </c>
    </row>
    <row r="249" spans="1:1" x14ac:dyDescent="0.3">
      <c r="A249" t="s">
        <v>952</v>
      </c>
    </row>
    <row r="250" spans="1:1" x14ac:dyDescent="0.3">
      <c r="A250" t="s">
        <v>955</v>
      </c>
    </row>
    <row r="251" spans="1:1" x14ac:dyDescent="0.3">
      <c r="A251" t="s">
        <v>956</v>
      </c>
    </row>
    <row r="252" spans="1:1" x14ac:dyDescent="0.3">
      <c r="A252" t="s">
        <v>959</v>
      </c>
    </row>
    <row r="253" spans="1:1" x14ac:dyDescent="0.3">
      <c r="A253" t="s">
        <v>967</v>
      </c>
    </row>
    <row r="254" spans="1:1" x14ac:dyDescent="0.3">
      <c r="A254" t="s">
        <v>968</v>
      </c>
    </row>
    <row r="255" spans="1:1" x14ac:dyDescent="0.3">
      <c r="A255" t="s">
        <v>972</v>
      </c>
    </row>
    <row r="256" spans="1:1" x14ac:dyDescent="0.3">
      <c r="A256" t="s">
        <v>984</v>
      </c>
    </row>
    <row r="257" spans="1:1" x14ac:dyDescent="0.3">
      <c r="A257" t="s">
        <v>988</v>
      </c>
    </row>
    <row r="258" spans="1:1" x14ac:dyDescent="0.3">
      <c r="A258" t="s">
        <v>989</v>
      </c>
    </row>
    <row r="259" spans="1:1" x14ac:dyDescent="0.3">
      <c r="A259" t="s">
        <v>999</v>
      </c>
    </row>
    <row r="260" spans="1:1" x14ac:dyDescent="0.3">
      <c r="A260" t="s">
        <v>1000</v>
      </c>
    </row>
    <row r="261" spans="1:1" x14ac:dyDescent="0.3">
      <c r="A261" t="s">
        <v>1003</v>
      </c>
    </row>
    <row r="262" spans="1:1" x14ac:dyDescent="0.3">
      <c r="A262" t="s">
        <v>1005</v>
      </c>
    </row>
    <row r="263" spans="1:1" x14ac:dyDescent="0.3">
      <c r="A263" t="s">
        <v>1007</v>
      </c>
    </row>
    <row r="264" spans="1:1" x14ac:dyDescent="0.3">
      <c r="A264" t="s">
        <v>1014</v>
      </c>
    </row>
    <row r="265" spans="1:1" x14ac:dyDescent="0.3">
      <c r="A265" t="s">
        <v>1020</v>
      </c>
    </row>
    <row r="266" spans="1:1" x14ac:dyDescent="0.3">
      <c r="A266" t="s">
        <v>1036</v>
      </c>
    </row>
    <row r="267" spans="1:1" x14ac:dyDescent="0.3">
      <c r="A267" t="s">
        <v>1046</v>
      </c>
    </row>
    <row r="268" spans="1:1" x14ac:dyDescent="0.3">
      <c r="A268" t="s">
        <v>1058</v>
      </c>
    </row>
    <row r="269" spans="1:1" x14ac:dyDescent="0.3">
      <c r="A269" t="s">
        <v>1061</v>
      </c>
    </row>
    <row r="270" spans="1:1" x14ac:dyDescent="0.3">
      <c r="A270" t="s">
        <v>1062</v>
      </c>
    </row>
    <row r="271" spans="1:1" x14ac:dyDescent="0.3">
      <c r="A271" t="s">
        <v>1064</v>
      </c>
    </row>
    <row r="272" spans="1:1" x14ac:dyDescent="0.3">
      <c r="A272" t="s">
        <v>1072</v>
      </c>
    </row>
    <row r="273" spans="1:1" x14ac:dyDescent="0.3">
      <c r="A273" t="s">
        <v>1073</v>
      </c>
    </row>
    <row r="274" spans="1:1" x14ac:dyDescent="0.3">
      <c r="A274" t="s">
        <v>1074</v>
      </c>
    </row>
    <row r="275" spans="1:1" x14ac:dyDescent="0.3">
      <c r="A275" t="s">
        <v>1076</v>
      </c>
    </row>
    <row r="276" spans="1:1" x14ac:dyDescent="0.3">
      <c r="A276" t="s">
        <v>1085</v>
      </c>
    </row>
    <row r="277" spans="1:1" x14ac:dyDescent="0.3">
      <c r="A277" t="s">
        <v>1088</v>
      </c>
    </row>
    <row r="278" spans="1:1" x14ac:dyDescent="0.3">
      <c r="A278" t="s">
        <v>1089</v>
      </c>
    </row>
    <row r="279" spans="1:1" x14ac:dyDescent="0.3">
      <c r="A279" t="s">
        <v>1090</v>
      </c>
    </row>
    <row r="280" spans="1:1" x14ac:dyDescent="0.3">
      <c r="A280" t="s">
        <v>1092</v>
      </c>
    </row>
    <row r="281" spans="1:1" x14ac:dyDescent="0.3">
      <c r="A281" t="s">
        <v>1093</v>
      </c>
    </row>
    <row r="282" spans="1:1" x14ac:dyDescent="0.3">
      <c r="A282" t="s">
        <v>1105</v>
      </c>
    </row>
    <row r="283" spans="1:1" x14ac:dyDescent="0.3">
      <c r="A283" t="s">
        <v>1111</v>
      </c>
    </row>
    <row r="284" spans="1:1" x14ac:dyDescent="0.3">
      <c r="A284" t="s">
        <v>1112</v>
      </c>
    </row>
    <row r="285" spans="1:1" x14ac:dyDescent="0.3">
      <c r="A285" t="s">
        <v>1115</v>
      </c>
    </row>
    <row r="286" spans="1:1" x14ac:dyDescent="0.3">
      <c r="A286" t="s">
        <v>1118</v>
      </c>
    </row>
    <row r="287" spans="1:1" x14ac:dyDescent="0.3">
      <c r="A287" t="s">
        <v>1123</v>
      </c>
    </row>
    <row r="288" spans="1:1" x14ac:dyDescent="0.3">
      <c r="A288" t="s">
        <v>1137</v>
      </c>
    </row>
    <row r="289" spans="1:1" x14ac:dyDescent="0.3">
      <c r="A289" t="s">
        <v>1138</v>
      </c>
    </row>
    <row r="290" spans="1:1" x14ac:dyDescent="0.3">
      <c r="A290" t="s">
        <v>1145</v>
      </c>
    </row>
    <row r="291" spans="1:1" x14ac:dyDescent="0.3">
      <c r="A291" t="s">
        <v>1155</v>
      </c>
    </row>
    <row r="292" spans="1:1" x14ac:dyDescent="0.3">
      <c r="A292" t="s">
        <v>1160</v>
      </c>
    </row>
    <row r="293" spans="1:1" x14ac:dyDescent="0.3">
      <c r="A293" t="s">
        <v>1168</v>
      </c>
    </row>
    <row r="294" spans="1:1" x14ac:dyDescent="0.3">
      <c r="A294" t="s">
        <v>1175</v>
      </c>
    </row>
    <row r="295" spans="1:1" x14ac:dyDescent="0.3">
      <c r="A295" t="s">
        <v>1188</v>
      </c>
    </row>
    <row r="296" spans="1:1" x14ac:dyDescent="0.3">
      <c r="A296" t="s">
        <v>1193</v>
      </c>
    </row>
    <row r="297" spans="1:1" x14ac:dyDescent="0.3">
      <c r="A297" t="s">
        <v>1194</v>
      </c>
    </row>
    <row r="298" spans="1:1" x14ac:dyDescent="0.3">
      <c r="A298" t="s">
        <v>1195</v>
      </c>
    </row>
    <row r="299" spans="1:1" x14ac:dyDescent="0.3">
      <c r="A299" t="s">
        <v>1203</v>
      </c>
    </row>
    <row r="300" spans="1:1" x14ac:dyDescent="0.3">
      <c r="A300" t="s">
        <v>1209</v>
      </c>
    </row>
    <row r="301" spans="1:1" x14ac:dyDescent="0.3">
      <c r="A301" t="s">
        <v>1210</v>
      </c>
    </row>
    <row r="302" spans="1:1" x14ac:dyDescent="0.3">
      <c r="A302" t="s">
        <v>1213</v>
      </c>
    </row>
    <row r="303" spans="1:1" x14ac:dyDescent="0.3">
      <c r="A303" t="s">
        <v>1218</v>
      </c>
    </row>
    <row r="304" spans="1:1" x14ac:dyDescent="0.3">
      <c r="A304" t="s">
        <v>1220</v>
      </c>
    </row>
    <row r="305" spans="1:1" x14ac:dyDescent="0.3">
      <c r="A305" t="s">
        <v>1221</v>
      </c>
    </row>
    <row r="306" spans="1:1" x14ac:dyDescent="0.3">
      <c r="A306" t="s">
        <v>1226</v>
      </c>
    </row>
    <row r="307" spans="1:1" x14ac:dyDescent="0.3">
      <c r="A307" t="s">
        <v>1235</v>
      </c>
    </row>
    <row r="308" spans="1:1" x14ac:dyDescent="0.3">
      <c r="A308" t="s">
        <v>1236</v>
      </c>
    </row>
    <row r="309" spans="1:1" x14ac:dyDescent="0.3">
      <c r="A309" t="s">
        <v>1241</v>
      </c>
    </row>
    <row r="310" spans="1:1" x14ac:dyDescent="0.3">
      <c r="A310" t="s">
        <v>1242</v>
      </c>
    </row>
    <row r="311" spans="1:1" x14ac:dyDescent="0.3">
      <c r="A311" t="s">
        <v>1246</v>
      </c>
    </row>
    <row r="312" spans="1:1" x14ac:dyDescent="0.3">
      <c r="A312" t="s">
        <v>1247</v>
      </c>
    </row>
    <row r="313" spans="1:1" x14ac:dyDescent="0.3">
      <c r="A313" t="s">
        <v>1250</v>
      </c>
    </row>
    <row r="314" spans="1:1" x14ac:dyDescent="0.3">
      <c r="A314" t="s">
        <v>1256</v>
      </c>
    </row>
    <row r="315" spans="1:1" x14ac:dyDescent="0.3">
      <c r="A315" t="s">
        <v>1262</v>
      </c>
    </row>
    <row r="316" spans="1:1" x14ac:dyDescent="0.3">
      <c r="A316" t="s">
        <v>1264</v>
      </c>
    </row>
    <row r="317" spans="1:1" x14ac:dyDescent="0.3">
      <c r="A317" t="s">
        <v>1268</v>
      </c>
    </row>
    <row r="318" spans="1:1" x14ac:dyDescent="0.3">
      <c r="A318" t="s">
        <v>1274</v>
      </c>
    </row>
    <row r="319" spans="1:1" x14ac:dyDescent="0.3">
      <c r="A319" t="s">
        <v>1276</v>
      </c>
    </row>
    <row r="320" spans="1:1" x14ac:dyDescent="0.3">
      <c r="A320" t="s">
        <v>1287</v>
      </c>
    </row>
    <row r="321" spans="1:1" x14ac:dyDescent="0.3">
      <c r="A321" t="s">
        <v>1289</v>
      </c>
    </row>
    <row r="322" spans="1:1" x14ac:dyDescent="0.3">
      <c r="A322" t="s">
        <v>1295</v>
      </c>
    </row>
    <row r="323" spans="1:1" x14ac:dyDescent="0.3">
      <c r="A323" t="s">
        <v>1296</v>
      </c>
    </row>
    <row r="324" spans="1:1" x14ac:dyDescent="0.3">
      <c r="A324" t="s">
        <v>1297</v>
      </c>
    </row>
    <row r="325" spans="1:1" x14ac:dyDescent="0.3">
      <c r="A325" t="s">
        <v>1299</v>
      </c>
    </row>
    <row r="326" spans="1:1" x14ac:dyDescent="0.3">
      <c r="A326" t="s">
        <v>1308</v>
      </c>
    </row>
    <row r="327" spans="1:1" x14ac:dyDescent="0.3">
      <c r="A327" t="s">
        <v>1312</v>
      </c>
    </row>
    <row r="328" spans="1:1" x14ac:dyDescent="0.3">
      <c r="A328" t="s">
        <v>1321</v>
      </c>
    </row>
    <row r="329" spans="1:1" x14ac:dyDescent="0.3">
      <c r="A329" t="s">
        <v>1322</v>
      </c>
    </row>
    <row r="330" spans="1:1" x14ac:dyDescent="0.3">
      <c r="A330" t="s">
        <v>1326</v>
      </c>
    </row>
    <row r="331" spans="1:1" x14ac:dyDescent="0.3">
      <c r="A331" t="s">
        <v>1334</v>
      </c>
    </row>
    <row r="332" spans="1:1" x14ac:dyDescent="0.3">
      <c r="A332" t="s">
        <v>1341</v>
      </c>
    </row>
    <row r="333" spans="1:1" x14ac:dyDescent="0.3">
      <c r="A333" t="s">
        <v>1348</v>
      </c>
    </row>
    <row r="334" spans="1:1" x14ac:dyDescent="0.3">
      <c r="A334" t="s">
        <v>1350</v>
      </c>
    </row>
    <row r="335" spans="1:1" x14ac:dyDescent="0.3">
      <c r="A335" t="s">
        <v>1352</v>
      </c>
    </row>
    <row r="336" spans="1:1" x14ac:dyDescent="0.3">
      <c r="A336" t="s">
        <v>1353</v>
      </c>
    </row>
    <row r="337" spans="1:1" x14ac:dyDescent="0.3">
      <c r="A337" t="s">
        <v>1366</v>
      </c>
    </row>
    <row r="338" spans="1:1" x14ac:dyDescent="0.3">
      <c r="A338" t="s">
        <v>1367</v>
      </c>
    </row>
    <row r="339" spans="1:1" x14ac:dyDescent="0.3">
      <c r="A339" t="s">
        <v>1374</v>
      </c>
    </row>
    <row r="340" spans="1:1" x14ac:dyDescent="0.3">
      <c r="A340" t="s">
        <v>1376</v>
      </c>
    </row>
    <row r="341" spans="1:1" x14ac:dyDescent="0.3">
      <c r="A341" t="s">
        <v>1378</v>
      </c>
    </row>
    <row r="342" spans="1:1" x14ac:dyDescent="0.3">
      <c r="A342" t="s">
        <v>1380</v>
      </c>
    </row>
    <row r="343" spans="1:1" x14ac:dyDescent="0.3">
      <c r="A343" t="s">
        <v>1383</v>
      </c>
    </row>
    <row r="344" spans="1:1" x14ac:dyDescent="0.3">
      <c r="A344" t="s">
        <v>1387</v>
      </c>
    </row>
    <row r="345" spans="1:1" x14ac:dyDescent="0.3">
      <c r="A345" t="s">
        <v>1405</v>
      </c>
    </row>
    <row r="346" spans="1:1" x14ac:dyDescent="0.3">
      <c r="A346" t="s">
        <v>1406</v>
      </c>
    </row>
    <row r="347" spans="1:1" x14ac:dyDescent="0.3">
      <c r="A347" t="s">
        <v>1409</v>
      </c>
    </row>
    <row r="348" spans="1:1" x14ac:dyDescent="0.3">
      <c r="A348" t="s">
        <v>1416</v>
      </c>
    </row>
    <row r="349" spans="1:1" x14ac:dyDescent="0.3">
      <c r="A349" t="s">
        <v>1428</v>
      </c>
    </row>
    <row r="350" spans="1:1" x14ac:dyDescent="0.3">
      <c r="A350" t="s">
        <v>1429</v>
      </c>
    </row>
    <row r="351" spans="1:1" x14ac:dyDescent="0.3">
      <c r="A351" t="s">
        <v>1443</v>
      </c>
    </row>
    <row r="352" spans="1:1" x14ac:dyDescent="0.3">
      <c r="A352" t="s">
        <v>1448</v>
      </c>
    </row>
    <row r="353" spans="1:1" x14ac:dyDescent="0.3">
      <c r="A353" t="s">
        <v>1452</v>
      </c>
    </row>
    <row r="354" spans="1:1" x14ac:dyDescent="0.3">
      <c r="A354" t="s">
        <v>1457</v>
      </c>
    </row>
    <row r="355" spans="1:1" x14ac:dyDescent="0.3">
      <c r="A355" t="s">
        <v>1466</v>
      </c>
    </row>
    <row r="356" spans="1:1" x14ac:dyDescent="0.3">
      <c r="A356" t="s">
        <v>1467</v>
      </c>
    </row>
    <row r="357" spans="1:1" x14ac:dyDescent="0.3">
      <c r="A357" t="s">
        <v>1471</v>
      </c>
    </row>
    <row r="358" spans="1:1" x14ac:dyDescent="0.3">
      <c r="A358" t="s">
        <v>1480</v>
      </c>
    </row>
    <row r="359" spans="1:1" x14ac:dyDescent="0.3">
      <c r="A359" t="s">
        <v>1486</v>
      </c>
    </row>
    <row r="360" spans="1:1" x14ac:dyDescent="0.3">
      <c r="A360" t="s">
        <v>1490</v>
      </c>
    </row>
    <row r="361" spans="1:1" x14ac:dyDescent="0.3">
      <c r="A361" t="s">
        <v>1496</v>
      </c>
    </row>
    <row r="362" spans="1:1" x14ac:dyDescent="0.3">
      <c r="A362" t="s">
        <v>1499</v>
      </c>
    </row>
    <row r="363" spans="1:1" x14ac:dyDescent="0.3">
      <c r="A363" t="s">
        <v>1500</v>
      </c>
    </row>
    <row r="364" spans="1:1" x14ac:dyDescent="0.3">
      <c r="A364" t="s">
        <v>1505</v>
      </c>
    </row>
    <row r="365" spans="1:1" x14ac:dyDescent="0.3">
      <c r="A365" t="s">
        <v>1508</v>
      </c>
    </row>
    <row r="366" spans="1:1" x14ac:dyDescent="0.3">
      <c r="A366" t="s">
        <v>1512</v>
      </c>
    </row>
    <row r="367" spans="1:1" x14ac:dyDescent="0.3">
      <c r="A367" t="s">
        <v>1513</v>
      </c>
    </row>
    <row r="368" spans="1:1" x14ac:dyDescent="0.3">
      <c r="A368" t="s">
        <v>1518</v>
      </c>
    </row>
    <row r="369" spans="1:1" x14ac:dyDescent="0.3">
      <c r="A369" t="s">
        <v>1521</v>
      </c>
    </row>
    <row r="370" spans="1:1" x14ac:dyDescent="0.3">
      <c r="A370" t="s">
        <v>1528</v>
      </c>
    </row>
    <row r="371" spans="1:1" x14ac:dyDescent="0.3">
      <c r="A371" t="s">
        <v>1532</v>
      </c>
    </row>
    <row r="372" spans="1:1" x14ac:dyDescent="0.3">
      <c r="A372" t="s">
        <v>1534</v>
      </c>
    </row>
    <row r="373" spans="1:1" x14ac:dyDescent="0.3">
      <c r="A373" t="s">
        <v>1536</v>
      </c>
    </row>
    <row r="374" spans="1:1" x14ac:dyDescent="0.3">
      <c r="A374" t="s">
        <v>1538</v>
      </c>
    </row>
    <row r="375" spans="1:1" x14ac:dyDescent="0.3">
      <c r="A375" t="s">
        <v>1539</v>
      </c>
    </row>
    <row r="376" spans="1:1" x14ac:dyDescent="0.3">
      <c r="A376" t="s">
        <v>1542</v>
      </c>
    </row>
    <row r="377" spans="1:1" x14ac:dyDescent="0.3">
      <c r="A377" t="s">
        <v>1557</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3C4C-14F1-4D46-BB24-44FEFFDB11E0}">
  <dimension ref="A3:L9"/>
  <sheetViews>
    <sheetView tabSelected="1" workbookViewId="0">
      <selection activeCell="G9" sqref="G9"/>
    </sheetView>
  </sheetViews>
  <sheetFormatPr defaultRowHeight="14.4" x14ac:dyDescent="0.3"/>
  <cols>
    <col min="1" max="1" width="17" bestFit="1" customWidth="1"/>
    <col min="2" max="2" width="15.5546875" bestFit="1" customWidth="1"/>
    <col min="3" max="6" width="12" bestFit="1" customWidth="1"/>
    <col min="7" max="7" width="20.6640625" customWidth="1"/>
  </cols>
  <sheetData>
    <row r="3" spans="1:12" x14ac:dyDescent="0.3">
      <c r="A3" s="2" t="s">
        <v>1778</v>
      </c>
      <c r="B3" s="2" t="s">
        <v>1576</v>
      </c>
      <c r="G3" s="12" t="s">
        <v>1779</v>
      </c>
    </row>
    <row r="4" spans="1:12" x14ac:dyDescent="0.3">
      <c r="A4" s="2" t="s">
        <v>1566</v>
      </c>
      <c r="B4" t="s">
        <v>39</v>
      </c>
      <c r="C4" t="s">
        <v>16</v>
      </c>
      <c r="D4" t="s">
        <v>43</v>
      </c>
      <c r="E4" t="s">
        <v>25</v>
      </c>
      <c r="G4">
        <f>MAX(B5:E9)</f>
        <v>3.4166666666666665</v>
      </c>
    </row>
    <row r="5" spans="1:12" x14ac:dyDescent="0.3">
      <c r="A5" s="3" t="s">
        <v>49</v>
      </c>
      <c r="B5" s="13">
        <v>2.8533333333333335</v>
      </c>
      <c r="C5" s="13">
        <v>3</v>
      </c>
      <c r="D5" s="13">
        <v>3.2117647058823531</v>
      </c>
      <c r="E5" s="13">
        <v>2.9264705882352939</v>
      </c>
      <c r="G5" s="11" t="s">
        <v>1780</v>
      </c>
      <c r="H5" s="11"/>
      <c r="I5" s="11"/>
      <c r="J5" s="11"/>
      <c r="K5" s="11"/>
      <c r="L5" s="11"/>
    </row>
    <row r="6" spans="1:12" x14ac:dyDescent="0.3">
      <c r="A6" s="3" t="s">
        <v>61</v>
      </c>
      <c r="B6" s="13">
        <v>3.1698113207547172</v>
      </c>
      <c r="C6" s="13">
        <v>2.962025316455696</v>
      </c>
      <c r="D6" s="13">
        <v>3.4166666666666665</v>
      </c>
      <c r="E6" s="13">
        <v>2.796875</v>
      </c>
    </row>
    <row r="7" spans="1:12" x14ac:dyDescent="0.3">
      <c r="A7" s="3" t="s">
        <v>17</v>
      </c>
      <c r="B7" s="13">
        <v>3.0365853658536586</v>
      </c>
      <c r="C7" s="13">
        <v>2.831168831168831</v>
      </c>
      <c r="D7" s="13">
        <v>3.0422535211267605</v>
      </c>
      <c r="E7" s="13">
        <v>3</v>
      </c>
    </row>
    <row r="8" spans="1:12" x14ac:dyDescent="0.3">
      <c r="A8" s="3" t="s">
        <v>27</v>
      </c>
      <c r="B8" s="13">
        <v>3.1044776119402986</v>
      </c>
      <c r="C8" s="13">
        <v>2.9577464788732395</v>
      </c>
      <c r="D8" s="13">
        <v>3.0808080808080809</v>
      </c>
      <c r="E8" s="13">
        <v>2.7014925373134329</v>
      </c>
    </row>
    <row r="9" spans="1:12" x14ac:dyDescent="0.3">
      <c r="A9" s="3" t="s">
        <v>99</v>
      </c>
      <c r="B9" s="13">
        <v>3.1774193548387095</v>
      </c>
      <c r="C9" s="13">
        <v>3.1139240506329116</v>
      </c>
      <c r="D9" s="13">
        <v>2.9775280898876404</v>
      </c>
      <c r="E9" s="13">
        <v>3.0735294117647061</v>
      </c>
    </row>
  </sheetData>
  <mergeCells count="1">
    <mergeCell ref="G5:L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2E3D-7C18-4BA5-87E2-8FBB224EBE47}">
  <dimension ref="A1:Q1501"/>
  <sheetViews>
    <sheetView workbookViewId="0">
      <selection sqref="A1:Q1501"/>
    </sheetView>
  </sheetViews>
  <sheetFormatPr defaultRowHeight="14.4" x14ac:dyDescent="0.3"/>
  <cols>
    <col min="1" max="1" width="8.6640625" bestFit="1" customWidth="1"/>
    <col min="2" max="2" width="9.77734375" bestFit="1" customWidth="1"/>
    <col min="3" max="3" width="11.21875" bestFit="1" customWidth="1"/>
    <col min="4" max="4" width="6.44140625" bestFit="1" customWidth="1"/>
    <col min="5" max="5" width="11.109375" bestFit="1" customWidth="1"/>
    <col min="6" max="6" width="11.21875" bestFit="1" customWidth="1"/>
    <col min="7" max="7" width="7.6640625" bestFit="1" customWidth="1"/>
    <col min="8" max="8" width="11.109375" bestFit="1" customWidth="1"/>
    <col min="9" max="9" width="12.109375" bestFit="1" customWidth="1"/>
    <col min="10" max="10" width="11.77734375" bestFit="1" customWidth="1"/>
    <col min="11" max="11" width="13.109375" bestFit="1" customWidth="1"/>
    <col min="12" max="12" width="14.77734375" bestFit="1" customWidth="1"/>
    <col min="13" max="13" width="14.77734375" customWidth="1"/>
    <col min="14" max="14" width="12" bestFit="1" customWidth="1"/>
    <col min="15" max="15" width="16.33203125" bestFit="1" customWidth="1"/>
    <col min="16" max="16" width="14.21875" bestFit="1" customWidth="1"/>
    <col min="17" max="17" width="12.6640625" bestFit="1" customWidth="1"/>
  </cols>
  <sheetData>
    <row r="1" spans="1:17" x14ac:dyDescent="0.3">
      <c r="A1" t="s">
        <v>0</v>
      </c>
      <c r="B1" t="s">
        <v>1</v>
      </c>
      <c r="C1" t="s">
        <v>2</v>
      </c>
      <c r="D1" t="s">
        <v>3</v>
      </c>
      <c r="E1" t="s">
        <v>4</v>
      </c>
      <c r="F1" t="s">
        <v>5</v>
      </c>
      <c r="G1" t="s">
        <v>6</v>
      </c>
      <c r="H1" t="s">
        <v>7</v>
      </c>
      <c r="I1" t="s">
        <v>8</v>
      </c>
      <c r="J1" t="s">
        <v>9</v>
      </c>
      <c r="K1" t="s">
        <v>1563</v>
      </c>
      <c r="L1" t="s">
        <v>1564</v>
      </c>
      <c r="M1" t="s">
        <v>1565</v>
      </c>
      <c r="N1" t="s">
        <v>10</v>
      </c>
      <c r="O1" t="s">
        <v>11</v>
      </c>
      <c r="P1" t="s">
        <v>12</v>
      </c>
      <c r="Q1" t="s">
        <v>13</v>
      </c>
    </row>
    <row r="2" spans="1:17" x14ac:dyDescent="0.3">
      <c r="A2" t="s">
        <v>14</v>
      </c>
      <c r="B2" s="1">
        <v>45784</v>
      </c>
      <c r="C2" t="s">
        <v>15</v>
      </c>
      <c r="D2" t="s">
        <v>16</v>
      </c>
      <c r="E2" t="s">
        <v>17</v>
      </c>
      <c r="F2" t="s">
        <v>18</v>
      </c>
      <c r="G2">
        <v>2</v>
      </c>
      <c r="H2">
        <v>3708.71</v>
      </c>
      <c r="I2">
        <v>0.17</v>
      </c>
      <c r="J2">
        <v>6156.46</v>
      </c>
      <c r="K2">
        <f>G2*H2</f>
        <v>7417.42</v>
      </c>
      <c r="L2">
        <f>K2-J2</f>
        <v>1260.96</v>
      </c>
      <c r="M2">
        <f>K2-L2</f>
        <v>6156.46</v>
      </c>
      <c r="N2" t="s">
        <v>19</v>
      </c>
      <c r="O2" t="s">
        <v>20</v>
      </c>
      <c r="P2" t="s">
        <v>21</v>
      </c>
      <c r="Q2" t="s">
        <v>22</v>
      </c>
    </row>
    <row r="3" spans="1:17" x14ac:dyDescent="0.3">
      <c r="A3" t="s">
        <v>23</v>
      </c>
      <c r="B3" s="1">
        <v>45681</v>
      </c>
      <c r="C3" t="s">
        <v>24</v>
      </c>
      <c r="D3" t="s">
        <v>25</v>
      </c>
      <c r="E3" t="s">
        <v>17</v>
      </c>
      <c r="F3" t="s">
        <v>18</v>
      </c>
      <c r="G3">
        <v>5</v>
      </c>
      <c r="H3">
        <v>3049.89</v>
      </c>
      <c r="I3">
        <v>0.14000000000000001</v>
      </c>
      <c r="J3">
        <v>13114.53</v>
      </c>
      <c r="K3">
        <f t="shared" ref="K3:K66" si="0">G3*H3</f>
        <v>15249.449999999999</v>
      </c>
      <c r="L3">
        <f t="shared" ref="L3:L66" si="1">K3-J3</f>
        <v>2134.9199999999983</v>
      </c>
      <c r="M3">
        <f t="shared" ref="M3:M66" si="2">K3-L3</f>
        <v>13114.53</v>
      </c>
      <c r="N3" t="s">
        <v>19</v>
      </c>
      <c r="O3" t="s">
        <v>20</v>
      </c>
      <c r="P3" t="s">
        <v>21</v>
      </c>
      <c r="Q3" t="s">
        <v>22</v>
      </c>
    </row>
    <row r="4" spans="1:17" x14ac:dyDescent="0.3">
      <c r="A4" t="s">
        <v>26</v>
      </c>
      <c r="B4" s="1">
        <v>45664</v>
      </c>
      <c r="C4" t="s">
        <v>24</v>
      </c>
      <c r="D4" t="s">
        <v>16</v>
      </c>
      <c r="E4" t="s">
        <v>27</v>
      </c>
      <c r="F4" t="s">
        <v>28</v>
      </c>
      <c r="G4">
        <v>4</v>
      </c>
      <c r="H4">
        <v>1767.23</v>
      </c>
      <c r="I4">
        <v>0.04</v>
      </c>
      <c r="J4">
        <v>6786.16</v>
      </c>
      <c r="K4">
        <f t="shared" si="0"/>
        <v>7068.92</v>
      </c>
      <c r="L4">
        <f t="shared" si="1"/>
        <v>282.76000000000022</v>
      </c>
      <c r="M4">
        <f t="shared" si="2"/>
        <v>6786.16</v>
      </c>
      <c r="N4" t="s">
        <v>19</v>
      </c>
      <c r="O4" t="s">
        <v>29</v>
      </c>
      <c r="P4" t="s">
        <v>30</v>
      </c>
      <c r="Q4" t="s">
        <v>22</v>
      </c>
    </row>
    <row r="5" spans="1:17" x14ac:dyDescent="0.3">
      <c r="A5" t="s">
        <v>31</v>
      </c>
      <c r="B5" s="1">
        <v>45803</v>
      </c>
      <c r="C5" t="s">
        <v>15</v>
      </c>
      <c r="D5" t="s">
        <v>16</v>
      </c>
      <c r="E5" t="s">
        <v>17</v>
      </c>
      <c r="F5" t="s">
        <v>32</v>
      </c>
      <c r="G5">
        <v>1</v>
      </c>
      <c r="H5">
        <v>3675.69</v>
      </c>
      <c r="I5">
        <v>0.13</v>
      </c>
      <c r="J5">
        <v>3197.85</v>
      </c>
      <c r="K5">
        <f t="shared" si="0"/>
        <v>3675.69</v>
      </c>
      <c r="L5">
        <f t="shared" si="1"/>
        <v>477.84000000000015</v>
      </c>
      <c r="M5">
        <f t="shared" si="2"/>
        <v>3197.85</v>
      </c>
      <c r="N5" t="s">
        <v>33</v>
      </c>
      <c r="O5" t="s">
        <v>34</v>
      </c>
      <c r="P5" t="s">
        <v>30</v>
      </c>
      <c r="Q5" t="s">
        <v>22</v>
      </c>
    </row>
    <row r="6" spans="1:17" x14ac:dyDescent="0.3">
      <c r="A6" t="s">
        <v>35</v>
      </c>
      <c r="B6" s="1">
        <v>45713</v>
      </c>
      <c r="C6" t="s">
        <v>36</v>
      </c>
      <c r="D6" t="s">
        <v>16</v>
      </c>
      <c r="E6" t="s">
        <v>27</v>
      </c>
      <c r="F6" t="s">
        <v>28</v>
      </c>
      <c r="G6">
        <v>1</v>
      </c>
      <c r="H6">
        <v>324.54000000000002</v>
      </c>
      <c r="I6">
        <v>0.06</v>
      </c>
      <c r="J6">
        <v>305.07</v>
      </c>
      <c r="K6">
        <f t="shared" si="0"/>
        <v>324.54000000000002</v>
      </c>
      <c r="L6">
        <f t="shared" si="1"/>
        <v>19.470000000000027</v>
      </c>
      <c r="M6">
        <f t="shared" si="2"/>
        <v>305.07</v>
      </c>
      <c r="N6" t="s">
        <v>19</v>
      </c>
      <c r="O6" t="s">
        <v>29</v>
      </c>
      <c r="P6" t="s">
        <v>30</v>
      </c>
      <c r="Q6" t="s">
        <v>37</v>
      </c>
    </row>
    <row r="7" spans="1:17" x14ac:dyDescent="0.3">
      <c r="A7" t="s">
        <v>38</v>
      </c>
      <c r="B7" s="1">
        <v>45707</v>
      </c>
      <c r="C7" t="s">
        <v>15</v>
      </c>
      <c r="D7" t="s">
        <v>39</v>
      </c>
      <c r="E7" t="s">
        <v>17</v>
      </c>
      <c r="F7" t="s">
        <v>40</v>
      </c>
      <c r="G7">
        <v>3</v>
      </c>
      <c r="H7">
        <v>897.01</v>
      </c>
      <c r="I7">
        <v>0.09</v>
      </c>
      <c r="J7">
        <v>2448.84</v>
      </c>
      <c r="K7">
        <f t="shared" si="0"/>
        <v>2691.0299999999997</v>
      </c>
      <c r="L7">
        <f t="shared" si="1"/>
        <v>242.1899999999996</v>
      </c>
      <c r="M7">
        <f t="shared" si="2"/>
        <v>2448.84</v>
      </c>
      <c r="N7" t="s">
        <v>41</v>
      </c>
      <c r="O7" t="s">
        <v>29</v>
      </c>
      <c r="P7" t="s">
        <v>21</v>
      </c>
      <c r="Q7" t="s">
        <v>22</v>
      </c>
    </row>
    <row r="8" spans="1:17" x14ac:dyDescent="0.3">
      <c r="A8" t="s">
        <v>42</v>
      </c>
      <c r="B8" s="1">
        <v>45703</v>
      </c>
      <c r="C8" t="s">
        <v>36</v>
      </c>
      <c r="D8" t="s">
        <v>43</v>
      </c>
      <c r="E8" t="s">
        <v>17</v>
      </c>
      <c r="F8" t="s">
        <v>44</v>
      </c>
      <c r="G8">
        <v>4</v>
      </c>
      <c r="H8">
        <v>1959.33</v>
      </c>
      <c r="I8">
        <v>0.25</v>
      </c>
      <c r="J8">
        <v>5877.99</v>
      </c>
      <c r="K8">
        <f t="shared" si="0"/>
        <v>7837.32</v>
      </c>
      <c r="L8">
        <f t="shared" si="1"/>
        <v>1959.33</v>
      </c>
      <c r="M8">
        <f t="shared" si="2"/>
        <v>5877.99</v>
      </c>
      <c r="N8" t="s">
        <v>19</v>
      </c>
      <c r="O8" t="s">
        <v>20</v>
      </c>
      <c r="P8" t="s">
        <v>21</v>
      </c>
      <c r="Q8" t="s">
        <v>22</v>
      </c>
    </row>
    <row r="9" spans="1:17" x14ac:dyDescent="0.3">
      <c r="A9" t="s">
        <v>45</v>
      </c>
      <c r="B9" s="1">
        <v>45687</v>
      </c>
      <c r="C9" t="s">
        <v>24</v>
      </c>
      <c r="D9" t="s">
        <v>39</v>
      </c>
      <c r="E9" t="s">
        <v>17</v>
      </c>
      <c r="F9" t="s">
        <v>44</v>
      </c>
      <c r="G9">
        <v>3</v>
      </c>
      <c r="H9">
        <v>424.32</v>
      </c>
      <c r="I9">
        <v>0.23</v>
      </c>
      <c r="J9">
        <v>980.18</v>
      </c>
      <c r="K9">
        <f t="shared" si="0"/>
        <v>1272.96</v>
      </c>
      <c r="L9">
        <f t="shared" si="1"/>
        <v>292.78000000000009</v>
      </c>
      <c r="M9">
        <f t="shared" si="2"/>
        <v>980.18</v>
      </c>
      <c r="N9" t="s">
        <v>46</v>
      </c>
      <c r="O9" t="s">
        <v>34</v>
      </c>
      <c r="P9" t="s">
        <v>21</v>
      </c>
      <c r="Q9" t="s">
        <v>22</v>
      </c>
    </row>
    <row r="10" spans="1:17" x14ac:dyDescent="0.3">
      <c r="A10" t="s">
        <v>47</v>
      </c>
      <c r="B10" s="1">
        <v>45803</v>
      </c>
      <c r="C10" t="s">
        <v>48</v>
      </c>
      <c r="D10" t="s">
        <v>25</v>
      </c>
      <c r="E10" t="s">
        <v>49</v>
      </c>
      <c r="F10" t="s">
        <v>50</v>
      </c>
      <c r="G10">
        <v>2</v>
      </c>
      <c r="H10">
        <v>1308.47</v>
      </c>
      <c r="I10">
        <v>0.14000000000000001</v>
      </c>
      <c r="J10">
        <v>2250.5700000000002</v>
      </c>
      <c r="K10">
        <f t="shared" si="0"/>
        <v>2616.94</v>
      </c>
      <c r="L10">
        <f t="shared" si="1"/>
        <v>366.36999999999989</v>
      </c>
      <c r="M10">
        <f t="shared" si="2"/>
        <v>2250.5700000000002</v>
      </c>
      <c r="N10" t="s">
        <v>19</v>
      </c>
      <c r="O10" t="s">
        <v>34</v>
      </c>
      <c r="P10" t="s">
        <v>30</v>
      </c>
      <c r="Q10" t="s">
        <v>37</v>
      </c>
    </row>
    <row r="11" spans="1:17" x14ac:dyDescent="0.3">
      <c r="A11" t="s">
        <v>51</v>
      </c>
      <c r="B11" s="1">
        <v>45679</v>
      </c>
      <c r="C11" t="s">
        <v>52</v>
      </c>
      <c r="D11" t="s">
        <v>43</v>
      </c>
      <c r="E11" t="s">
        <v>49</v>
      </c>
      <c r="F11" t="s">
        <v>53</v>
      </c>
      <c r="G11">
        <v>4</v>
      </c>
      <c r="H11">
        <v>545.46</v>
      </c>
      <c r="I11">
        <v>0.01</v>
      </c>
      <c r="J11">
        <v>2160.02</v>
      </c>
      <c r="K11">
        <f t="shared" si="0"/>
        <v>2181.84</v>
      </c>
      <c r="L11">
        <f t="shared" si="1"/>
        <v>21.820000000000164</v>
      </c>
      <c r="M11">
        <f t="shared" si="2"/>
        <v>2160.02</v>
      </c>
      <c r="N11" t="s">
        <v>19</v>
      </c>
      <c r="O11" t="s">
        <v>29</v>
      </c>
      <c r="P11" t="s">
        <v>54</v>
      </c>
      <c r="Q11" t="s">
        <v>22</v>
      </c>
    </row>
    <row r="12" spans="1:17" x14ac:dyDescent="0.3">
      <c r="A12" t="s">
        <v>55</v>
      </c>
      <c r="B12" s="1">
        <v>45791</v>
      </c>
      <c r="C12" t="s">
        <v>48</v>
      </c>
      <c r="D12" t="s">
        <v>16</v>
      </c>
      <c r="E12" t="s">
        <v>49</v>
      </c>
      <c r="F12" t="s">
        <v>56</v>
      </c>
      <c r="G12">
        <v>4</v>
      </c>
      <c r="H12">
        <v>2692.66</v>
      </c>
      <c r="I12">
        <v>0.24</v>
      </c>
      <c r="J12">
        <v>8185.69</v>
      </c>
      <c r="K12">
        <f t="shared" si="0"/>
        <v>10770.64</v>
      </c>
      <c r="L12">
        <f t="shared" si="1"/>
        <v>2584.9499999999998</v>
      </c>
      <c r="M12">
        <f t="shared" si="2"/>
        <v>8185.69</v>
      </c>
      <c r="N12" t="s">
        <v>41</v>
      </c>
      <c r="O12" t="s">
        <v>29</v>
      </c>
      <c r="P12" t="s">
        <v>54</v>
      </c>
      <c r="Q12" t="s">
        <v>22</v>
      </c>
    </row>
    <row r="13" spans="1:17" x14ac:dyDescent="0.3">
      <c r="A13" t="s">
        <v>57</v>
      </c>
      <c r="B13" s="1">
        <v>45803</v>
      </c>
      <c r="C13" t="s">
        <v>15</v>
      </c>
      <c r="D13" t="s">
        <v>39</v>
      </c>
      <c r="E13" t="s">
        <v>27</v>
      </c>
      <c r="F13" t="s">
        <v>28</v>
      </c>
      <c r="G13">
        <v>4</v>
      </c>
      <c r="H13">
        <v>874.97</v>
      </c>
      <c r="I13">
        <v>0</v>
      </c>
      <c r="J13">
        <v>3499.88</v>
      </c>
      <c r="K13">
        <f t="shared" si="0"/>
        <v>3499.88</v>
      </c>
      <c r="L13">
        <f t="shared" si="1"/>
        <v>0</v>
      </c>
      <c r="M13">
        <f t="shared" si="2"/>
        <v>3499.88</v>
      </c>
      <c r="N13" t="s">
        <v>58</v>
      </c>
      <c r="O13" t="s">
        <v>34</v>
      </c>
      <c r="P13" t="s">
        <v>21</v>
      </c>
      <c r="Q13" t="s">
        <v>59</v>
      </c>
    </row>
    <row r="14" spans="1:17" x14ac:dyDescent="0.3">
      <c r="A14" t="s">
        <v>60</v>
      </c>
      <c r="B14" s="1">
        <v>45833</v>
      </c>
      <c r="C14" t="s">
        <v>15</v>
      </c>
      <c r="D14" t="s">
        <v>16</v>
      </c>
      <c r="E14" t="s">
        <v>61</v>
      </c>
      <c r="F14" t="s">
        <v>62</v>
      </c>
      <c r="G14">
        <v>2</v>
      </c>
      <c r="H14">
        <v>848.91</v>
      </c>
      <c r="I14">
        <v>0.19</v>
      </c>
      <c r="J14">
        <v>1375.23</v>
      </c>
      <c r="K14">
        <f t="shared" si="0"/>
        <v>1697.82</v>
      </c>
      <c r="L14">
        <f t="shared" si="1"/>
        <v>322.58999999999992</v>
      </c>
      <c r="M14">
        <f t="shared" si="2"/>
        <v>1375.23</v>
      </c>
      <c r="N14" t="s">
        <v>33</v>
      </c>
      <c r="O14" t="s">
        <v>29</v>
      </c>
      <c r="P14" t="s">
        <v>21</v>
      </c>
      <c r="Q14" t="s">
        <v>22</v>
      </c>
    </row>
    <row r="15" spans="1:17" x14ac:dyDescent="0.3">
      <c r="A15" t="s">
        <v>63</v>
      </c>
      <c r="B15" s="1">
        <v>45765</v>
      </c>
      <c r="C15" t="s">
        <v>24</v>
      </c>
      <c r="D15" t="s">
        <v>16</v>
      </c>
      <c r="E15" t="s">
        <v>49</v>
      </c>
      <c r="F15" t="s">
        <v>56</v>
      </c>
      <c r="G15">
        <v>2</v>
      </c>
      <c r="H15">
        <v>383.83</v>
      </c>
      <c r="I15">
        <v>0.22</v>
      </c>
      <c r="J15">
        <v>598.77</v>
      </c>
      <c r="K15">
        <f t="shared" si="0"/>
        <v>767.66</v>
      </c>
      <c r="L15">
        <f t="shared" si="1"/>
        <v>168.89</v>
      </c>
      <c r="M15">
        <f t="shared" si="2"/>
        <v>598.77</v>
      </c>
      <c r="N15" t="s">
        <v>46</v>
      </c>
      <c r="O15" t="s">
        <v>34</v>
      </c>
      <c r="P15" t="s">
        <v>54</v>
      </c>
      <c r="Q15" t="s">
        <v>22</v>
      </c>
    </row>
    <row r="16" spans="1:17" x14ac:dyDescent="0.3">
      <c r="A16" t="s">
        <v>64</v>
      </c>
      <c r="B16" s="1">
        <v>45676</v>
      </c>
      <c r="C16" t="s">
        <v>52</v>
      </c>
      <c r="D16" t="s">
        <v>43</v>
      </c>
      <c r="E16" t="s">
        <v>17</v>
      </c>
      <c r="F16" t="s">
        <v>44</v>
      </c>
      <c r="G16">
        <v>2</v>
      </c>
      <c r="H16">
        <v>1398.78</v>
      </c>
      <c r="I16">
        <v>0.22</v>
      </c>
      <c r="J16">
        <v>2182.1</v>
      </c>
      <c r="K16">
        <f t="shared" si="0"/>
        <v>2797.56</v>
      </c>
      <c r="L16">
        <f t="shared" si="1"/>
        <v>615.46</v>
      </c>
      <c r="M16">
        <f t="shared" si="2"/>
        <v>2182.1</v>
      </c>
      <c r="N16" t="s">
        <v>41</v>
      </c>
      <c r="O16" t="s">
        <v>29</v>
      </c>
      <c r="P16" t="s">
        <v>30</v>
      </c>
      <c r="Q16" t="s">
        <v>37</v>
      </c>
    </row>
    <row r="17" spans="1:17" x14ac:dyDescent="0.3">
      <c r="A17" t="s">
        <v>65</v>
      </c>
      <c r="B17" s="1">
        <v>45774</v>
      </c>
      <c r="C17" t="s">
        <v>48</v>
      </c>
      <c r="D17" t="s">
        <v>39</v>
      </c>
      <c r="E17" t="s">
        <v>61</v>
      </c>
      <c r="F17" t="s">
        <v>66</v>
      </c>
      <c r="G17">
        <v>5</v>
      </c>
      <c r="H17">
        <v>2312.2800000000002</v>
      </c>
      <c r="I17">
        <v>0.06</v>
      </c>
      <c r="J17">
        <v>10867.72</v>
      </c>
      <c r="K17">
        <f t="shared" si="0"/>
        <v>11561.400000000001</v>
      </c>
      <c r="L17">
        <f t="shared" si="1"/>
        <v>693.68000000000211</v>
      </c>
      <c r="M17">
        <f t="shared" si="2"/>
        <v>10867.72</v>
      </c>
      <c r="N17" t="s">
        <v>46</v>
      </c>
      <c r="O17" t="s">
        <v>34</v>
      </c>
      <c r="P17" t="s">
        <v>54</v>
      </c>
      <c r="Q17" t="s">
        <v>22</v>
      </c>
    </row>
    <row r="18" spans="1:17" x14ac:dyDescent="0.3">
      <c r="A18" t="s">
        <v>67</v>
      </c>
      <c r="B18" s="1">
        <v>45741</v>
      </c>
      <c r="C18" t="s">
        <v>36</v>
      </c>
      <c r="D18" t="s">
        <v>16</v>
      </c>
      <c r="E18" t="s">
        <v>27</v>
      </c>
      <c r="F18" t="s">
        <v>68</v>
      </c>
      <c r="G18">
        <v>1</v>
      </c>
      <c r="H18">
        <v>3568.42</v>
      </c>
      <c r="I18">
        <v>0.01</v>
      </c>
      <c r="J18">
        <v>3532.74</v>
      </c>
      <c r="K18">
        <f t="shared" si="0"/>
        <v>3568.42</v>
      </c>
      <c r="L18">
        <f t="shared" si="1"/>
        <v>35.680000000000291</v>
      </c>
      <c r="M18">
        <f t="shared" si="2"/>
        <v>3532.74</v>
      </c>
      <c r="N18" t="s">
        <v>19</v>
      </c>
      <c r="O18" t="s">
        <v>20</v>
      </c>
      <c r="P18" t="s">
        <v>54</v>
      </c>
      <c r="Q18" t="s">
        <v>37</v>
      </c>
    </row>
    <row r="19" spans="1:17" x14ac:dyDescent="0.3">
      <c r="A19" t="s">
        <v>69</v>
      </c>
      <c r="B19" s="1">
        <v>45666</v>
      </c>
      <c r="C19" t="s">
        <v>15</v>
      </c>
      <c r="D19" t="s">
        <v>25</v>
      </c>
      <c r="E19" t="s">
        <v>17</v>
      </c>
      <c r="F19" t="s">
        <v>44</v>
      </c>
      <c r="G19">
        <v>5</v>
      </c>
      <c r="H19">
        <v>748.33</v>
      </c>
      <c r="I19">
        <v>0.23</v>
      </c>
      <c r="J19">
        <v>2881.07</v>
      </c>
      <c r="K19">
        <f t="shared" si="0"/>
        <v>3741.65</v>
      </c>
      <c r="L19">
        <f t="shared" si="1"/>
        <v>860.57999999999993</v>
      </c>
      <c r="M19">
        <f t="shared" si="2"/>
        <v>2881.07</v>
      </c>
      <c r="N19" t="s">
        <v>41</v>
      </c>
      <c r="O19" t="s">
        <v>20</v>
      </c>
      <c r="P19" t="s">
        <v>21</v>
      </c>
      <c r="Q19" t="s">
        <v>22</v>
      </c>
    </row>
    <row r="20" spans="1:17" x14ac:dyDescent="0.3">
      <c r="A20" t="s">
        <v>70</v>
      </c>
      <c r="B20" s="1">
        <v>45665</v>
      </c>
      <c r="C20" t="s">
        <v>52</v>
      </c>
      <c r="D20" t="s">
        <v>16</v>
      </c>
      <c r="E20" t="s">
        <v>49</v>
      </c>
      <c r="F20" t="s">
        <v>50</v>
      </c>
      <c r="G20">
        <v>4</v>
      </c>
      <c r="H20">
        <v>1836.06</v>
      </c>
      <c r="I20">
        <v>0.1</v>
      </c>
      <c r="J20">
        <v>6609.82</v>
      </c>
      <c r="K20">
        <f t="shared" si="0"/>
        <v>7344.24</v>
      </c>
      <c r="L20">
        <f t="shared" si="1"/>
        <v>734.42000000000007</v>
      </c>
      <c r="M20">
        <f t="shared" si="2"/>
        <v>6609.82</v>
      </c>
      <c r="N20" t="s">
        <v>58</v>
      </c>
      <c r="O20" t="s">
        <v>20</v>
      </c>
      <c r="P20" t="s">
        <v>21</v>
      </c>
      <c r="Q20" t="s">
        <v>22</v>
      </c>
    </row>
    <row r="21" spans="1:17" x14ac:dyDescent="0.3">
      <c r="A21" t="s">
        <v>71</v>
      </c>
      <c r="B21" s="1">
        <v>45678</v>
      </c>
      <c r="C21" t="s">
        <v>48</v>
      </c>
      <c r="D21" t="s">
        <v>25</v>
      </c>
      <c r="E21" t="s">
        <v>17</v>
      </c>
      <c r="F21" t="s">
        <v>18</v>
      </c>
      <c r="G21">
        <v>2</v>
      </c>
      <c r="H21">
        <v>1038.79</v>
      </c>
      <c r="I21">
        <v>0.13</v>
      </c>
      <c r="J21">
        <v>1807.49</v>
      </c>
      <c r="K21">
        <f t="shared" si="0"/>
        <v>2077.58</v>
      </c>
      <c r="L21">
        <f t="shared" si="1"/>
        <v>270.08999999999992</v>
      </c>
      <c r="M21">
        <f t="shared" si="2"/>
        <v>1807.49</v>
      </c>
      <c r="N21" t="s">
        <v>46</v>
      </c>
      <c r="O21" t="s">
        <v>20</v>
      </c>
      <c r="P21" t="s">
        <v>54</v>
      </c>
      <c r="Q21" t="s">
        <v>22</v>
      </c>
    </row>
    <row r="22" spans="1:17" x14ac:dyDescent="0.3">
      <c r="A22" t="s">
        <v>72</v>
      </c>
      <c r="B22" s="1">
        <v>45702</v>
      </c>
      <c r="C22" t="s">
        <v>24</v>
      </c>
      <c r="D22" t="s">
        <v>16</v>
      </c>
      <c r="E22" t="s">
        <v>49</v>
      </c>
      <c r="F22" t="s">
        <v>73</v>
      </c>
      <c r="G22">
        <v>1</v>
      </c>
      <c r="H22">
        <v>347.88</v>
      </c>
      <c r="I22">
        <v>0.25</v>
      </c>
      <c r="J22">
        <v>260.91000000000003</v>
      </c>
      <c r="K22">
        <f t="shared" si="0"/>
        <v>347.88</v>
      </c>
      <c r="L22">
        <f t="shared" si="1"/>
        <v>86.96999999999997</v>
      </c>
      <c r="M22">
        <f t="shared" si="2"/>
        <v>260.91000000000003</v>
      </c>
      <c r="N22" t="s">
        <v>41</v>
      </c>
      <c r="O22" t="s">
        <v>29</v>
      </c>
      <c r="P22" t="s">
        <v>54</v>
      </c>
      <c r="Q22" t="s">
        <v>37</v>
      </c>
    </row>
    <row r="23" spans="1:17" x14ac:dyDescent="0.3">
      <c r="A23" t="s">
        <v>74</v>
      </c>
      <c r="B23" s="1">
        <v>45705</v>
      </c>
      <c r="C23" t="s">
        <v>48</v>
      </c>
      <c r="D23" t="s">
        <v>25</v>
      </c>
      <c r="E23" t="s">
        <v>61</v>
      </c>
      <c r="F23" t="s">
        <v>75</v>
      </c>
      <c r="G23">
        <v>2</v>
      </c>
      <c r="H23">
        <v>4336.79</v>
      </c>
      <c r="I23">
        <v>0.23</v>
      </c>
      <c r="J23">
        <v>6678.66</v>
      </c>
      <c r="K23">
        <f t="shared" si="0"/>
        <v>8673.58</v>
      </c>
      <c r="L23">
        <f t="shared" si="1"/>
        <v>1994.92</v>
      </c>
      <c r="M23">
        <f t="shared" si="2"/>
        <v>6678.66</v>
      </c>
      <c r="N23" t="s">
        <v>41</v>
      </c>
      <c r="O23" t="s">
        <v>34</v>
      </c>
      <c r="P23" t="s">
        <v>54</v>
      </c>
      <c r="Q23" t="s">
        <v>22</v>
      </c>
    </row>
    <row r="24" spans="1:17" x14ac:dyDescent="0.3">
      <c r="A24" t="s">
        <v>76</v>
      </c>
      <c r="B24" s="1">
        <v>45758</v>
      </c>
      <c r="C24" t="s">
        <v>48</v>
      </c>
      <c r="D24" t="s">
        <v>39</v>
      </c>
      <c r="E24" t="s">
        <v>49</v>
      </c>
      <c r="F24" t="s">
        <v>53</v>
      </c>
      <c r="G24">
        <v>5</v>
      </c>
      <c r="H24">
        <v>3343.17</v>
      </c>
      <c r="I24">
        <v>0.12</v>
      </c>
      <c r="J24">
        <v>14709.95</v>
      </c>
      <c r="K24">
        <f t="shared" si="0"/>
        <v>16715.849999999999</v>
      </c>
      <c r="L24">
        <f t="shared" si="1"/>
        <v>2005.8999999999978</v>
      </c>
      <c r="M24">
        <f t="shared" si="2"/>
        <v>14709.95</v>
      </c>
      <c r="N24" t="s">
        <v>46</v>
      </c>
      <c r="O24" t="s">
        <v>34</v>
      </c>
      <c r="P24" t="s">
        <v>54</v>
      </c>
      <c r="Q24" t="s">
        <v>22</v>
      </c>
    </row>
    <row r="25" spans="1:17" x14ac:dyDescent="0.3">
      <c r="A25" t="s">
        <v>77</v>
      </c>
      <c r="B25" s="1">
        <v>45776</v>
      </c>
      <c r="C25" t="s">
        <v>15</v>
      </c>
      <c r="D25" t="s">
        <v>43</v>
      </c>
      <c r="E25" t="s">
        <v>17</v>
      </c>
      <c r="F25" t="s">
        <v>18</v>
      </c>
      <c r="G25">
        <v>5</v>
      </c>
      <c r="H25">
        <v>2436.2600000000002</v>
      </c>
      <c r="I25">
        <v>0.23</v>
      </c>
      <c r="J25">
        <v>9379.6</v>
      </c>
      <c r="K25">
        <f t="shared" si="0"/>
        <v>12181.300000000001</v>
      </c>
      <c r="L25">
        <f t="shared" si="1"/>
        <v>2801.7000000000007</v>
      </c>
      <c r="M25">
        <f t="shared" si="2"/>
        <v>9379.6</v>
      </c>
      <c r="N25" t="s">
        <v>58</v>
      </c>
      <c r="O25" t="s">
        <v>20</v>
      </c>
      <c r="P25" t="s">
        <v>21</v>
      </c>
      <c r="Q25" t="s">
        <v>22</v>
      </c>
    </row>
    <row r="26" spans="1:17" x14ac:dyDescent="0.3">
      <c r="A26" t="s">
        <v>78</v>
      </c>
      <c r="B26" s="1">
        <v>45665</v>
      </c>
      <c r="C26" t="s">
        <v>52</v>
      </c>
      <c r="D26" t="s">
        <v>43</v>
      </c>
      <c r="E26" t="s">
        <v>27</v>
      </c>
      <c r="F26" t="s">
        <v>79</v>
      </c>
      <c r="G26">
        <v>1</v>
      </c>
      <c r="H26">
        <v>3408.54</v>
      </c>
      <c r="I26">
        <v>0.06</v>
      </c>
      <c r="J26">
        <v>3204.03</v>
      </c>
      <c r="K26">
        <f t="shared" si="0"/>
        <v>3408.54</v>
      </c>
      <c r="L26">
        <f t="shared" si="1"/>
        <v>204.50999999999976</v>
      </c>
      <c r="M26">
        <f t="shared" si="2"/>
        <v>3204.03</v>
      </c>
      <c r="N26" t="s">
        <v>58</v>
      </c>
      <c r="O26" t="s">
        <v>29</v>
      </c>
      <c r="P26" t="s">
        <v>54</v>
      </c>
      <c r="Q26" t="s">
        <v>22</v>
      </c>
    </row>
    <row r="27" spans="1:17" x14ac:dyDescent="0.3">
      <c r="A27" t="s">
        <v>80</v>
      </c>
      <c r="B27" s="1">
        <v>45768</v>
      </c>
      <c r="C27" t="s">
        <v>48</v>
      </c>
      <c r="D27" t="s">
        <v>39</v>
      </c>
      <c r="E27" t="s">
        <v>17</v>
      </c>
      <c r="F27" t="s">
        <v>18</v>
      </c>
      <c r="G27">
        <v>5</v>
      </c>
      <c r="H27">
        <v>1650.21</v>
      </c>
      <c r="I27">
        <v>7.0000000000000007E-2</v>
      </c>
      <c r="J27">
        <v>7673.48</v>
      </c>
      <c r="K27">
        <f t="shared" si="0"/>
        <v>8251.0499999999993</v>
      </c>
      <c r="L27">
        <f t="shared" si="1"/>
        <v>577.56999999999971</v>
      </c>
      <c r="M27">
        <f t="shared" si="2"/>
        <v>7673.48</v>
      </c>
      <c r="N27" t="s">
        <v>33</v>
      </c>
      <c r="O27" t="s">
        <v>29</v>
      </c>
      <c r="P27" t="s">
        <v>21</v>
      </c>
      <c r="Q27" t="s">
        <v>22</v>
      </c>
    </row>
    <row r="28" spans="1:17" x14ac:dyDescent="0.3">
      <c r="A28" t="s">
        <v>81</v>
      </c>
      <c r="B28" s="1">
        <v>45698</v>
      </c>
      <c r="C28" t="s">
        <v>15</v>
      </c>
      <c r="D28" t="s">
        <v>16</v>
      </c>
      <c r="E28" t="s">
        <v>49</v>
      </c>
      <c r="F28" t="s">
        <v>73</v>
      </c>
      <c r="G28">
        <v>1</v>
      </c>
      <c r="H28">
        <v>145.65</v>
      </c>
      <c r="I28">
        <v>0.16</v>
      </c>
      <c r="J28">
        <v>122.35</v>
      </c>
      <c r="K28">
        <f t="shared" si="0"/>
        <v>145.65</v>
      </c>
      <c r="L28">
        <f t="shared" si="1"/>
        <v>23.300000000000011</v>
      </c>
      <c r="M28">
        <f t="shared" si="2"/>
        <v>122.35</v>
      </c>
      <c r="N28" t="s">
        <v>41</v>
      </c>
      <c r="O28" t="s">
        <v>34</v>
      </c>
      <c r="P28" t="s">
        <v>21</v>
      </c>
      <c r="Q28" t="s">
        <v>22</v>
      </c>
    </row>
    <row r="29" spans="1:17" x14ac:dyDescent="0.3">
      <c r="A29" t="s">
        <v>82</v>
      </c>
      <c r="B29" s="1">
        <v>45799</v>
      </c>
      <c r="C29" t="s">
        <v>52</v>
      </c>
      <c r="D29" t="s">
        <v>39</v>
      </c>
      <c r="E29" t="s">
        <v>61</v>
      </c>
      <c r="F29" t="s">
        <v>66</v>
      </c>
      <c r="G29">
        <v>2</v>
      </c>
      <c r="H29">
        <v>1910.68</v>
      </c>
      <c r="I29">
        <v>0.04</v>
      </c>
      <c r="J29">
        <v>3668.51</v>
      </c>
      <c r="K29">
        <f t="shared" si="0"/>
        <v>3821.36</v>
      </c>
      <c r="L29">
        <f t="shared" si="1"/>
        <v>152.84999999999991</v>
      </c>
      <c r="M29">
        <f t="shared" si="2"/>
        <v>3668.51</v>
      </c>
      <c r="N29" t="s">
        <v>46</v>
      </c>
      <c r="O29" t="s">
        <v>20</v>
      </c>
      <c r="P29" t="s">
        <v>21</v>
      </c>
      <c r="Q29" t="s">
        <v>22</v>
      </c>
    </row>
    <row r="30" spans="1:17" x14ac:dyDescent="0.3">
      <c r="A30" t="s">
        <v>83</v>
      </c>
      <c r="B30" s="1">
        <v>45786</v>
      </c>
      <c r="C30" t="s">
        <v>36</v>
      </c>
      <c r="D30" t="s">
        <v>16</v>
      </c>
      <c r="E30" t="s">
        <v>27</v>
      </c>
      <c r="F30" t="s">
        <v>79</v>
      </c>
      <c r="G30">
        <v>1</v>
      </c>
      <c r="H30">
        <v>4700.76</v>
      </c>
      <c r="I30">
        <v>0.03</v>
      </c>
      <c r="J30">
        <v>4559.74</v>
      </c>
      <c r="K30">
        <f t="shared" si="0"/>
        <v>4700.76</v>
      </c>
      <c r="L30">
        <f t="shared" si="1"/>
        <v>141.02000000000044</v>
      </c>
      <c r="M30">
        <f t="shared" si="2"/>
        <v>4559.74</v>
      </c>
      <c r="N30" t="s">
        <v>46</v>
      </c>
      <c r="O30" t="s">
        <v>29</v>
      </c>
      <c r="P30" t="s">
        <v>54</v>
      </c>
      <c r="Q30" t="s">
        <v>22</v>
      </c>
    </row>
    <row r="31" spans="1:17" x14ac:dyDescent="0.3">
      <c r="A31" t="s">
        <v>84</v>
      </c>
      <c r="B31" s="1">
        <v>45796</v>
      </c>
      <c r="C31" t="s">
        <v>15</v>
      </c>
      <c r="D31" t="s">
        <v>25</v>
      </c>
      <c r="E31" t="s">
        <v>61</v>
      </c>
      <c r="F31" t="s">
        <v>66</v>
      </c>
      <c r="G31">
        <v>3</v>
      </c>
      <c r="H31">
        <v>1097.6300000000001</v>
      </c>
      <c r="I31">
        <v>0.16</v>
      </c>
      <c r="J31">
        <v>2766.03</v>
      </c>
      <c r="K31">
        <f t="shared" si="0"/>
        <v>3292.8900000000003</v>
      </c>
      <c r="L31">
        <f t="shared" si="1"/>
        <v>526.86000000000013</v>
      </c>
      <c r="M31">
        <f t="shared" si="2"/>
        <v>2766.03</v>
      </c>
      <c r="N31" t="s">
        <v>33</v>
      </c>
      <c r="O31" t="s">
        <v>20</v>
      </c>
      <c r="P31" t="s">
        <v>30</v>
      </c>
      <c r="Q31" t="s">
        <v>22</v>
      </c>
    </row>
    <row r="32" spans="1:17" x14ac:dyDescent="0.3">
      <c r="A32" t="s">
        <v>85</v>
      </c>
      <c r="B32" s="1">
        <v>45765</v>
      </c>
      <c r="C32" t="s">
        <v>48</v>
      </c>
      <c r="D32" t="s">
        <v>43</v>
      </c>
      <c r="E32" t="s">
        <v>17</v>
      </c>
      <c r="F32" t="s">
        <v>18</v>
      </c>
      <c r="G32">
        <v>1</v>
      </c>
      <c r="H32">
        <v>1734.43</v>
      </c>
      <c r="I32">
        <v>0.03</v>
      </c>
      <c r="J32">
        <v>1682.4</v>
      </c>
      <c r="K32">
        <f t="shared" si="0"/>
        <v>1734.43</v>
      </c>
      <c r="L32">
        <f t="shared" si="1"/>
        <v>52.029999999999973</v>
      </c>
      <c r="M32">
        <f t="shared" si="2"/>
        <v>1682.4</v>
      </c>
      <c r="N32" t="s">
        <v>46</v>
      </c>
      <c r="O32" t="s">
        <v>20</v>
      </c>
      <c r="P32" t="s">
        <v>30</v>
      </c>
      <c r="Q32" t="s">
        <v>22</v>
      </c>
    </row>
    <row r="33" spans="1:17" x14ac:dyDescent="0.3">
      <c r="A33" t="s">
        <v>86</v>
      </c>
      <c r="B33" s="1">
        <v>45741</v>
      </c>
      <c r="C33" t="s">
        <v>36</v>
      </c>
      <c r="D33" t="s">
        <v>16</v>
      </c>
      <c r="E33" t="s">
        <v>27</v>
      </c>
      <c r="F33" t="s">
        <v>87</v>
      </c>
      <c r="G33">
        <v>1</v>
      </c>
      <c r="H33">
        <v>4730.75</v>
      </c>
      <c r="I33">
        <v>0.17</v>
      </c>
      <c r="J33">
        <v>3926.52</v>
      </c>
      <c r="K33">
        <f t="shared" si="0"/>
        <v>4730.75</v>
      </c>
      <c r="L33">
        <f t="shared" si="1"/>
        <v>804.23</v>
      </c>
      <c r="M33">
        <f t="shared" si="2"/>
        <v>3926.52</v>
      </c>
      <c r="N33" t="s">
        <v>58</v>
      </c>
      <c r="O33" t="s">
        <v>20</v>
      </c>
      <c r="P33" t="s">
        <v>54</v>
      </c>
      <c r="Q33" t="s">
        <v>88</v>
      </c>
    </row>
    <row r="34" spans="1:17" x14ac:dyDescent="0.3">
      <c r="A34" t="s">
        <v>89</v>
      </c>
      <c r="B34" s="1">
        <v>45702</v>
      </c>
      <c r="C34" t="s">
        <v>48</v>
      </c>
      <c r="D34" t="s">
        <v>39</v>
      </c>
      <c r="E34" t="s">
        <v>27</v>
      </c>
      <c r="F34" t="s">
        <v>68</v>
      </c>
      <c r="G34">
        <v>3</v>
      </c>
      <c r="H34">
        <v>1886.79</v>
      </c>
      <c r="I34">
        <v>0.23</v>
      </c>
      <c r="J34">
        <v>4358.4799999999996</v>
      </c>
      <c r="K34">
        <f t="shared" si="0"/>
        <v>5660.37</v>
      </c>
      <c r="L34">
        <f t="shared" si="1"/>
        <v>1301.8900000000003</v>
      </c>
      <c r="M34">
        <f t="shared" si="2"/>
        <v>4358.4799999999996</v>
      </c>
      <c r="N34" t="s">
        <v>19</v>
      </c>
      <c r="O34" t="s">
        <v>20</v>
      </c>
      <c r="P34" t="s">
        <v>54</v>
      </c>
      <c r="Q34" t="s">
        <v>22</v>
      </c>
    </row>
    <row r="35" spans="1:17" x14ac:dyDescent="0.3">
      <c r="A35" t="s">
        <v>90</v>
      </c>
      <c r="B35" s="1">
        <v>45747</v>
      </c>
      <c r="C35" t="s">
        <v>15</v>
      </c>
      <c r="D35" t="s">
        <v>43</v>
      </c>
      <c r="E35" t="s">
        <v>61</v>
      </c>
      <c r="F35" t="s">
        <v>62</v>
      </c>
      <c r="G35">
        <v>5</v>
      </c>
      <c r="H35">
        <v>3772.44</v>
      </c>
      <c r="I35">
        <v>0.23</v>
      </c>
      <c r="J35">
        <v>14523.89</v>
      </c>
      <c r="K35">
        <f t="shared" si="0"/>
        <v>18862.2</v>
      </c>
      <c r="L35">
        <f t="shared" si="1"/>
        <v>4338.3100000000013</v>
      </c>
      <c r="M35">
        <f t="shared" si="2"/>
        <v>14523.89</v>
      </c>
      <c r="N35" t="s">
        <v>33</v>
      </c>
      <c r="O35" t="s">
        <v>34</v>
      </c>
      <c r="P35" t="s">
        <v>54</v>
      </c>
      <c r="Q35" t="s">
        <v>59</v>
      </c>
    </row>
    <row r="36" spans="1:17" x14ac:dyDescent="0.3">
      <c r="A36" t="s">
        <v>91</v>
      </c>
      <c r="B36" s="1">
        <v>45774</v>
      </c>
      <c r="C36" t="s">
        <v>24</v>
      </c>
      <c r="D36" t="s">
        <v>43</v>
      </c>
      <c r="E36" t="s">
        <v>61</v>
      </c>
      <c r="F36" t="s">
        <v>92</v>
      </c>
      <c r="G36">
        <v>3</v>
      </c>
      <c r="H36">
        <v>3933.69</v>
      </c>
      <c r="I36">
        <v>0.1</v>
      </c>
      <c r="J36">
        <v>10620.96</v>
      </c>
      <c r="K36">
        <f t="shared" si="0"/>
        <v>11801.07</v>
      </c>
      <c r="L36">
        <f t="shared" si="1"/>
        <v>1180.1100000000006</v>
      </c>
      <c r="M36">
        <f t="shared" si="2"/>
        <v>10620.96</v>
      </c>
      <c r="N36" t="s">
        <v>19</v>
      </c>
      <c r="O36" t="s">
        <v>29</v>
      </c>
      <c r="P36" t="s">
        <v>21</v>
      </c>
      <c r="Q36" t="s">
        <v>22</v>
      </c>
    </row>
    <row r="37" spans="1:17" x14ac:dyDescent="0.3">
      <c r="A37" t="s">
        <v>93</v>
      </c>
      <c r="B37" s="1">
        <v>45714</v>
      </c>
      <c r="C37" t="s">
        <v>24</v>
      </c>
      <c r="D37" t="s">
        <v>43</v>
      </c>
      <c r="E37" t="s">
        <v>17</v>
      </c>
      <c r="F37" t="s">
        <v>40</v>
      </c>
      <c r="G37">
        <v>2</v>
      </c>
      <c r="H37">
        <v>4101.2700000000004</v>
      </c>
      <c r="I37">
        <v>0.12</v>
      </c>
      <c r="J37">
        <v>7218.24</v>
      </c>
      <c r="K37">
        <f t="shared" si="0"/>
        <v>8202.5400000000009</v>
      </c>
      <c r="L37">
        <f t="shared" si="1"/>
        <v>984.30000000000109</v>
      </c>
      <c r="M37">
        <f t="shared" si="2"/>
        <v>7218.24</v>
      </c>
      <c r="N37" t="s">
        <v>41</v>
      </c>
      <c r="O37" t="s">
        <v>20</v>
      </c>
      <c r="P37" t="s">
        <v>30</v>
      </c>
      <c r="Q37" t="s">
        <v>22</v>
      </c>
    </row>
    <row r="38" spans="1:17" x14ac:dyDescent="0.3">
      <c r="A38" t="s">
        <v>94</v>
      </c>
      <c r="B38" s="1">
        <v>45817</v>
      </c>
      <c r="C38" t="s">
        <v>15</v>
      </c>
      <c r="D38" t="s">
        <v>39</v>
      </c>
      <c r="E38" t="s">
        <v>61</v>
      </c>
      <c r="F38" t="s">
        <v>92</v>
      </c>
      <c r="G38">
        <v>3</v>
      </c>
      <c r="H38">
        <v>1820.62</v>
      </c>
      <c r="I38">
        <v>0.13</v>
      </c>
      <c r="J38">
        <v>4751.82</v>
      </c>
      <c r="K38">
        <f t="shared" si="0"/>
        <v>5461.86</v>
      </c>
      <c r="L38">
        <f t="shared" si="1"/>
        <v>710.04</v>
      </c>
      <c r="M38">
        <f t="shared" si="2"/>
        <v>4751.82</v>
      </c>
      <c r="N38" t="s">
        <v>46</v>
      </c>
      <c r="O38" t="s">
        <v>20</v>
      </c>
      <c r="P38" t="s">
        <v>21</v>
      </c>
      <c r="Q38" t="s">
        <v>37</v>
      </c>
    </row>
    <row r="39" spans="1:17" x14ac:dyDescent="0.3">
      <c r="A39" t="s">
        <v>95</v>
      </c>
      <c r="B39" s="1">
        <v>45828</v>
      </c>
      <c r="C39" t="s">
        <v>52</v>
      </c>
      <c r="D39" t="s">
        <v>39</v>
      </c>
      <c r="E39" t="s">
        <v>17</v>
      </c>
      <c r="F39" t="s">
        <v>32</v>
      </c>
      <c r="G39">
        <v>1</v>
      </c>
      <c r="H39">
        <v>631.16999999999996</v>
      </c>
      <c r="I39">
        <v>0.11</v>
      </c>
      <c r="J39">
        <v>561.74</v>
      </c>
      <c r="K39">
        <f t="shared" si="0"/>
        <v>631.16999999999996</v>
      </c>
      <c r="L39">
        <f t="shared" si="1"/>
        <v>69.42999999999995</v>
      </c>
      <c r="M39">
        <f t="shared" si="2"/>
        <v>561.74</v>
      </c>
      <c r="N39" t="s">
        <v>33</v>
      </c>
      <c r="O39" t="s">
        <v>34</v>
      </c>
      <c r="P39" t="s">
        <v>21</v>
      </c>
      <c r="Q39" t="s">
        <v>22</v>
      </c>
    </row>
    <row r="40" spans="1:17" x14ac:dyDescent="0.3">
      <c r="A40" t="s">
        <v>96</v>
      </c>
      <c r="B40" s="1">
        <v>45661</v>
      </c>
      <c r="C40" t="s">
        <v>48</v>
      </c>
      <c r="D40" t="s">
        <v>43</v>
      </c>
      <c r="E40" t="s">
        <v>27</v>
      </c>
      <c r="F40" t="s">
        <v>79</v>
      </c>
      <c r="G40">
        <v>3</v>
      </c>
      <c r="H40">
        <v>317.49</v>
      </c>
      <c r="I40">
        <v>0.11</v>
      </c>
      <c r="J40">
        <v>847.7</v>
      </c>
      <c r="K40">
        <f t="shared" si="0"/>
        <v>952.47</v>
      </c>
      <c r="L40">
        <f t="shared" si="1"/>
        <v>104.76999999999998</v>
      </c>
      <c r="M40">
        <f t="shared" si="2"/>
        <v>847.7</v>
      </c>
      <c r="N40" t="s">
        <v>33</v>
      </c>
      <c r="O40" t="s">
        <v>20</v>
      </c>
      <c r="P40" t="s">
        <v>21</v>
      </c>
      <c r="Q40" t="s">
        <v>22</v>
      </c>
    </row>
    <row r="41" spans="1:17" x14ac:dyDescent="0.3">
      <c r="A41" t="s">
        <v>97</v>
      </c>
      <c r="B41" s="1">
        <v>45807</v>
      </c>
      <c r="C41" t="s">
        <v>36</v>
      </c>
      <c r="D41" t="s">
        <v>25</v>
      </c>
      <c r="E41" t="s">
        <v>17</v>
      </c>
      <c r="F41" t="s">
        <v>32</v>
      </c>
      <c r="G41">
        <v>1</v>
      </c>
      <c r="H41">
        <v>3626.8</v>
      </c>
      <c r="I41">
        <v>0.08</v>
      </c>
      <c r="J41">
        <v>3336.66</v>
      </c>
      <c r="K41">
        <f t="shared" si="0"/>
        <v>3626.8</v>
      </c>
      <c r="L41">
        <f t="shared" si="1"/>
        <v>290.14000000000033</v>
      </c>
      <c r="M41">
        <f t="shared" si="2"/>
        <v>3336.66</v>
      </c>
      <c r="N41" t="s">
        <v>46</v>
      </c>
      <c r="O41" t="s">
        <v>29</v>
      </c>
      <c r="P41" t="s">
        <v>30</v>
      </c>
      <c r="Q41" t="s">
        <v>22</v>
      </c>
    </row>
    <row r="42" spans="1:17" x14ac:dyDescent="0.3">
      <c r="A42" t="s">
        <v>98</v>
      </c>
      <c r="B42" s="1">
        <v>45816</v>
      </c>
      <c r="C42" t="s">
        <v>52</v>
      </c>
      <c r="D42" t="s">
        <v>39</v>
      </c>
      <c r="E42" t="s">
        <v>99</v>
      </c>
      <c r="F42" t="s">
        <v>100</v>
      </c>
      <c r="G42">
        <v>4</v>
      </c>
      <c r="H42">
        <v>3418.86</v>
      </c>
      <c r="I42">
        <v>0.23</v>
      </c>
      <c r="J42">
        <v>10530.09</v>
      </c>
      <c r="K42">
        <f t="shared" si="0"/>
        <v>13675.44</v>
      </c>
      <c r="L42">
        <f t="shared" si="1"/>
        <v>3145.3500000000004</v>
      </c>
      <c r="M42">
        <f t="shared" si="2"/>
        <v>10530.09</v>
      </c>
      <c r="N42" t="s">
        <v>41</v>
      </c>
      <c r="O42" t="s">
        <v>29</v>
      </c>
      <c r="P42" t="s">
        <v>21</v>
      </c>
      <c r="Q42" t="s">
        <v>22</v>
      </c>
    </row>
    <row r="43" spans="1:17" x14ac:dyDescent="0.3">
      <c r="A43" t="s">
        <v>101</v>
      </c>
      <c r="B43" s="1">
        <v>45691</v>
      </c>
      <c r="C43" t="s">
        <v>15</v>
      </c>
      <c r="D43" t="s">
        <v>25</v>
      </c>
      <c r="E43" t="s">
        <v>17</v>
      </c>
      <c r="F43" t="s">
        <v>32</v>
      </c>
      <c r="G43">
        <v>5</v>
      </c>
      <c r="H43">
        <v>3072.64</v>
      </c>
      <c r="I43">
        <v>0.08</v>
      </c>
      <c r="J43">
        <v>14134.14</v>
      </c>
      <c r="K43">
        <f t="shared" si="0"/>
        <v>15363.199999999999</v>
      </c>
      <c r="L43">
        <f t="shared" si="1"/>
        <v>1229.0599999999995</v>
      </c>
      <c r="M43">
        <f t="shared" si="2"/>
        <v>14134.14</v>
      </c>
      <c r="N43" t="s">
        <v>19</v>
      </c>
      <c r="O43" t="s">
        <v>34</v>
      </c>
      <c r="P43" t="s">
        <v>30</v>
      </c>
      <c r="Q43" t="s">
        <v>22</v>
      </c>
    </row>
    <row r="44" spans="1:17" x14ac:dyDescent="0.3">
      <c r="A44" t="s">
        <v>102</v>
      </c>
      <c r="B44" s="1">
        <v>45795</v>
      </c>
      <c r="C44" t="s">
        <v>52</v>
      </c>
      <c r="D44" t="s">
        <v>43</v>
      </c>
      <c r="E44" t="s">
        <v>27</v>
      </c>
      <c r="F44" t="s">
        <v>87</v>
      </c>
      <c r="G44">
        <v>5</v>
      </c>
      <c r="H44">
        <v>3352.88</v>
      </c>
      <c r="I44">
        <v>0.15</v>
      </c>
      <c r="J44">
        <v>14249.74</v>
      </c>
      <c r="K44">
        <f t="shared" si="0"/>
        <v>16764.400000000001</v>
      </c>
      <c r="L44">
        <f t="shared" si="1"/>
        <v>2514.6600000000017</v>
      </c>
      <c r="M44">
        <f t="shared" si="2"/>
        <v>14249.74</v>
      </c>
      <c r="N44" t="s">
        <v>58</v>
      </c>
      <c r="O44" t="s">
        <v>34</v>
      </c>
      <c r="P44" t="s">
        <v>54</v>
      </c>
      <c r="Q44" t="s">
        <v>22</v>
      </c>
    </row>
    <row r="45" spans="1:17" x14ac:dyDescent="0.3">
      <c r="A45" t="s">
        <v>103</v>
      </c>
      <c r="B45" s="1">
        <v>45742</v>
      </c>
      <c r="C45" t="s">
        <v>52</v>
      </c>
      <c r="D45" t="s">
        <v>25</v>
      </c>
      <c r="E45" t="s">
        <v>61</v>
      </c>
      <c r="F45" t="s">
        <v>75</v>
      </c>
      <c r="G45">
        <v>2</v>
      </c>
      <c r="H45">
        <v>4921.29</v>
      </c>
      <c r="I45">
        <v>0.15</v>
      </c>
      <c r="J45">
        <v>8366.19</v>
      </c>
      <c r="K45">
        <f t="shared" si="0"/>
        <v>9842.58</v>
      </c>
      <c r="L45">
        <f t="shared" si="1"/>
        <v>1476.3899999999994</v>
      </c>
      <c r="M45">
        <f t="shared" si="2"/>
        <v>8366.19</v>
      </c>
      <c r="N45" t="s">
        <v>58</v>
      </c>
      <c r="O45" t="s">
        <v>20</v>
      </c>
      <c r="P45" t="s">
        <v>54</v>
      </c>
      <c r="Q45" t="s">
        <v>22</v>
      </c>
    </row>
    <row r="46" spans="1:17" x14ac:dyDescent="0.3">
      <c r="A46" t="s">
        <v>104</v>
      </c>
      <c r="B46" s="1">
        <v>45726</v>
      </c>
      <c r="C46" t="s">
        <v>48</v>
      </c>
      <c r="D46" t="s">
        <v>25</v>
      </c>
      <c r="E46" t="s">
        <v>27</v>
      </c>
      <c r="F46" t="s">
        <v>68</v>
      </c>
      <c r="G46">
        <v>2</v>
      </c>
      <c r="H46">
        <v>823.1</v>
      </c>
      <c r="I46">
        <v>0.17</v>
      </c>
      <c r="J46">
        <v>1366.35</v>
      </c>
      <c r="K46">
        <f t="shared" si="0"/>
        <v>1646.2</v>
      </c>
      <c r="L46">
        <f t="shared" si="1"/>
        <v>279.85000000000014</v>
      </c>
      <c r="M46">
        <f t="shared" si="2"/>
        <v>1366.35</v>
      </c>
      <c r="N46" t="s">
        <v>41</v>
      </c>
      <c r="O46" t="s">
        <v>34</v>
      </c>
      <c r="P46" t="s">
        <v>54</v>
      </c>
      <c r="Q46" t="s">
        <v>22</v>
      </c>
    </row>
    <row r="47" spans="1:17" x14ac:dyDescent="0.3">
      <c r="A47" t="s">
        <v>105</v>
      </c>
      <c r="B47" s="1">
        <v>45713</v>
      </c>
      <c r="C47" t="s">
        <v>24</v>
      </c>
      <c r="D47" t="s">
        <v>39</v>
      </c>
      <c r="E47" t="s">
        <v>27</v>
      </c>
      <c r="F47" t="s">
        <v>87</v>
      </c>
      <c r="G47">
        <v>1</v>
      </c>
      <c r="H47">
        <v>2336.66</v>
      </c>
      <c r="I47">
        <v>0.2</v>
      </c>
      <c r="J47">
        <v>1869.33</v>
      </c>
      <c r="K47">
        <f t="shared" si="0"/>
        <v>2336.66</v>
      </c>
      <c r="L47">
        <f t="shared" si="1"/>
        <v>467.32999999999993</v>
      </c>
      <c r="M47">
        <f t="shared" si="2"/>
        <v>1869.33</v>
      </c>
      <c r="N47" t="s">
        <v>33</v>
      </c>
      <c r="O47" t="s">
        <v>20</v>
      </c>
      <c r="P47" t="s">
        <v>21</v>
      </c>
      <c r="Q47" t="s">
        <v>59</v>
      </c>
    </row>
    <row r="48" spans="1:17" x14ac:dyDescent="0.3">
      <c r="A48" t="s">
        <v>106</v>
      </c>
      <c r="B48" s="1">
        <v>45690</v>
      </c>
      <c r="C48" t="s">
        <v>36</v>
      </c>
      <c r="D48" t="s">
        <v>39</v>
      </c>
      <c r="E48" t="s">
        <v>49</v>
      </c>
      <c r="F48" t="s">
        <v>50</v>
      </c>
      <c r="G48">
        <v>4</v>
      </c>
      <c r="H48">
        <v>2305.34</v>
      </c>
      <c r="I48">
        <v>0.19</v>
      </c>
      <c r="J48">
        <v>7469.3</v>
      </c>
      <c r="K48">
        <f t="shared" si="0"/>
        <v>9221.36</v>
      </c>
      <c r="L48">
        <f t="shared" si="1"/>
        <v>1752.0600000000004</v>
      </c>
      <c r="M48">
        <f t="shared" si="2"/>
        <v>7469.3</v>
      </c>
      <c r="N48" t="s">
        <v>41</v>
      </c>
      <c r="O48" t="s">
        <v>20</v>
      </c>
      <c r="P48" t="s">
        <v>21</v>
      </c>
      <c r="Q48" t="s">
        <v>88</v>
      </c>
    </row>
    <row r="49" spans="1:17" x14ac:dyDescent="0.3">
      <c r="A49" t="s">
        <v>107</v>
      </c>
      <c r="B49" s="1">
        <v>45701</v>
      </c>
      <c r="C49" t="s">
        <v>52</v>
      </c>
      <c r="D49" t="s">
        <v>39</v>
      </c>
      <c r="E49" t="s">
        <v>27</v>
      </c>
      <c r="F49" t="s">
        <v>87</v>
      </c>
      <c r="G49">
        <v>1</v>
      </c>
      <c r="H49">
        <v>3596.37</v>
      </c>
      <c r="I49">
        <v>0.06</v>
      </c>
      <c r="J49">
        <v>3380.59</v>
      </c>
      <c r="K49">
        <f t="shared" si="0"/>
        <v>3596.37</v>
      </c>
      <c r="L49">
        <f t="shared" si="1"/>
        <v>215.77999999999975</v>
      </c>
      <c r="M49">
        <f t="shared" si="2"/>
        <v>3380.59</v>
      </c>
      <c r="N49" t="s">
        <v>46</v>
      </c>
      <c r="O49" t="s">
        <v>34</v>
      </c>
      <c r="P49" t="s">
        <v>30</v>
      </c>
      <c r="Q49" t="s">
        <v>37</v>
      </c>
    </row>
    <row r="50" spans="1:17" x14ac:dyDescent="0.3">
      <c r="A50" t="s">
        <v>108</v>
      </c>
      <c r="B50" s="1">
        <v>45808</v>
      </c>
      <c r="C50" t="s">
        <v>52</v>
      </c>
      <c r="D50" t="s">
        <v>39</v>
      </c>
      <c r="E50" t="s">
        <v>17</v>
      </c>
      <c r="F50" t="s">
        <v>44</v>
      </c>
      <c r="G50">
        <v>2</v>
      </c>
      <c r="H50">
        <v>3561.45</v>
      </c>
      <c r="I50">
        <v>0.02</v>
      </c>
      <c r="J50">
        <v>6980.44</v>
      </c>
      <c r="K50">
        <f t="shared" si="0"/>
        <v>7122.9</v>
      </c>
      <c r="L50">
        <f t="shared" si="1"/>
        <v>142.46000000000004</v>
      </c>
      <c r="M50">
        <f t="shared" si="2"/>
        <v>6980.44</v>
      </c>
      <c r="N50" t="s">
        <v>19</v>
      </c>
      <c r="O50" t="s">
        <v>34</v>
      </c>
      <c r="P50" t="s">
        <v>30</v>
      </c>
      <c r="Q50" t="s">
        <v>22</v>
      </c>
    </row>
    <row r="51" spans="1:17" x14ac:dyDescent="0.3">
      <c r="A51" t="s">
        <v>109</v>
      </c>
      <c r="B51" s="1">
        <v>45725</v>
      </c>
      <c r="C51" t="s">
        <v>52</v>
      </c>
      <c r="D51" t="s">
        <v>25</v>
      </c>
      <c r="E51" t="s">
        <v>49</v>
      </c>
      <c r="F51" t="s">
        <v>56</v>
      </c>
      <c r="G51">
        <v>5</v>
      </c>
      <c r="H51">
        <v>4735.7</v>
      </c>
      <c r="I51">
        <v>0</v>
      </c>
      <c r="J51">
        <v>23678.5</v>
      </c>
      <c r="K51">
        <f t="shared" si="0"/>
        <v>23678.5</v>
      </c>
      <c r="L51">
        <f t="shared" si="1"/>
        <v>0</v>
      </c>
      <c r="M51">
        <f t="shared" si="2"/>
        <v>23678.5</v>
      </c>
      <c r="N51" t="s">
        <v>41</v>
      </c>
      <c r="O51" t="s">
        <v>34</v>
      </c>
      <c r="P51" t="s">
        <v>21</v>
      </c>
      <c r="Q51" t="s">
        <v>22</v>
      </c>
    </row>
    <row r="52" spans="1:17" x14ac:dyDescent="0.3">
      <c r="A52" t="s">
        <v>110</v>
      </c>
      <c r="B52" s="1">
        <v>45679</v>
      </c>
      <c r="C52" t="s">
        <v>48</v>
      </c>
      <c r="D52" t="s">
        <v>43</v>
      </c>
      <c r="E52" t="s">
        <v>99</v>
      </c>
      <c r="F52" t="s">
        <v>111</v>
      </c>
      <c r="G52">
        <v>5</v>
      </c>
      <c r="H52">
        <v>4019.35</v>
      </c>
      <c r="I52">
        <v>0.22</v>
      </c>
      <c r="J52">
        <v>15675.47</v>
      </c>
      <c r="K52">
        <f t="shared" si="0"/>
        <v>20096.75</v>
      </c>
      <c r="L52">
        <f t="shared" si="1"/>
        <v>4421.2800000000007</v>
      </c>
      <c r="M52">
        <f t="shared" si="2"/>
        <v>15675.47</v>
      </c>
      <c r="N52" t="s">
        <v>41</v>
      </c>
      <c r="O52" t="s">
        <v>29</v>
      </c>
      <c r="P52" t="s">
        <v>30</v>
      </c>
      <c r="Q52" t="s">
        <v>22</v>
      </c>
    </row>
    <row r="53" spans="1:17" x14ac:dyDescent="0.3">
      <c r="A53" t="s">
        <v>112</v>
      </c>
      <c r="B53" s="1">
        <v>45678</v>
      </c>
      <c r="C53" t="s">
        <v>48</v>
      </c>
      <c r="D53" t="s">
        <v>16</v>
      </c>
      <c r="E53" t="s">
        <v>49</v>
      </c>
      <c r="F53" t="s">
        <v>56</v>
      </c>
      <c r="G53">
        <v>4</v>
      </c>
      <c r="H53">
        <v>3648.49</v>
      </c>
      <c r="I53">
        <v>0.21</v>
      </c>
      <c r="J53">
        <v>11529.23</v>
      </c>
      <c r="K53">
        <f t="shared" si="0"/>
        <v>14593.96</v>
      </c>
      <c r="L53">
        <f t="shared" si="1"/>
        <v>3064.7299999999996</v>
      </c>
      <c r="M53">
        <f t="shared" si="2"/>
        <v>11529.23</v>
      </c>
      <c r="N53" t="s">
        <v>46</v>
      </c>
      <c r="O53" t="s">
        <v>29</v>
      </c>
      <c r="P53" t="s">
        <v>54</v>
      </c>
      <c r="Q53" t="s">
        <v>37</v>
      </c>
    </row>
    <row r="54" spans="1:17" x14ac:dyDescent="0.3">
      <c r="A54" t="s">
        <v>113</v>
      </c>
      <c r="B54" s="1">
        <v>45733</v>
      </c>
      <c r="C54" t="s">
        <v>24</v>
      </c>
      <c r="D54" t="s">
        <v>43</v>
      </c>
      <c r="E54" t="s">
        <v>27</v>
      </c>
      <c r="F54" t="s">
        <v>79</v>
      </c>
      <c r="G54">
        <v>4</v>
      </c>
      <c r="H54">
        <v>990.47</v>
      </c>
      <c r="I54">
        <v>7.0000000000000007E-2</v>
      </c>
      <c r="J54">
        <v>3684.55</v>
      </c>
      <c r="K54">
        <f t="shared" si="0"/>
        <v>3961.88</v>
      </c>
      <c r="L54">
        <f t="shared" si="1"/>
        <v>277.32999999999993</v>
      </c>
      <c r="M54">
        <f t="shared" si="2"/>
        <v>3684.55</v>
      </c>
      <c r="N54" t="s">
        <v>41</v>
      </c>
      <c r="O54" t="s">
        <v>20</v>
      </c>
      <c r="P54" t="s">
        <v>30</v>
      </c>
      <c r="Q54" t="s">
        <v>22</v>
      </c>
    </row>
    <row r="55" spans="1:17" x14ac:dyDescent="0.3">
      <c r="A55" t="s">
        <v>114</v>
      </c>
      <c r="B55" s="1">
        <v>45678</v>
      </c>
      <c r="C55" t="s">
        <v>15</v>
      </c>
      <c r="D55" t="s">
        <v>39</v>
      </c>
      <c r="E55" t="s">
        <v>99</v>
      </c>
      <c r="F55" t="s">
        <v>115</v>
      </c>
      <c r="G55">
        <v>1</v>
      </c>
      <c r="H55">
        <v>2404.5</v>
      </c>
      <c r="I55">
        <v>0.19</v>
      </c>
      <c r="J55">
        <v>1947.65</v>
      </c>
      <c r="K55">
        <f t="shared" si="0"/>
        <v>2404.5</v>
      </c>
      <c r="L55">
        <f t="shared" si="1"/>
        <v>456.84999999999991</v>
      </c>
      <c r="M55">
        <f t="shared" si="2"/>
        <v>1947.65</v>
      </c>
      <c r="N55" t="s">
        <v>41</v>
      </c>
      <c r="O55" t="s">
        <v>34</v>
      </c>
      <c r="P55" t="s">
        <v>54</v>
      </c>
      <c r="Q55" t="s">
        <v>22</v>
      </c>
    </row>
    <row r="56" spans="1:17" x14ac:dyDescent="0.3">
      <c r="A56" t="s">
        <v>116</v>
      </c>
      <c r="B56" s="1">
        <v>45729</v>
      </c>
      <c r="C56" t="s">
        <v>24</v>
      </c>
      <c r="D56" t="s">
        <v>16</v>
      </c>
      <c r="E56" t="s">
        <v>17</v>
      </c>
      <c r="F56" t="s">
        <v>18</v>
      </c>
      <c r="G56">
        <v>1</v>
      </c>
      <c r="H56">
        <v>3144.54</v>
      </c>
      <c r="I56">
        <v>0.06</v>
      </c>
      <c r="J56">
        <v>2955.87</v>
      </c>
      <c r="K56">
        <f t="shared" si="0"/>
        <v>3144.54</v>
      </c>
      <c r="L56">
        <f t="shared" si="1"/>
        <v>188.67000000000007</v>
      </c>
      <c r="M56">
        <f t="shared" si="2"/>
        <v>2955.87</v>
      </c>
      <c r="N56" t="s">
        <v>19</v>
      </c>
      <c r="O56" t="s">
        <v>20</v>
      </c>
      <c r="P56" t="s">
        <v>30</v>
      </c>
      <c r="Q56" t="s">
        <v>22</v>
      </c>
    </row>
    <row r="57" spans="1:17" x14ac:dyDescent="0.3">
      <c r="A57" t="s">
        <v>117</v>
      </c>
      <c r="B57" s="1">
        <v>45824</v>
      </c>
      <c r="C57" t="s">
        <v>15</v>
      </c>
      <c r="D57" t="s">
        <v>43</v>
      </c>
      <c r="E57" t="s">
        <v>61</v>
      </c>
      <c r="F57" t="s">
        <v>92</v>
      </c>
      <c r="G57">
        <v>5</v>
      </c>
      <c r="H57">
        <v>3075.51</v>
      </c>
      <c r="I57">
        <v>0.19</v>
      </c>
      <c r="J57">
        <v>12455.82</v>
      </c>
      <c r="K57">
        <f t="shared" si="0"/>
        <v>15377.550000000001</v>
      </c>
      <c r="L57">
        <f t="shared" si="1"/>
        <v>2921.7300000000014</v>
      </c>
      <c r="M57">
        <f t="shared" si="2"/>
        <v>12455.82</v>
      </c>
      <c r="N57" t="s">
        <v>46</v>
      </c>
      <c r="O57" t="s">
        <v>20</v>
      </c>
      <c r="P57" t="s">
        <v>54</v>
      </c>
      <c r="Q57" t="s">
        <v>59</v>
      </c>
    </row>
    <row r="58" spans="1:17" x14ac:dyDescent="0.3">
      <c r="A58" t="s">
        <v>118</v>
      </c>
      <c r="B58" s="1">
        <v>45726</v>
      </c>
      <c r="C58" t="s">
        <v>15</v>
      </c>
      <c r="D58" t="s">
        <v>43</v>
      </c>
      <c r="E58" t="s">
        <v>17</v>
      </c>
      <c r="F58" t="s">
        <v>18</v>
      </c>
      <c r="G58">
        <v>4</v>
      </c>
      <c r="H58">
        <v>2043.61</v>
      </c>
      <c r="I58">
        <v>0.18</v>
      </c>
      <c r="J58">
        <v>6703.04</v>
      </c>
      <c r="K58">
        <f t="shared" si="0"/>
        <v>8174.44</v>
      </c>
      <c r="L58">
        <f t="shared" si="1"/>
        <v>1471.3999999999996</v>
      </c>
      <c r="M58">
        <f t="shared" si="2"/>
        <v>6703.04</v>
      </c>
      <c r="N58" t="s">
        <v>33</v>
      </c>
      <c r="O58" t="s">
        <v>29</v>
      </c>
      <c r="P58" t="s">
        <v>54</v>
      </c>
      <c r="Q58" t="s">
        <v>22</v>
      </c>
    </row>
    <row r="59" spans="1:17" x14ac:dyDescent="0.3">
      <c r="A59" t="s">
        <v>119</v>
      </c>
      <c r="B59" s="1">
        <v>45777</v>
      </c>
      <c r="C59" t="s">
        <v>36</v>
      </c>
      <c r="D59" t="s">
        <v>39</v>
      </c>
      <c r="E59" t="s">
        <v>99</v>
      </c>
      <c r="F59" t="s">
        <v>120</v>
      </c>
      <c r="G59">
        <v>5</v>
      </c>
      <c r="H59">
        <v>2199.0500000000002</v>
      </c>
      <c r="I59">
        <v>0.09</v>
      </c>
      <c r="J59">
        <v>10005.68</v>
      </c>
      <c r="K59">
        <f t="shared" si="0"/>
        <v>10995.25</v>
      </c>
      <c r="L59">
        <f t="shared" si="1"/>
        <v>989.56999999999971</v>
      </c>
      <c r="M59">
        <f t="shared" si="2"/>
        <v>10005.68</v>
      </c>
      <c r="N59" t="s">
        <v>58</v>
      </c>
      <c r="O59" t="s">
        <v>34</v>
      </c>
      <c r="P59" t="s">
        <v>21</v>
      </c>
      <c r="Q59" t="s">
        <v>22</v>
      </c>
    </row>
    <row r="60" spans="1:17" x14ac:dyDescent="0.3">
      <c r="A60" t="s">
        <v>121</v>
      </c>
      <c r="B60" s="1">
        <v>45711</v>
      </c>
      <c r="C60" t="s">
        <v>24</v>
      </c>
      <c r="D60" t="s">
        <v>39</v>
      </c>
      <c r="E60" t="s">
        <v>49</v>
      </c>
      <c r="F60" t="s">
        <v>50</v>
      </c>
      <c r="G60">
        <v>4</v>
      </c>
      <c r="H60">
        <v>3565.81</v>
      </c>
      <c r="I60">
        <v>0.11</v>
      </c>
      <c r="J60">
        <v>12694.28</v>
      </c>
      <c r="K60">
        <f t="shared" si="0"/>
        <v>14263.24</v>
      </c>
      <c r="L60">
        <f t="shared" si="1"/>
        <v>1568.9599999999991</v>
      </c>
      <c r="M60">
        <f t="shared" si="2"/>
        <v>12694.28</v>
      </c>
      <c r="N60" t="s">
        <v>41</v>
      </c>
      <c r="O60" t="s">
        <v>34</v>
      </c>
      <c r="P60" t="s">
        <v>21</v>
      </c>
      <c r="Q60" t="s">
        <v>22</v>
      </c>
    </row>
    <row r="61" spans="1:17" x14ac:dyDescent="0.3">
      <c r="A61" t="s">
        <v>122</v>
      </c>
      <c r="B61" s="1">
        <v>45816</v>
      </c>
      <c r="C61" t="s">
        <v>48</v>
      </c>
      <c r="D61" t="s">
        <v>39</v>
      </c>
      <c r="E61" t="s">
        <v>27</v>
      </c>
      <c r="F61" t="s">
        <v>87</v>
      </c>
      <c r="G61">
        <v>5</v>
      </c>
      <c r="H61">
        <v>1415.14</v>
      </c>
      <c r="I61">
        <v>0.21</v>
      </c>
      <c r="J61">
        <v>5589.8</v>
      </c>
      <c r="K61">
        <f t="shared" si="0"/>
        <v>7075.7000000000007</v>
      </c>
      <c r="L61">
        <f t="shared" si="1"/>
        <v>1485.9000000000005</v>
      </c>
      <c r="M61">
        <f t="shared" si="2"/>
        <v>5589.8</v>
      </c>
      <c r="N61" t="s">
        <v>41</v>
      </c>
      <c r="O61" t="s">
        <v>29</v>
      </c>
      <c r="P61" t="s">
        <v>54</v>
      </c>
      <c r="Q61" t="s">
        <v>37</v>
      </c>
    </row>
    <row r="62" spans="1:17" x14ac:dyDescent="0.3">
      <c r="A62" t="s">
        <v>123</v>
      </c>
      <c r="B62" s="1">
        <v>45668</v>
      </c>
      <c r="C62" t="s">
        <v>36</v>
      </c>
      <c r="D62" t="s">
        <v>43</v>
      </c>
      <c r="E62" t="s">
        <v>61</v>
      </c>
      <c r="F62" t="s">
        <v>92</v>
      </c>
      <c r="G62">
        <v>4</v>
      </c>
      <c r="H62">
        <v>1748.34</v>
      </c>
      <c r="I62">
        <v>0.12</v>
      </c>
      <c r="J62">
        <v>6154.16</v>
      </c>
      <c r="K62">
        <f t="shared" si="0"/>
        <v>6993.36</v>
      </c>
      <c r="L62">
        <f t="shared" si="1"/>
        <v>839.19999999999982</v>
      </c>
      <c r="M62">
        <f t="shared" si="2"/>
        <v>6154.16</v>
      </c>
      <c r="N62" t="s">
        <v>33</v>
      </c>
      <c r="O62" t="s">
        <v>29</v>
      </c>
      <c r="P62" t="s">
        <v>30</v>
      </c>
      <c r="Q62" t="s">
        <v>22</v>
      </c>
    </row>
    <row r="63" spans="1:17" x14ac:dyDescent="0.3">
      <c r="A63" t="s">
        <v>124</v>
      </c>
      <c r="B63" s="1">
        <v>45801</v>
      </c>
      <c r="C63" t="s">
        <v>15</v>
      </c>
      <c r="D63" t="s">
        <v>16</v>
      </c>
      <c r="E63" t="s">
        <v>99</v>
      </c>
      <c r="F63" t="s">
        <v>111</v>
      </c>
      <c r="G63">
        <v>3</v>
      </c>
      <c r="H63">
        <v>2823.38</v>
      </c>
      <c r="I63">
        <v>0.13</v>
      </c>
      <c r="J63">
        <v>7369.02</v>
      </c>
      <c r="K63">
        <f t="shared" si="0"/>
        <v>8470.14</v>
      </c>
      <c r="L63">
        <f t="shared" si="1"/>
        <v>1101.119999999999</v>
      </c>
      <c r="M63">
        <f t="shared" si="2"/>
        <v>7369.02</v>
      </c>
      <c r="N63" t="s">
        <v>46</v>
      </c>
      <c r="O63" t="s">
        <v>29</v>
      </c>
      <c r="P63" t="s">
        <v>54</v>
      </c>
      <c r="Q63" t="s">
        <v>22</v>
      </c>
    </row>
    <row r="64" spans="1:17" x14ac:dyDescent="0.3">
      <c r="A64" t="s">
        <v>125</v>
      </c>
      <c r="B64" s="1">
        <v>45749</v>
      </c>
      <c r="C64" t="s">
        <v>36</v>
      </c>
      <c r="D64" t="s">
        <v>16</v>
      </c>
      <c r="E64" t="s">
        <v>49</v>
      </c>
      <c r="F64" t="s">
        <v>50</v>
      </c>
      <c r="G64">
        <v>4</v>
      </c>
      <c r="H64">
        <v>3264.92</v>
      </c>
      <c r="I64">
        <v>0.12</v>
      </c>
      <c r="J64">
        <v>11492.52</v>
      </c>
      <c r="K64">
        <f t="shared" si="0"/>
        <v>13059.68</v>
      </c>
      <c r="L64">
        <f t="shared" si="1"/>
        <v>1567.1599999999999</v>
      </c>
      <c r="M64">
        <f t="shared" si="2"/>
        <v>11492.52</v>
      </c>
      <c r="N64" t="s">
        <v>19</v>
      </c>
      <c r="O64" t="s">
        <v>29</v>
      </c>
      <c r="P64" t="s">
        <v>54</v>
      </c>
      <c r="Q64" t="s">
        <v>22</v>
      </c>
    </row>
    <row r="65" spans="1:17" x14ac:dyDescent="0.3">
      <c r="A65" t="s">
        <v>126</v>
      </c>
      <c r="B65" s="1">
        <v>45764</v>
      </c>
      <c r="C65" t="s">
        <v>15</v>
      </c>
      <c r="D65" t="s">
        <v>39</v>
      </c>
      <c r="E65" t="s">
        <v>49</v>
      </c>
      <c r="F65" t="s">
        <v>73</v>
      </c>
      <c r="G65">
        <v>4</v>
      </c>
      <c r="H65">
        <v>2812.02</v>
      </c>
      <c r="I65">
        <v>0.09</v>
      </c>
      <c r="J65">
        <v>10235.75</v>
      </c>
      <c r="K65">
        <f t="shared" si="0"/>
        <v>11248.08</v>
      </c>
      <c r="L65">
        <f t="shared" si="1"/>
        <v>1012.3299999999999</v>
      </c>
      <c r="M65">
        <f t="shared" si="2"/>
        <v>10235.75</v>
      </c>
      <c r="N65" t="s">
        <v>33</v>
      </c>
      <c r="O65" t="s">
        <v>34</v>
      </c>
      <c r="P65" t="s">
        <v>21</v>
      </c>
      <c r="Q65" t="s">
        <v>22</v>
      </c>
    </row>
    <row r="66" spans="1:17" x14ac:dyDescent="0.3">
      <c r="A66" t="s">
        <v>127</v>
      </c>
      <c r="B66" s="1">
        <v>45684</v>
      </c>
      <c r="C66" t="s">
        <v>15</v>
      </c>
      <c r="D66" t="s">
        <v>43</v>
      </c>
      <c r="E66" t="s">
        <v>49</v>
      </c>
      <c r="F66" t="s">
        <v>53</v>
      </c>
      <c r="G66">
        <v>1</v>
      </c>
      <c r="H66">
        <v>3634.29</v>
      </c>
      <c r="I66">
        <v>0.08</v>
      </c>
      <c r="J66">
        <v>3343.55</v>
      </c>
      <c r="K66">
        <f t="shared" si="0"/>
        <v>3634.29</v>
      </c>
      <c r="L66">
        <f t="shared" si="1"/>
        <v>290.73999999999978</v>
      </c>
      <c r="M66">
        <f t="shared" si="2"/>
        <v>3343.55</v>
      </c>
      <c r="N66" t="s">
        <v>46</v>
      </c>
      <c r="O66" t="s">
        <v>20</v>
      </c>
      <c r="P66" t="s">
        <v>21</v>
      </c>
      <c r="Q66" t="s">
        <v>22</v>
      </c>
    </row>
    <row r="67" spans="1:17" x14ac:dyDescent="0.3">
      <c r="A67" t="s">
        <v>128</v>
      </c>
      <c r="B67" s="1">
        <v>45839</v>
      </c>
      <c r="C67" t="s">
        <v>36</v>
      </c>
      <c r="D67" t="s">
        <v>43</v>
      </c>
      <c r="E67" t="s">
        <v>49</v>
      </c>
      <c r="F67" t="s">
        <v>53</v>
      </c>
      <c r="G67">
        <v>3</v>
      </c>
      <c r="H67">
        <v>4904.5</v>
      </c>
      <c r="I67">
        <v>0.21</v>
      </c>
      <c r="J67">
        <v>11623.67</v>
      </c>
      <c r="K67">
        <f t="shared" ref="K67:K130" si="3">G67*H67</f>
        <v>14713.5</v>
      </c>
      <c r="L67">
        <f t="shared" ref="L67:L130" si="4">K67-J67</f>
        <v>3089.83</v>
      </c>
      <c r="M67">
        <f t="shared" ref="M67:M130" si="5">K67-L67</f>
        <v>11623.67</v>
      </c>
      <c r="N67" t="s">
        <v>33</v>
      </c>
      <c r="O67" t="s">
        <v>29</v>
      </c>
      <c r="P67" t="s">
        <v>30</v>
      </c>
      <c r="Q67" t="s">
        <v>22</v>
      </c>
    </row>
    <row r="68" spans="1:17" x14ac:dyDescent="0.3">
      <c r="A68" t="s">
        <v>129</v>
      </c>
      <c r="B68" s="1">
        <v>45733</v>
      </c>
      <c r="C68" t="s">
        <v>36</v>
      </c>
      <c r="D68" t="s">
        <v>43</v>
      </c>
      <c r="E68" t="s">
        <v>99</v>
      </c>
      <c r="F68" t="s">
        <v>120</v>
      </c>
      <c r="G68">
        <v>1</v>
      </c>
      <c r="H68">
        <v>4874.05</v>
      </c>
      <c r="I68">
        <v>0.14000000000000001</v>
      </c>
      <c r="J68">
        <v>4191.68</v>
      </c>
      <c r="K68">
        <f t="shared" si="3"/>
        <v>4874.05</v>
      </c>
      <c r="L68">
        <f t="shared" si="4"/>
        <v>682.36999999999989</v>
      </c>
      <c r="M68">
        <f t="shared" si="5"/>
        <v>4191.68</v>
      </c>
      <c r="N68" t="s">
        <v>19</v>
      </c>
      <c r="O68" t="s">
        <v>34</v>
      </c>
      <c r="P68" t="s">
        <v>21</v>
      </c>
      <c r="Q68" t="s">
        <v>22</v>
      </c>
    </row>
    <row r="69" spans="1:17" x14ac:dyDescent="0.3">
      <c r="A69" t="s">
        <v>130</v>
      </c>
      <c r="B69" s="1">
        <v>45675</v>
      </c>
      <c r="C69" t="s">
        <v>24</v>
      </c>
      <c r="D69" t="s">
        <v>39</v>
      </c>
      <c r="E69" t="s">
        <v>49</v>
      </c>
      <c r="F69" t="s">
        <v>56</v>
      </c>
      <c r="G69">
        <v>4</v>
      </c>
      <c r="H69">
        <v>2445.6999999999998</v>
      </c>
      <c r="I69">
        <v>0.09</v>
      </c>
      <c r="J69">
        <v>8902.35</v>
      </c>
      <c r="K69">
        <f t="shared" si="3"/>
        <v>9782.7999999999993</v>
      </c>
      <c r="L69">
        <f t="shared" si="4"/>
        <v>880.44999999999891</v>
      </c>
      <c r="M69">
        <f t="shared" si="5"/>
        <v>8902.35</v>
      </c>
      <c r="N69" t="s">
        <v>33</v>
      </c>
      <c r="O69" t="s">
        <v>34</v>
      </c>
      <c r="P69" t="s">
        <v>54</v>
      </c>
      <c r="Q69" t="s">
        <v>37</v>
      </c>
    </row>
    <row r="70" spans="1:17" x14ac:dyDescent="0.3">
      <c r="A70" t="s">
        <v>131</v>
      </c>
      <c r="B70" s="1">
        <v>45767</v>
      </c>
      <c r="C70" t="s">
        <v>24</v>
      </c>
      <c r="D70" t="s">
        <v>43</v>
      </c>
      <c r="E70" t="s">
        <v>49</v>
      </c>
      <c r="F70" t="s">
        <v>56</v>
      </c>
      <c r="G70">
        <v>1</v>
      </c>
      <c r="H70">
        <v>2927.4</v>
      </c>
      <c r="I70">
        <v>0.17</v>
      </c>
      <c r="J70">
        <v>2429.7399999999998</v>
      </c>
      <c r="K70">
        <f t="shared" si="3"/>
        <v>2927.4</v>
      </c>
      <c r="L70">
        <f t="shared" si="4"/>
        <v>497.66000000000031</v>
      </c>
      <c r="M70">
        <f t="shared" si="5"/>
        <v>2429.7399999999998</v>
      </c>
      <c r="N70" t="s">
        <v>41</v>
      </c>
      <c r="O70" t="s">
        <v>34</v>
      </c>
      <c r="P70" t="s">
        <v>54</v>
      </c>
      <c r="Q70" t="s">
        <v>88</v>
      </c>
    </row>
    <row r="71" spans="1:17" x14ac:dyDescent="0.3">
      <c r="A71" t="s">
        <v>132</v>
      </c>
      <c r="B71" s="1">
        <v>45716</v>
      </c>
      <c r="C71" t="s">
        <v>52</v>
      </c>
      <c r="D71" t="s">
        <v>25</v>
      </c>
      <c r="E71" t="s">
        <v>99</v>
      </c>
      <c r="F71" t="s">
        <v>120</v>
      </c>
      <c r="G71">
        <v>4</v>
      </c>
      <c r="H71">
        <v>3070.96</v>
      </c>
      <c r="I71">
        <v>0.2</v>
      </c>
      <c r="J71">
        <v>9827.07</v>
      </c>
      <c r="K71">
        <f t="shared" si="3"/>
        <v>12283.84</v>
      </c>
      <c r="L71">
        <f t="shared" si="4"/>
        <v>2456.7700000000004</v>
      </c>
      <c r="M71">
        <f t="shared" si="5"/>
        <v>9827.07</v>
      </c>
      <c r="N71" t="s">
        <v>58</v>
      </c>
      <c r="O71" t="s">
        <v>29</v>
      </c>
      <c r="P71" t="s">
        <v>54</v>
      </c>
      <c r="Q71" t="s">
        <v>22</v>
      </c>
    </row>
    <row r="72" spans="1:17" x14ac:dyDescent="0.3">
      <c r="A72" t="s">
        <v>133</v>
      </c>
      <c r="B72" s="1">
        <v>45821</v>
      </c>
      <c r="C72" t="s">
        <v>36</v>
      </c>
      <c r="D72" t="s">
        <v>16</v>
      </c>
      <c r="E72" t="s">
        <v>49</v>
      </c>
      <c r="F72" t="s">
        <v>53</v>
      </c>
      <c r="G72">
        <v>5</v>
      </c>
      <c r="H72">
        <v>3143.03</v>
      </c>
      <c r="I72">
        <v>0.15</v>
      </c>
      <c r="J72">
        <v>13357.88</v>
      </c>
      <c r="K72">
        <f t="shared" si="3"/>
        <v>15715.150000000001</v>
      </c>
      <c r="L72">
        <f t="shared" si="4"/>
        <v>2357.2700000000023</v>
      </c>
      <c r="M72">
        <f t="shared" si="5"/>
        <v>13357.88</v>
      </c>
      <c r="N72" t="s">
        <v>41</v>
      </c>
      <c r="O72" t="s">
        <v>34</v>
      </c>
      <c r="P72" t="s">
        <v>21</v>
      </c>
      <c r="Q72" t="s">
        <v>37</v>
      </c>
    </row>
    <row r="73" spans="1:17" x14ac:dyDescent="0.3">
      <c r="A73" t="s">
        <v>134</v>
      </c>
      <c r="B73" s="1">
        <v>45782</v>
      </c>
      <c r="C73" t="s">
        <v>15</v>
      </c>
      <c r="D73" t="s">
        <v>25</v>
      </c>
      <c r="E73" t="s">
        <v>61</v>
      </c>
      <c r="F73" t="s">
        <v>75</v>
      </c>
      <c r="G73">
        <v>2</v>
      </c>
      <c r="H73">
        <v>951.69</v>
      </c>
      <c r="I73">
        <v>0.02</v>
      </c>
      <c r="J73">
        <v>1865.31</v>
      </c>
      <c r="K73">
        <f t="shared" si="3"/>
        <v>1903.38</v>
      </c>
      <c r="L73">
        <f t="shared" si="4"/>
        <v>38.070000000000164</v>
      </c>
      <c r="M73">
        <f t="shared" si="5"/>
        <v>1865.31</v>
      </c>
      <c r="N73" t="s">
        <v>58</v>
      </c>
      <c r="O73" t="s">
        <v>20</v>
      </c>
      <c r="P73" t="s">
        <v>54</v>
      </c>
      <c r="Q73" t="s">
        <v>22</v>
      </c>
    </row>
    <row r="74" spans="1:17" x14ac:dyDescent="0.3">
      <c r="A74" t="s">
        <v>135</v>
      </c>
      <c r="B74" s="1">
        <v>45780</v>
      </c>
      <c r="C74" t="s">
        <v>15</v>
      </c>
      <c r="D74" t="s">
        <v>16</v>
      </c>
      <c r="E74" t="s">
        <v>27</v>
      </c>
      <c r="F74" t="s">
        <v>87</v>
      </c>
      <c r="G74">
        <v>3</v>
      </c>
      <c r="H74">
        <v>3564.08</v>
      </c>
      <c r="I74">
        <v>0.18</v>
      </c>
      <c r="J74">
        <v>8767.64</v>
      </c>
      <c r="K74">
        <f t="shared" si="3"/>
        <v>10692.24</v>
      </c>
      <c r="L74">
        <f t="shared" si="4"/>
        <v>1924.6000000000004</v>
      </c>
      <c r="M74">
        <f t="shared" si="5"/>
        <v>8767.64</v>
      </c>
      <c r="N74" t="s">
        <v>58</v>
      </c>
      <c r="O74" t="s">
        <v>20</v>
      </c>
      <c r="P74" t="s">
        <v>30</v>
      </c>
      <c r="Q74" t="s">
        <v>22</v>
      </c>
    </row>
    <row r="75" spans="1:17" x14ac:dyDescent="0.3">
      <c r="A75" t="s">
        <v>136</v>
      </c>
      <c r="B75" s="1">
        <v>45831</v>
      </c>
      <c r="C75" t="s">
        <v>48</v>
      </c>
      <c r="D75" t="s">
        <v>16</v>
      </c>
      <c r="E75" t="s">
        <v>99</v>
      </c>
      <c r="F75" t="s">
        <v>100</v>
      </c>
      <c r="G75">
        <v>2</v>
      </c>
      <c r="H75">
        <v>3273.41</v>
      </c>
      <c r="I75">
        <v>0.23</v>
      </c>
      <c r="J75">
        <v>5041.05</v>
      </c>
      <c r="K75">
        <f t="shared" si="3"/>
        <v>6546.82</v>
      </c>
      <c r="L75">
        <f t="shared" si="4"/>
        <v>1505.7699999999995</v>
      </c>
      <c r="M75">
        <f t="shared" si="5"/>
        <v>5041.05</v>
      </c>
      <c r="N75" t="s">
        <v>58</v>
      </c>
      <c r="O75" t="s">
        <v>29</v>
      </c>
      <c r="P75" t="s">
        <v>54</v>
      </c>
      <c r="Q75" t="s">
        <v>22</v>
      </c>
    </row>
    <row r="76" spans="1:17" x14ac:dyDescent="0.3">
      <c r="A76" t="s">
        <v>137</v>
      </c>
      <c r="B76" s="1">
        <v>45827</v>
      </c>
      <c r="C76" t="s">
        <v>48</v>
      </c>
      <c r="D76" t="s">
        <v>25</v>
      </c>
      <c r="E76" t="s">
        <v>99</v>
      </c>
      <c r="F76" t="s">
        <v>111</v>
      </c>
      <c r="G76">
        <v>3</v>
      </c>
      <c r="H76">
        <v>3528.7</v>
      </c>
      <c r="I76">
        <v>0.24</v>
      </c>
      <c r="J76">
        <v>8045.44</v>
      </c>
      <c r="K76">
        <f t="shared" si="3"/>
        <v>10586.099999999999</v>
      </c>
      <c r="L76">
        <f t="shared" si="4"/>
        <v>2540.6599999999989</v>
      </c>
      <c r="M76">
        <f t="shared" si="5"/>
        <v>8045.44</v>
      </c>
      <c r="N76" t="s">
        <v>58</v>
      </c>
      <c r="O76" t="s">
        <v>34</v>
      </c>
      <c r="P76" t="s">
        <v>21</v>
      </c>
      <c r="Q76" t="s">
        <v>22</v>
      </c>
    </row>
    <row r="77" spans="1:17" x14ac:dyDescent="0.3">
      <c r="A77" t="s">
        <v>138</v>
      </c>
      <c r="B77" s="1">
        <v>45730</v>
      </c>
      <c r="C77" t="s">
        <v>48</v>
      </c>
      <c r="D77" t="s">
        <v>16</v>
      </c>
      <c r="E77" t="s">
        <v>27</v>
      </c>
      <c r="F77" t="s">
        <v>79</v>
      </c>
      <c r="G77">
        <v>3</v>
      </c>
      <c r="H77">
        <v>226.74</v>
      </c>
      <c r="I77">
        <v>0.06</v>
      </c>
      <c r="J77">
        <v>639.41</v>
      </c>
      <c r="K77">
        <f t="shared" si="3"/>
        <v>680.22</v>
      </c>
      <c r="L77">
        <f t="shared" si="4"/>
        <v>40.810000000000059</v>
      </c>
      <c r="M77">
        <f t="shared" si="5"/>
        <v>639.41</v>
      </c>
      <c r="N77" t="s">
        <v>46</v>
      </c>
      <c r="O77" t="s">
        <v>29</v>
      </c>
      <c r="P77" t="s">
        <v>21</v>
      </c>
      <c r="Q77" t="s">
        <v>59</v>
      </c>
    </row>
    <row r="78" spans="1:17" x14ac:dyDescent="0.3">
      <c r="A78" t="s">
        <v>139</v>
      </c>
      <c r="B78" s="1">
        <v>45772</v>
      </c>
      <c r="C78" t="s">
        <v>52</v>
      </c>
      <c r="D78" t="s">
        <v>25</v>
      </c>
      <c r="E78" t="s">
        <v>99</v>
      </c>
      <c r="F78" t="s">
        <v>120</v>
      </c>
      <c r="G78">
        <v>4</v>
      </c>
      <c r="H78">
        <v>4588.76</v>
      </c>
      <c r="I78">
        <v>0.05</v>
      </c>
      <c r="J78">
        <v>17437.29</v>
      </c>
      <c r="K78">
        <f t="shared" si="3"/>
        <v>18355.04</v>
      </c>
      <c r="L78">
        <f t="shared" si="4"/>
        <v>917.75</v>
      </c>
      <c r="M78">
        <f t="shared" si="5"/>
        <v>17437.29</v>
      </c>
      <c r="N78" t="s">
        <v>41</v>
      </c>
      <c r="O78" t="s">
        <v>29</v>
      </c>
      <c r="P78" t="s">
        <v>21</v>
      </c>
      <c r="Q78" t="s">
        <v>22</v>
      </c>
    </row>
    <row r="79" spans="1:17" x14ac:dyDescent="0.3">
      <c r="A79" t="s">
        <v>140</v>
      </c>
      <c r="B79" s="1">
        <v>45697</v>
      </c>
      <c r="C79" t="s">
        <v>48</v>
      </c>
      <c r="D79" t="s">
        <v>39</v>
      </c>
      <c r="E79" t="s">
        <v>49</v>
      </c>
      <c r="F79" t="s">
        <v>56</v>
      </c>
      <c r="G79">
        <v>3</v>
      </c>
      <c r="H79">
        <v>1673.19</v>
      </c>
      <c r="I79">
        <v>0.03</v>
      </c>
      <c r="J79">
        <v>4868.9799999999996</v>
      </c>
      <c r="K79">
        <f t="shared" si="3"/>
        <v>5019.57</v>
      </c>
      <c r="L79">
        <f t="shared" si="4"/>
        <v>150.59000000000015</v>
      </c>
      <c r="M79">
        <f t="shared" si="5"/>
        <v>4868.9799999999996</v>
      </c>
      <c r="N79" t="s">
        <v>46</v>
      </c>
      <c r="O79" t="s">
        <v>34</v>
      </c>
      <c r="P79" t="s">
        <v>54</v>
      </c>
      <c r="Q79" t="s">
        <v>22</v>
      </c>
    </row>
    <row r="80" spans="1:17" x14ac:dyDescent="0.3">
      <c r="A80" t="s">
        <v>141</v>
      </c>
      <c r="B80" s="1">
        <v>45796</v>
      </c>
      <c r="C80" t="s">
        <v>48</v>
      </c>
      <c r="D80" t="s">
        <v>25</v>
      </c>
      <c r="E80" t="s">
        <v>49</v>
      </c>
      <c r="F80" t="s">
        <v>53</v>
      </c>
      <c r="G80">
        <v>4</v>
      </c>
      <c r="H80">
        <v>531.49</v>
      </c>
      <c r="I80">
        <v>0.06</v>
      </c>
      <c r="J80">
        <v>1998.4</v>
      </c>
      <c r="K80">
        <f t="shared" si="3"/>
        <v>2125.96</v>
      </c>
      <c r="L80">
        <f t="shared" si="4"/>
        <v>127.55999999999995</v>
      </c>
      <c r="M80">
        <f t="shared" si="5"/>
        <v>1998.4</v>
      </c>
      <c r="N80" t="s">
        <v>33</v>
      </c>
      <c r="O80" t="s">
        <v>20</v>
      </c>
      <c r="P80" t="s">
        <v>54</v>
      </c>
      <c r="Q80" t="s">
        <v>37</v>
      </c>
    </row>
    <row r="81" spans="1:17" x14ac:dyDescent="0.3">
      <c r="A81" t="s">
        <v>142</v>
      </c>
      <c r="B81" s="1">
        <v>45673</v>
      </c>
      <c r="C81" t="s">
        <v>48</v>
      </c>
      <c r="D81" t="s">
        <v>25</v>
      </c>
      <c r="E81" t="s">
        <v>17</v>
      </c>
      <c r="F81" t="s">
        <v>40</v>
      </c>
      <c r="G81">
        <v>5</v>
      </c>
      <c r="H81">
        <v>1872.72</v>
      </c>
      <c r="I81">
        <v>0.19</v>
      </c>
      <c r="J81">
        <v>7584.52</v>
      </c>
      <c r="K81">
        <f t="shared" si="3"/>
        <v>9363.6</v>
      </c>
      <c r="L81">
        <f t="shared" si="4"/>
        <v>1779.08</v>
      </c>
      <c r="M81">
        <f t="shared" si="5"/>
        <v>7584.52</v>
      </c>
      <c r="N81" t="s">
        <v>58</v>
      </c>
      <c r="O81" t="s">
        <v>20</v>
      </c>
      <c r="P81" t="s">
        <v>21</v>
      </c>
      <c r="Q81" t="s">
        <v>88</v>
      </c>
    </row>
    <row r="82" spans="1:17" x14ac:dyDescent="0.3">
      <c r="A82" t="s">
        <v>143</v>
      </c>
      <c r="B82" s="1">
        <v>45668</v>
      </c>
      <c r="C82" t="s">
        <v>36</v>
      </c>
      <c r="D82" t="s">
        <v>43</v>
      </c>
      <c r="E82" t="s">
        <v>61</v>
      </c>
      <c r="F82" t="s">
        <v>66</v>
      </c>
      <c r="G82">
        <v>4</v>
      </c>
      <c r="H82">
        <v>4416.1499999999996</v>
      </c>
      <c r="I82">
        <v>0.12</v>
      </c>
      <c r="J82">
        <v>15544.85</v>
      </c>
      <c r="K82">
        <f t="shared" si="3"/>
        <v>17664.599999999999</v>
      </c>
      <c r="L82">
        <f t="shared" si="4"/>
        <v>2119.7499999999982</v>
      </c>
      <c r="M82">
        <f t="shared" si="5"/>
        <v>15544.85</v>
      </c>
      <c r="N82" t="s">
        <v>19</v>
      </c>
      <c r="O82" t="s">
        <v>34</v>
      </c>
      <c r="P82" t="s">
        <v>54</v>
      </c>
      <c r="Q82" t="s">
        <v>22</v>
      </c>
    </row>
    <row r="83" spans="1:17" x14ac:dyDescent="0.3">
      <c r="A83" t="s">
        <v>144</v>
      </c>
      <c r="B83" s="1">
        <v>45788</v>
      </c>
      <c r="C83" t="s">
        <v>36</v>
      </c>
      <c r="D83" t="s">
        <v>16</v>
      </c>
      <c r="E83" t="s">
        <v>99</v>
      </c>
      <c r="F83" t="s">
        <v>120</v>
      </c>
      <c r="G83">
        <v>2</v>
      </c>
      <c r="H83">
        <v>4962.0600000000004</v>
      </c>
      <c r="I83">
        <v>0.23</v>
      </c>
      <c r="J83">
        <v>7641.57</v>
      </c>
      <c r="K83">
        <f t="shared" si="3"/>
        <v>9924.1200000000008</v>
      </c>
      <c r="L83">
        <f t="shared" si="4"/>
        <v>2282.5500000000011</v>
      </c>
      <c r="M83">
        <f t="shared" si="5"/>
        <v>7641.57</v>
      </c>
      <c r="N83" t="s">
        <v>41</v>
      </c>
      <c r="O83" t="s">
        <v>20</v>
      </c>
      <c r="P83" t="s">
        <v>30</v>
      </c>
      <c r="Q83" t="s">
        <v>22</v>
      </c>
    </row>
    <row r="84" spans="1:17" x14ac:dyDescent="0.3">
      <c r="A84" t="s">
        <v>145</v>
      </c>
      <c r="B84" s="1">
        <v>45704</v>
      </c>
      <c r="C84" t="s">
        <v>15</v>
      </c>
      <c r="D84" t="s">
        <v>43</v>
      </c>
      <c r="E84" t="s">
        <v>61</v>
      </c>
      <c r="F84" t="s">
        <v>92</v>
      </c>
      <c r="G84">
        <v>3</v>
      </c>
      <c r="H84">
        <v>2135.9</v>
      </c>
      <c r="I84">
        <v>0.12</v>
      </c>
      <c r="J84">
        <v>5638.78</v>
      </c>
      <c r="K84">
        <f t="shared" si="3"/>
        <v>6407.7000000000007</v>
      </c>
      <c r="L84">
        <f t="shared" si="4"/>
        <v>768.92000000000098</v>
      </c>
      <c r="M84">
        <f t="shared" si="5"/>
        <v>5638.78</v>
      </c>
      <c r="N84" t="s">
        <v>33</v>
      </c>
      <c r="O84" t="s">
        <v>29</v>
      </c>
      <c r="P84" t="s">
        <v>30</v>
      </c>
      <c r="Q84" t="s">
        <v>22</v>
      </c>
    </row>
    <row r="85" spans="1:17" x14ac:dyDescent="0.3">
      <c r="A85" t="s">
        <v>146</v>
      </c>
      <c r="B85" s="1">
        <v>45810</v>
      </c>
      <c r="C85" t="s">
        <v>52</v>
      </c>
      <c r="D85" t="s">
        <v>39</v>
      </c>
      <c r="E85" t="s">
        <v>61</v>
      </c>
      <c r="F85" t="s">
        <v>92</v>
      </c>
      <c r="G85">
        <v>2</v>
      </c>
      <c r="H85">
        <v>4333.7299999999996</v>
      </c>
      <c r="I85">
        <v>7.0000000000000007E-2</v>
      </c>
      <c r="J85">
        <v>8060.74</v>
      </c>
      <c r="K85">
        <f t="shared" si="3"/>
        <v>8667.4599999999991</v>
      </c>
      <c r="L85">
        <f t="shared" si="4"/>
        <v>606.71999999999935</v>
      </c>
      <c r="M85">
        <f t="shared" si="5"/>
        <v>8060.74</v>
      </c>
      <c r="N85" t="s">
        <v>33</v>
      </c>
      <c r="O85" t="s">
        <v>29</v>
      </c>
      <c r="P85" t="s">
        <v>30</v>
      </c>
      <c r="Q85" t="s">
        <v>37</v>
      </c>
    </row>
    <row r="86" spans="1:17" x14ac:dyDescent="0.3">
      <c r="A86" t="s">
        <v>147</v>
      </c>
      <c r="B86" s="1">
        <v>45716</v>
      </c>
      <c r="C86" t="s">
        <v>24</v>
      </c>
      <c r="D86" t="s">
        <v>25</v>
      </c>
      <c r="E86" t="s">
        <v>27</v>
      </c>
      <c r="F86" t="s">
        <v>28</v>
      </c>
      <c r="G86">
        <v>3</v>
      </c>
      <c r="H86">
        <v>4203.63</v>
      </c>
      <c r="I86">
        <v>0.14000000000000001</v>
      </c>
      <c r="J86">
        <v>10845.37</v>
      </c>
      <c r="K86">
        <f t="shared" si="3"/>
        <v>12610.89</v>
      </c>
      <c r="L86">
        <f t="shared" si="4"/>
        <v>1765.5199999999986</v>
      </c>
      <c r="M86">
        <f t="shared" si="5"/>
        <v>10845.37</v>
      </c>
      <c r="N86" t="s">
        <v>46</v>
      </c>
      <c r="O86" t="s">
        <v>29</v>
      </c>
      <c r="P86" t="s">
        <v>21</v>
      </c>
      <c r="Q86" t="s">
        <v>37</v>
      </c>
    </row>
    <row r="87" spans="1:17" x14ac:dyDescent="0.3">
      <c r="A87" t="s">
        <v>148</v>
      </c>
      <c r="B87" s="1">
        <v>45675</v>
      </c>
      <c r="C87" t="s">
        <v>15</v>
      </c>
      <c r="D87" t="s">
        <v>43</v>
      </c>
      <c r="E87" t="s">
        <v>49</v>
      </c>
      <c r="F87" t="s">
        <v>50</v>
      </c>
      <c r="G87">
        <v>5</v>
      </c>
      <c r="H87">
        <v>1948.33</v>
      </c>
      <c r="I87">
        <v>0.23</v>
      </c>
      <c r="J87">
        <v>7501.07</v>
      </c>
      <c r="K87">
        <f t="shared" si="3"/>
        <v>9741.65</v>
      </c>
      <c r="L87">
        <f t="shared" si="4"/>
        <v>2240.58</v>
      </c>
      <c r="M87">
        <f t="shared" si="5"/>
        <v>7501.07</v>
      </c>
      <c r="N87" t="s">
        <v>46</v>
      </c>
      <c r="O87" t="s">
        <v>29</v>
      </c>
      <c r="P87" t="s">
        <v>54</v>
      </c>
      <c r="Q87" t="s">
        <v>22</v>
      </c>
    </row>
    <row r="88" spans="1:17" x14ac:dyDescent="0.3">
      <c r="A88" t="s">
        <v>149</v>
      </c>
      <c r="B88" s="1">
        <v>45826</v>
      </c>
      <c r="C88" t="s">
        <v>24</v>
      </c>
      <c r="D88" t="s">
        <v>43</v>
      </c>
      <c r="E88" t="s">
        <v>61</v>
      </c>
      <c r="F88" t="s">
        <v>92</v>
      </c>
      <c r="G88">
        <v>4</v>
      </c>
      <c r="H88">
        <v>3555.62</v>
      </c>
      <c r="I88">
        <v>0.2</v>
      </c>
      <c r="J88">
        <v>11377.98</v>
      </c>
      <c r="K88">
        <f t="shared" si="3"/>
        <v>14222.48</v>
      </c>
      <c r="L88">
        <f t="shared" si="4"/>
        <v>2844.5</v>
      </c>
      <c r="M88">
        <f t="shared" si="5"/>
        <v>11377.98</v>
      </c>
      <c r="N88" t="s">
        <v>46</v>
      </c>
      <c r="O88" t="s">
        <v>29</v>
      </c>
      <c r="P88" t="s">
        <v>30</v>
      </c>
      <c r="Q88" t="s">
        <v>22</v>
      </c>
    </row>
    <row r="89" spans="1:17" x14ac:dyDescent="0.3">
      <c r="A89" t="s">
        <v>150</v>
      </c>
      <c r="B89" s="1">
        <v>45705</v>
      </c>
      <c r="C89" t="s">
        <v>36</v>
      </c>
      <c r="D89" t="s">
        <v>25</v>
      </c>
      <c r="E89" t="s">
        <v>17</v>
      </c>
      <c r="F89" t="s">
        <v>44</v>
      </c>
      <c r="G89">
        <v>1</v>
      </c>
      <c r="H89">
        <v>4383.53</v>
      </c>
      <c r="I89">
        <v>0.11</v>
      </c>
      <c r="J89">
        <v>3901.34</v>
      </c>
      <c r="K89">
        <f t="shared" si="3"/>
        <v>4383.53</v>
      </c>
      <c r="L89">
        <f t="shared" si="4"/>
        <v>482.1899999999996</v>
      </c>
      <c r="M89">
        <f t="shared" si="5"/>
        <v>3901.34</v>
      </c>
      <c r="N89" t="s">
        <v>33</v>
      </c>
      <c r="O89" t="s">
        <v>34</v>
      </c>
      <c r="P89" t="s">
        <v>21</v>
      </c>
      <c r="Q89" t="s">
        <v>22</v>
      </c>
    </row>
    <row r="90" spans="1:17" x14ac:dyDescent="0.3">
      <c r="A90" t="s">
        <v>151</v>
      </c>
      <c r="B90" s="1">
        <v>45828</v>
      </c>
      <c r="C90" t="s">
        <v>52</v>
      </c>
      <c r="D90" t="s">
        <v>16</v>
      </c>
      <c r="E90" t="s">
        <v>61</v>
      </c>
      <c r="F90" t="s">
        <v>92</v>
      </c>
      <c r="G90">
        <v>3</v>
      </c>
      <c r="H90">
        <v>1758.95</v>
      </c>
      <c r="I90">
        <v>0.17</v>
      </c>
      <c r="J90">
        <v>4379.79</v>
      </c>
      <c r="K90">
        <f t="shared" si="3"/>
        <v>5276.85</v>
      </c>
      <c r="L90">
        <f t="shared" si="4"/>
        <v>897.0600000000004</v>
      </c>
      <c r="M90">
        <f t="shared" si="5"/>
        <v>4379.79</v>
      </c>
      <c r="N90" t="s">
        <v>58</v>
      </c>
      <c r="O90" t="s">
        <v>34</v>
      </c>
      <c r="P90" t="s">
        <v>21</v>
      </c>
      <c r="Q90" t="s">
        <v>37</v>
      </c>
    </row>
    <row r="91" spans="1:17" x14ac:dyDescent="0.3">
      <c r="A91" t="s">
        <v>152</v>
      </c>
      <c r="B91" s="1">
        <v>45679</v>
      </c>
      <c r="C91" t="s">
        <v>15</v>
      </c>
      <c r="D91" t="s">
        <v>39</v>
      </c>
      <c r="E91" t="s">
        <v>27</v>
      </c>
      <c r="F91" t="s">
        <v>87</v>
      </c>
      <c r="G91">
        <v>1</v>
      </c>
      <c r="H91">
        <v>3125.55</v>
      </c>
      <c r="I91">
        <v>0.06</v>
      </c>
      <c r="J91">
        <v>2938.02</v>
      </c>
      <c r="K91">
        <f t="shared" si="3"/>
        <v>3125.55</v>
      </c>
      <c r="L91">
        <f t="shared" si="4"/>
        <v>187.5300000000002</v>
      </c>
      <c r="M91">
        <f t="shared" si="5"/>
        <v>2938.02</v>
      </c>
      <c r="N91" t="s">
        <v>41</v>
      </c>
      <c r="O91" t="s">
        <v>29</v>
      </c>
      <c r="P91" t="s">
        <v>21</v>
      </c>
      <c r="Q91" t="s">
        <v>59</v>
      </c>
    </row>
    <row r="92" spans="1:17" x14ac:dyDescent="0.3">
      <c r="A92" t="s">
        <v>153</v>
      </c>
      <c r="B92" s="1">
        <v>45733</v>
      </c>
      <c r="C92" t="s">
        <v>24</v>
      </c>
      <c r="D92" t="s">
        <v>39</v>
      </c>
      <c r="E92" t="s">
        <v>17</v>
      </c>
      <c r="F92" t="s">
        <v>40</v>
      </c>
      <c r="G92">
        <v>2</v>
      </c>
      <c r="H92">
        <v>3500.61</v>
      </c>
      <c r="I92">
        <v>0.23</v>
      </c>
      <c r="J92">
        <v>5390.94</v>
      </c>
      <c r="K92">
        <f t="shared" si="3"/>
        <v>7001.22</v>
      </c>
      <c r="L92">
        <f t="shared" si="4"/>
        <v>1610.2800000000007</v>
      </c>
      <c r="M92">
        <f t="shared" si="5"/>
        <v>5390.94</v>
      </c>
      <c r="N92" t="s">
        <v>58</v>
      </c>
      <c r="O92" t="s">
        <v>34</v>
      </c>
      <c r="P92" t="s">
        <v>54</v>
      </c>
      <c r="Q92" t="s">
        <v>88</v>
      </c>
    </row>
    <row r="93" spans="1:17" x14ac:dyDescent="0.3">
      <c r="A93" t="s">
        <v>154</v>
      </c>
      <c r="B93" s="1">
        <v>45713</v>
      </c>
      <c r="C93" t="s">
        <v>15</v>
      </c>
      <c r="D93" t="s">
        <v>43</v>
      </c>
      <c r="E93" t="s">
        <v>99</v>
      </c>
      <c r="F93" t="s">
        <v>111</v>
      </c>
      <c r="G93">
        <v>2</v>
      </c>
      <c r="H93">
        <v>2702.71</v>
      </c>
      <c r="I93">
        <v>0.14000000000000001</v>
      </c>
      <c r="J93">
        <v>4648.66</v>
      </c>
      <c r="K93">
        <f t="shared" si="3"/>
        <v>5405.42</v>
      </c>
      <c r="L93">
        <f t="shared" si="4"/>
        <v>756.76000000000022</v>
      </c>
      <c r="M93">
        <f t="shared" si="5"/>
        <v>4648.66</v>
      </c>
      <c r="N93" t="s">
        <v>41</v>
      </c>
      <c r="O93" t="s">
        <v>20</v>
      </c>
      <c r="P93" t="s">
        <v>54</v>
      </c>
      <c r="Q93" t="s">
        <v>22</v>
      </c>
    </row>
    <row r="94" spans="1:17" x14ac:dyDescent="0.3">
      <c r="A94" t="s">
        <v>155</v>
      </c>
      <c r="B94" s="1">
        <v>45748</v>
      </c>
      <c r="C94" t="s">
        <v>36</v>
      </c>
      <c r="D94" t="s">
        <v>25</v>
      </c>
      <c r="E94" t="s">
        <v>27</v>
      </c>
      <c r="F94" t="s">
        <v>87</v>
      </c>
      <c r="G94">
        <v>5</v>
      </c>
      <c r="H94">
        <v>801.28</v>
      </c>
      <c r="I94">
        <v>0.12</v>
      </c>
      <c r="J94">
        <v>3525.63</v>
      </c>
      <c r="K94">
        <f t="shared" si="3"/>
        <v>4006.3999999999996</v>
      </c>
      <c r="L94">
        <f t="shared" si="4"/>
        <v>480.76999999999953</v>
      </c>
      <c r="M94">
        <f t="shared" si="5"/>
        <v>3525.63</v>
      </c>
      <c r="N94" t="s">
        <v>19</v>
      </c>
      <c r="O94" t="s">
        <v>34</v>
      </c>
      <c r="P94" t="s">
        <v>30</v>
      </c>
      <c r="Q94" t="s">
        <v>22</v>
      </c>
    </row>
    <row r="95" spans="1:17" x14ac:dyDescent="0.3">
      <c r="A95" t="s">
        <v>156</v>
      </c>
      <c r="B95" s="1">
        <v>45783</v>
      </c>
      <c r="C95" t="s">
        <v>15</v>
      </c>
      <c r="D95" t="s">
        <v>39</v>
      </c>
      <c r="E95" t="s">
        <v>17</v>
      </c>
      <c r="F95" t="s">
        <v>40</v>
      </c>
      <c r="G95">
        <v>1</v>
      </c>
      <c r="H95">
        <v>2264.48</v>
      </c>
      <c r="I95">
        <v>0.09</v>
      </c>
      <c r="J95">
        <v>2060.6799999999998</v>
      </c>
      <c r="K95">
        <f t="shared" si="3"/>
        <v>2264.48</v>
      </c>
      <c r="L95">
        <f t="shared" si="4"/>
        <v>203.80000000000018</v>
      </c>
      <c r="M95">
        <f t="shared" si="5"/>
        <v>2060.6799999999998</v>
      </c>
      <c r="N95" t="s">
        <v>33</v>
      </c>
      <c r="O95" t="s">
        <v>20</v>
      </c>
      <c r="P95" t="s">
        <v>21</v>
      </c>
      <c r="Q95" t="s">
        <v>22</v>
      </c>
    </row>
    <row r="96" spans="1:17" x14ac:dyDescent="0.3">
      <c r="A96" t="s">
        <v>157</v>
      </c>
      <c r="B96" s="1">
        <v>45821</v>
      </c>
      <c r="C96" t="s">
        <v>48</v>
      </c>
      <c r="D96" t="s">
        <v>39</v>
      </c>
      <c r="E96" t="s">
        <v>49</v>
      </c>
      <c r="F96" t="s">
        <v>53</v>
      </c>
      <c r="G96">
        <v>4</v>
      </c>
      <c r="H96">
        <v>4281.34</v>
      </c>
      <c r="I96">
        <v>0.03</v>
      </c>
      <c r="J96">
        <v>16611.599999999999</v>
      </c>
      <c r="K96">
        <f t="shared" si="3"/>
        <v>17125.36</v>
      </c>
      <c r="L96">
        <f t="shared" si="4"/>
        <v>513.76000000000204</v>
      </c>
      <c r="M96">
        <f t="shared" si="5"/>
        <v>16611.599999999999</v>
      </c>
      <c r="N96" t="s">
        <v>46</v>
      </c>
      <c r="O96" t="s">
        <v>20</v>
      </c>
      <c r="P96" t="s">
        <v>30</v>
      </c>
      <c r="Q96" t="s">
        <v>22</v>
      </c>
    </row>
    <row r="97" spans="1:17" x14ac:dyDescent="0.3">
      <c r="A97" t="s">
        <v>158</v>
      </c>
      <c r="B97" s="1">
        <v>45730</v>
      </c>
      <c r="C97" t="s">
        <v>48</v>
      </c>
      <c r="D97" t="s">
        <v>25</v>
      </c>
      <c r="E97" t="s">
        <v>99</v>
      </c>
      <c r="F97" t="s">
        <v>120</v>
      </c>
      <c r="G97">
        <v>5</v>
      </c>
      <c r="H97">
        <v>4338.83</v>
      </c>
      <c r="I97">
        <v>0.19</v>
      </c>
      <c r="J97">
        <v>17572.259999999998</v>
      </c>
      <c r="K97">
        <f t="shared" si="3"/>
        <v>21694.15</v>
      </c>
      <c r="L97">
        <f t="shared" si="4"/>
        <v>4121.8900000000031</v>
      </c>
      <c r="M97">
        <f t="shared" si="5"/>
        <v>17572.259999999998</v>
      </c>
      <c r="N97" t="s">
        <v>46</v>
      </c>
      <c r="O97" t="s">
        <v>20</v>
      </c>
      <c r="P97" t="s">
        <v>54</v>
      </c>
      <c r="Q97" t="s">
        <v>88</v>
      </c>
    </row>
    <row r="98" spans="1:17" x14ac:dyDescent="0.3">
      <c r="A98" t="s">
        <v>159</v>
      </c>
      <c r="B98" s="1">
        <v>45691</v>
      </c>
      <c r="C98" t="s">
        <v>36</v>
      </c>
      <c r="D98" t="s">
        <v>43</v>
      </c>
      <c r="E98" t="s">
        <v>99</v>
      </c>
      <c r="F98" t="s">
        <v>100</v>
      </c>
      <c r="G98">
        <v>2</v>
      </c>
      <c r="H98">
        <v>3142.37</v>
      </c>
      <c r="I98">
        <v>0.17</v>
      </c>
      <c r="J98">
        <v>5216.33</v>
      </c>
      <c r="K98">
        <f t="shared" si="3"/>
        <v>6284.74</v>
      </c>
      <c r="L98">
        <f t="shared" si="4"/>
        <v>1068.4099999999999</v>
      </c>
      <c r="M98">
        <f t="shared" si="5"/>
        <v>5216.33</v>
      </c>
      <c r="N98" t="s">
        <v>46</v>
      </c>
      <c r="O98" t="s">
        <v>20</v>
      </c>
      <c r="P98" t="s">
        <v>21</v>
      </c>
      <c r="Q98" t="s">
        <v>22</v>
      </c>
    </row>
    <row r="99" spans="1:17" x14ac:dyDescent="0.3">
      <c r="A99" t="s">
        <v>160</v>
      </c>
      <c r="B99" s="1">
        <v>45731</v>
      </c>
      <c r="C99" t="s">
        <v>48</v>
      </c>
      <c r="D99" t="s">
        <v>39</v>
      </c>
      <c r="E99" t="s">
        <v>17</v>
      </c>
      <c r="F99" t="s">
        <v>32</v>
      </c>
      <c r="G99">
        <v>3</v>
      </c>
      <c r="H99">
        <v>3688.56</v>
      </c>
      <c r="I99">
        <v>0.02</v>
      </c>
      <c r="J99">
        <v>10844.37</v>
      </c>
      <c r="K99">
        <f t="shared" si="3"/>
        <v>11065.68</v>
      </c>
      <c r="L99">
        <f t="shared" si="4"/>
        <v>221.30999999999949</v>
      </c>
      <c r="M99">
        <f t="shared" si="5"/>
        <v>10844.37</v>
      </c>
      <c r="N99" t="s">
        <v>58</v>
      </c>
      <c r="O99" t="s">
        <v>29</v>
      </c>
      <c r="P99" t="s">
        <v>30</v>
      </c>
      <c r="Q99" t="s">
        <v>22</v>
      </c>
    </row>
    <row r="100" spans="1:17" x14ac:dyDescent="0.3">
      <c r="A100" t="s">
        <v>161</v>
      </c>
      <c r="B100" s="1">
        <v>45728</v>
      </c>
      <c r="C100" t="s">
        <v>52</v>
      </c>
      <c r="D100" t="s">
        <v>39</v>
      </c>
      <c r="E100" t="s">
        <v>61</v>
      </c>
      <c r="F100" t="s">
        <v>75</v>
      </c>
      <c r="G100">
        <v>5</v>
      </c>
      <c r="H100">
        <v>2558.79</v>
      </c>
      <c r="I100">
        <v>7.0000000000000007E-2</v>
      </c>
      <c r="J100">
        <v>11898.37</v>
      </c>
      <c r="K100">
        <f t="shared" si="3"/>
        <v>12793.95</v>
      </c>
      <c r="L100">
        <f t="shared" si="4"/>
        <v>895.57999999999993</v>
      </c>
      <c r="M100">
        <f t="shared" si="5"/>
        <v>11898.37</v>
      </c>
      <c r="N100" t="s">
        <v>33</v>
      </c>
      <c r="O100" t="s">
        <v>34</v>
      </c>
      <c r="P100" t="s">
        <v>54</v>
      </c>
      <c r="Q100" t="s">
        <v>37</v>
      </c>
    </row>
    <row r="101" spans="1:17" x14ac:dyDescent="0.3">
      <c r="A101" t="s">
        <v>162</v>
      </c>
      <c r="B101" s="1">
        <v>45700</v>
      </c>
      <c r="C101" t="s">
        <v>15</v>
      </c>
      <c r="D101" t="s">
        <v>25</v>
      </c>
      <c r="E101" t="s">
        <v>49</v>
      </c>
      <c r="F101" t="s">
        <v>53</v>
      </c>
      <c r="G101">
        <v>1</v>
      </c>
      <c r="H101">
        <v>789.71</v>
      </c>
      <c r="I101">
        <v>0.24</v>
      </c>
      <c r="J101">
        <v>600.17999999999995</v>
      </c>
      <c r="K101">
        <f t="shared" si="3"/>
        <v>789.71</v>
      </c>
      <c r="L101">
        <f t="shared" si="4"/>
        <v>189.53000000000009</v>
      </c>
      <c r="M101">
        <f t="shared" si="5"/>
        <v>600.17999999999995</v>
      </c>
      <c r="N101" t="s">
        <v>58</v>
      </c>
      <c r="O101" t="s">
        <v>34</v>
      </c>
      <c r="P101" t="s">
        <v>21</v>
      </c>
      <c r="Q101" t="s">
        <v>59</v>
      </c>
    </row>
    <row r="102" spans="1:17" x14ac:dyDescent="0.3">
      <c r="A102" t="s">
        <v>163</v>
      </c>
      <c r="B102" s="1">
        <v>45790</v>
      </c>
      <c r="C102" t="s">
        <v>24</v>
      </c>
      <c r="D102" t="s">
        <v>39</v>
      </c>
      <c r="E102" t="s">
        <v>27</v>
      </c>
      <c r="F102" t="s">
        <v>28</v>
      </c>
      <c r="G102">
        <v>3</v>
      </c>
      <c r="H102">
        <v>2729.2</v>
      </c>
      <c r="I102">
        <v>0.11</v>
      </c>
      <c r="J102">
        <v>7286.96</v>
      </c>
      <c r="K102">
        <f t="shared" si="3"/>
        <v>8187.5999999999995</v>
      </c>
      <c r="L102">
        <f t="shared" si="4"/>
        <v>900.63999999999942</v>
      </c>
      <c r="M102">
        <f t="shared" si="5"/>
        <v>7286.96</v>
      </c>
      <c r="N102" t="s">
        <v>41</v>
      </c>
      <c r="O102" t="s">
        <v>20</v>
      </c>
      <c r="P102" t="s">
        <v>21</v>
      </c>
      <c r="Q102" t="s">
        <v>22</v>
      </c>
    </row>
    <row r="103" spans="1:17" x14ac:dyDescent="0.3">
      <c r="A103" t="s">
        <v>164</v>
      </c>
      <c r="B103" s="1">
        <v>45711</v>
      </c>
      <c r="C103" t="s">
        <v>52</v>
      </c>
      <c r="D103" t="s">
        <v>43</v>
      </c>
      <c r="E103" t="s">
        <v>99</v>
      </c>
      <c r="F103" t="s">
        <v>120</v>
      </c>
      <c r="G103">
        <v>5</v>
      </c>
      <c r="H103">
        <v>4432.75</v>
      </c>
      <c r="I103">
        <v>0.14000000000000001</v>
      </c>
      <c r="J103">
        <v>19060.830000000002</v>
      </c>
      <c r="K103">
        <f t="shared" si="3"/>
        <v>22163.75</v>
      </c>
      <c r="L103">
        <f t="shared" si="4"/>
        <v>3102.9199999999983</v>
      </c>
      <c r="M103">
        <f t="shared" si="5"/>
        <v>19060.830000000002</v>
      </c>
      <c r="N103" t="s">
        <v>41</v>
      </c>
      <c r="O103" t="s">
        <v>20</v>
      </c>
      <c r="P103" t="s">
        <v>21</v>
      </c>
      <c r="Q103" t="s">
        <v>22</v>
      </c>
    </row>
    <row r="104" spans="1:17" x14ac:dyDescent="0.3">
      <c r="A104" t="s">
        <v>165</v>
      </c>
      <c r="B104" s="1">
        <v>45796</v>
      </c>
      <c r="C104" t="s">
        <v>48</v>
      </c>
      <c r="D104" t="s">
        <v>16</v>
      </c>
      <c r="E104" t="s">
        <v>49</v>
      </c>
      <c r="F104" t="s">
        <v>53</v>
      </c>
      <c r="G104">
        <v>1</v>
      </c>
      <c r="H104">
        <v>4736.68</v>
      </c>
      <c r="I104">
        <v>0.08</v>
      </c>
      <c r="J104">
        <v>4357.75</v>
      </c>
      <c r="K104">
        <f t="shared" si="3"/>
        <v>4736.68</v>
      </c>
      <c r="L104">
        <f t="shared" si="4"/>
        <v>378.93000000000029</v>
      </c>
      <c r="M104">
        <f t="shared" si="5"/>
        <v>4357.75</v>
      </c>
      <c r="N104" t="s">
        <v>58</v>
      </c>
      <c r="O104" t="s">
        <v>20</v>
      </c>
      <c r="P104" t="s">
        <v>30</v>
      </c>
      <c r="Q104" t="s">
        <v>22</v>
      </c>
    </row>
    <row r="105" spans="1:17" x14ac:dyDescent="0.3">
      <c r="A105" t="s">
        <v>166</v>
      </c>
      <c r="B105" s="1">
        <v>45841</v>
      </c>
      <c r="C105" t="s">
        <v>48</v>
      </c>
      <c r="D105" t="s">
        <v>25</v>
      </c>
      <c r="E105" t="s">
        <v>27</v>
      </c>
      <c r="F105" t="s">
        <v>68</v>
      </c>
      <c r="G105">
        <v>5</v>
      </c>
      <c r="H105">
        <v>2153.7199999999998</v>
      </c>
      <c r="I105">
        <v>0.19</v>
      </c>
      <c r="J105">
        <v>8722.57</v>
      </c>
      <c r="K105">
        <f t="shared" si="3"/>
        <v>10768.599999999999</v>
      </c>
      <c r="L105">
        <f t="shared" si="4"/>
        <v>2046.0299999999988</v>
      </c>
      <c r="M105">
        <f t="shared" si="5"/>
        <v>8722.57</v>
      </c>
      <c r="N105" t="s">
        <v>41</v>
      </c>
      <c r="O105" t="s">
        <v>34</v>
      </c>
      <c r="P105" t="s">
        <v>54</v>
      </c>
      <c r="Q105" t="s">
        <v>22</v>
      </c>
    </row>
    <row r="106" spans="1:17" x14ac:dyDescent="0.3">
      <c r="A106" t="s">
        <v>167</v>
      </c>
      <c r="B106" s="1">
        <v>45792</v>
      </c>
      <c r="C106" t="s">
        <v>15</v>
      </c>
      <c r="D106" t="s">
        <v>39</v>
      </c>
      <c r="E106" t="s">
        <v>49</v>
      </c>
      <c r="F106" t="s">
        <v>50</v>
      </c>
      <c r="G106">
        <v>3</v>
      </c>
      <c r="H106">
        <v>1164.6199999999999</v>
      </c>
      <c r="I106">
        <v>0.11</v>
      </c>
      <c r="J106">
        <v>3109.54</v>
      </c>
      <c r="K106">
        <f t="shared" si="3"/>
        <v>3493.8599999999997</v>
      </c>
      <c r="L106">
        <f t="shared" si="4"/>
        <v>384.31999999999971</v>
      </c>
      <c r="M106">
        <f t="shared" si="5"/>
        <v>3109.54</v>
      </c>
      <c r="N106" t="s">
        <v>58</v>
      </c>
      <c r="O106" t="s">
        <v>29</v>
      </c>
      <c r="P106" t="s">
        <v>54</v>
      </c>
      <c r="Q106" t="s">
        <v>22</v>
      </c>
    </row>
    <row r="107" spans="1:17" x14ac:dyDescent="0.3">
      <c r="A107" t="s">
        <v>168</v>
      </c>
      <c r="B107" s="1">
        <v>45785</v>
      </c>
      <c r="C107" t="s">
        <v>24</v>
      </c>
      <c r="D107" t="s">
        <v>16</v>
      </c>
      <c r="E107" t="s">
        <v>99</v>
      </c>
      <c r="F107" t="s">
        <v>111</v>
      </c>
      <c r="G107">
        <v>2</v>
      </c>
      <c r="H107">
        <v>4844.21</v>
      </c>
      <c r="I107">
        <v>0.24</v>
      </c>
      <c r="J107">
        <v>7363.2</v>
      </c>
      <c r="K107">
        <f t="shared" si="3"/>
        <v>9688.42</v>
      </c>
      <c r="L107">
        <f t="shared" si="4"/>
        <v>2325.2200000000003</v>
      </c>
      <c r="M107">
        <f t="shared" si="5"/>
        <v>7363.2</v>
      </c>
      <c r="N107" t="s">
        <v>41</v>
      </c>
      <c r="O107" t="s">
        <v>34</v>
      </c>
      <c r="P107" t="s">
        <v>30</v>
      </c>
      <c r="Q107" t="s">
        <v>22</v>
      </c>
    </row>
    <row r="108" spans="1:17" x14ac:dyDescent="0.3">
      <c r="A108" t="s">
        <v>169</v>
      </c>
      <c r="B108" s="1">
        <v>45673</v>
      </c>
      <c r="C108" t="s">
        <v>24</v>
      </c>
      <c r="D108" t="s">
        <v>43</v>
      </c>
      <c r="E108" t="s">
        <v>27</v>
      </c>
      <c r="F108" t="s">
        <v>79</v>
      </c>
      <c r="G108">
        <v>2</v>
      </c>
      <c r="H108">
        <v>3956.19</v>
      </c>
      <c r="I108">
        <v>0.05</v>
      </c>
      <c r="J108">
        <v>7516.76</v>
      </c>
      <c r="K108">
        <f t="shared" si="3"/>
        <v>7912.38</v>
      </c>
      <c r="L108">
        <f t="shared" si="4"/>
        <v>395.61999999999989</v>
      </c>
      <c r="M108">
        <f t="shared" si="5"/>
        <v>7516.76</v>
      </c>
      <c r="N108" t="s">
        <v>46</v>
      </c>
      <c r="O108" t="s">
        <v>20</v>
      </c>
      <c r="P108" t="s">
        <v>21</v>
      </c>
      <c r="Q108" t="s">
        <v>22</v>
      </c>
    </row>
    <row r="109" spans="1:17" x14ac:dyDescent="0.3">
      <c r="A109" t="s">
        <v>170</v>
      </c>
      <c r="B109" s="1">
        <v>45778</v>
      </c>
      <c r="C109" t="s">
        <v>52</v>
      </c>
      <c r="D109" t="s">
        <v>39</v>
      </c>
      <c r="E109" t="s">
        <v>61</v>
      </c>
      <c r="F109" t="s">
        <v>66</v>
      </c>
      <c r="G109">
        <v>3</v>
      </c>
      <c r="H109">
        <v>4306.1899999999996</v>
      </c>
      <c r="I109">
        <v>0.04</v>
      </c>
      <c r="J109">
        <v>12401.83</v>
      </c>
      <c r="K109">
        <f t="shared" si="3"/>
        <v>12918.57</v>
      </c>
      <c r="L109">
        <f t="shared" si="4"/>
        <v>516.73999999999978</v>
      </c>
      <c r="M109">
        <f t="shared" si="5"/>
        <v>12401.83</v>
      </c>
      <c r="N109" t="s">
        <v>33</v>
      </c>
      <c r="O109" t="s">
        <v>20</v>
      </c>
      <c r="P109" t="s">
        <v>54</v>
      </c>
      <c r="Q109" t="s">
        <v>88</v>
      </c>
    </row>
    <row r="110" spans="1:17" x14ac:dyDescent="0.3">
      <c r="A110" t="s">
        <v>171</v>
      </c>
      <c r="B110" s="1">
        <v>45783</v>
      </c>
      <c r="C110" t="s">
        <v>52</v>
      </c>
      <c r="D110" t="s">
        <v>16</v>
      </c>
      <c r="E110" t="s">
        <v>17</v>
      </c>
      <c r="F110" t="s">
        <v>18</v>
      </c>
      <c r="G110">
        <v>2</v>
      </c>
      <c r="H110">
        <v>2985.38</v>
      </c>
      <c r="I110">
        <v>0</v>
      </c>
      <c r="J110">
        <v>5970.76</v>
      </c>
      <c r="K110">
        <f t="shared" si="3"/>
        <v>5970.76</v>
      </c>
      <c r="L110">
        <f t="shared" si="4"/>
        <v>0</v>
      </c>
      <c r="M110">
        <f t="shared" si="5"/>
        <v>5970.76</v>
      </c>
      <c r="N110" t="s">
        <v>58</v>
      </c>
      <c r="O110" t="s">
        <v>34</v>
      </c>
      <c r="P110" t="s">
        <v>30</v>
      </c>
      <c r="Q110" t="s">
        <v>22</v>
      </c>
    </row>
    <row r="111" spans="1:17" x14ac:dyDescent="0.3">
      <c r="A111" t="s">
        <v>172</v>
      </c>
      <c r="B111" s="1">
        <v>45693</v>
      </c>
      <c r="C111" t="s">
        <v>24</v>
      </c>
      <c r="D111" t="s">
        <v>43</v>
      </c>
      <c r="E111" t="s">
        <v>49</v>
      </c>
      <c r="F111" t="s">
        <v>56</v>
      </c>
      <c r="G111">
        <v>3</v>
      </c>
      <c r="H111">
        <v>2614.87</v>
      </c>
      <c r="I111">
        <v>0.03</v>
      </c>
      <c r="J111">
        <v>7609.27</v>
      </c>
      <c r="K111">
        <f t="shared" si="3"/>
        <v>7844.61</v>
      </c>
      <c r="L111">
        <f t="shared" si="4"/>
        <v>235.33999999999924</v>
      </c>
      <c r="M111">
        <f t="shared" si="5"/>
        <v>7609.27</v>
      </c>
      <c r="N111" t="s">
        <v>41</v>
      </c>
      <c r="O111" t="s">
        <v>34</v>
      </c>
      <c r="P111" t="s">
        <v>21</v>
      </c>
      <c r="Q111" t="s">
        <v>37</v>
      </c>
    </row>
    <row r="112" spans="1:17" x14ac:dyDescent="0.3">
      <c r="A112" t="s">
        <v>173</v>
      </c>
      <c r="B112" s="1">
        <v>45763</v>
      </c>
      <c r="C112" t="s">
        <v>48</v>
      </c>
      <c r="D112" t="s">
        <v>25</v>
      </c>
      <c r="E112" t="s">
        <v>17</v>
      </c>
      <c r="F112" t="s">
        <v>32</v>
      </c>
      <c r="G112">
        <v>4</v>
      </c>
      <c r="H112">
        <v>4251.76</v>
      </c>
      <c r="I112">
        <v>0.11</v>
      </c>
      <c r="J112">
        <v>15136.27</v>
      </c>
      <c r="K112">
        <f t="shared" si="3"/>
        <v>17007.04</v>
      </c>
      <c r="L112">
        <f t="shared" si="4"/>
        <v>1870.7700000000004</v>
      </c>
      <c r="M112">
        <f t="shared" si="5"/>
        <v>15136.27</v>
      </c>
      <c r="N112" t="s">
        <v>58</v>
      </c>
      <c r="O112" t="s">
        <v>20</v>
      </c>
      <c r="P112" t="s">
        <v>54</v>
      </c>
      <c r="Q112" t="s">
        <v>22</v>
      </c>
    </row>
    <row r="113" spans="1:17" x14ac:dyDescent="0.3">
      <c r="A113" t="s">
        <v>174</v>
      </c>
      <c r="B113" s="1">
        <v>45801</v>
      </c>
      <c r="C113" t="s">
        <v>24</v>
      </c>
      <c r="D113" t="s">
        <v>39</v>
      </c>
      <c r="E113" t="s">
        <v>49</v>
      </c>
      <c r="F113" t="s">
        <v>56</v>
      </c>
      <c r="G113">
        <v>2</v>
      </c>
      <c r="H113">
        <v>421.84</v>
      </c>
      <c r="I113">
        <v>7.0000000000000007E-2</v>
      </c>
      <c r="J113">
        <v>784.62</v>
      </c>
      <c r="K113">
        <f t="shared" si="3"/>
        <v>843.68</v>
      </c>
      <c r="L113">
        <f t="shared" si="4"/>
        <v>59.059999999999945</v>
      </c>
      <c r="M113">
        <f t="shared" si="5"/>
        <v>784.62</v>
      </c>
      <c r="N113" t="s">
        <v>46</v>
      </c>
      <c r="O113" t="s">
        <v>29</v>
      </c>
      <c r="P113" t="s">
        <v>21</v>
      </c>
      <c r="Q113" t="s">
        <v>22</v>
      </c>
    </row>
    <row r="114" spans="1:17" x14ac:dyDescent="0.3">
      <c r="A114" t="s">
        <v>175</v>
      </c>
      <c r="B114" s="1">
        <v>45707</v>
      </c>
      <c r="C114" t="s">
        <v>48</v>
      </c>
      <c r="D114" t="s">
        <v>43</v>
      </c>
      <c r="E114" t="s">
        <v>27</v>
      </c>
      <c r="F114" t="s">
        <v>28</v>
      </c>
      <c r="G114">
        <v>4</v>
      </c>
      <c r="H114">
        <v>585.97</v>
      </c>
      <c r="I114">
        <v>0.18</v>
      </c>
      <c r="J114">
        <v>1921.98</v>
      </c>
      <c r="K114">
        <f t="shared" si="3"/>
        <v>2343.88</v>
      </c>
      <c r="L114">
        <f t="shared" si="4"/>
        <v>421.90000000000009</v>
      </c>
      <c r="M114">
        <f t="shared" si="5"/>
        <v>1921.98</v>
      </c>
      <c r="N114" t="s">
        <v>33</v>
      </c>
      <c r="O114" t="s">
        <v>29</v>
      </c>
      <c r="P114" t="s">
        <v>21</v>
      </c>
      <c r="Q114" t="s">
        <v>22</v>
      </c>
    </row>
    <row r="115" spans="1:17" x14ac:dyDescent="0.3">
      <c r="A115" t="s">
        <v>176</v>
      </c>
      <c r="B115" s="1">
        <v>45691</v>
      </c>
      <c r="C115" t="s">
        <v>15</v>
      </c>
      <c r="D115" t="s">
        <v>39</v>
      </c>
      <c r="E115" t="s">
        <v>61</v>
      </c>
      <c r="F115" t="s">
        <v>92</v>
      </c>
      <c r="G115">
        <v>4</v>
      </c>
      <c r="H115">
        <v>3675.1</v>
      </c>
      <c r="I115">
        <v>0.08</v>
      </c>
      <c r="J115">
        <v>13524.37</v>
      </c>
      <c r="K115">
        <f t="shared" si="3"/>
        <v>14700.4</v>
      </c>
      <c r="L115">
        <f t="shared" si="4"/>
        <v>1176.0299999999988</v>
      </c>
      <c r="M115">
        <f t="shared" si="5"/>
        <v>13524.37</v>
      </c>
      <c r="N115" t="s">
        <v>41</v>
      </c>
      <c r="O115" t="s">
        <v>34</v>
      </c>
      <c r="P115" t="s">
        <v>30</v>
      </c>
      <c r="Q115" t="s">
        <v>22</v>
      </c>
    </row>
    <row r="116" spans="1:17" x14ac:dyDescent="0.3">
      <c r="A116" t="s">
        <v>177</v>
      </c>
      <c r="B116" s="1">
        <v>45749</v>
      </c>
      <c r="C116" t="s">
        <v>24</v>
      </c>
      <c r="D116" t="s">
        <v>43</v>
      </c>
      <c r="E116" t="s">
        <v>61</v>
      </c>
      <c r="F116" t="s">
        <v>92</v>
      </c>
      <c r="G116">
        <v>1</v>
      </c>
      <c r="H116">
        <v>2216.19</v>
      </c>
      <c r="I116">
        <v>0.19</v>
      </c>
      <c r="J116">
        <v>1795.11</v>
      </c>
      <c r="K116">
        <f t="shared" si="3"/>
        <v>2216.19</v>
      </c>
      <c r="L116">
        <f t="shared" si="4"/>
        <v>421.08000000000015</v>
      </c>
      <c r="M116">
        <f t="shared" si="5"/>
        <v>1795.11</v>
      </c>
      <c r="N116" t="s">
        <v>58</v>
      </c>
      <c r="O116" t="s">
        <v>20</v>
      </c>
      <c r="P116" t="s">
        <v>30</v>
      </c>
      <c r="Q116" t="s">
        <v>22</v>
      </c>
    </row>
    <row r="117" spans="1:17" x14ac:dyDescent="0.3">
      <c r="A117" t="s">
        <v>178</v>
      </c>
      <c r="B117" s="1">
        <v>45733</v>
      </c>
      <c r="C117" t="s">
        <v>24</v>
      </c>
      <c r="D117" t="s">
        <v>39</v>
      </c>
      <c r="E117" t="s">
        <v>27</v>
      </c>
      <c r="F117" t="s">
        <v>28</v>
      </c>
      <c r="G117">
        <v>4</v>
      </c>
      <c r="H117">
        <v>4353.6499999999996</v>
      </c>
      <c r="I117">
        <v>0.18</v>
      </c>
      <c r="J117">
        <v>14279.97</v>
      </c>
      <c r="K117">
        <f t="shared" si="3"/>
        <v>17414.599999999999</v>
      </c>
      <c r="L117">
        <f t="shared" si="4"/>
        <v>3134.6299999999992</v>
      </c>
      <c r="M117">
        <f t="shared" si="5"/>
        <v>14279.97</v>
      </c>
      <c r="N117" t="s">
        <v>41</v>
      </c>
      <c r="O117" t="s">
        <v>34</v>
      </c>
      <c r="P117" t="s">
        <v>30</v>
      </c>
      <c r="Q117" t="s">
        <v>22</v>
      </c>
    </row>
    <row r="118" spans="1:17" x14ac:dyDescent="0.3">
      <c r="A118" t="s">
        <v>179</v>
      </c>
      <c r="B118" s="1">
        <v>45712</v>
      </c>
      <c r="C118" t="s">
        <v>52</v>
      </c>
      <c r="D118" t="s">
        <v>39</v>
      </c>
      <c r="E118" t="s">
        <v>27</v>
      </c>
      <c r="F118" t="s">
        <v>68</v>
      </c>
      <c r="G118">
        <v>1</v>
      </c>
      <c r="H118">
        <v>1815.56</v>
      </c>
      <c r="I118">
        <v>0.14000000000000001</v>
      </c>
      <c r="J118">
        <v>1561.38</v>
      </c>
      <c r="K118">
        <f t="shared" si="3"/>
        <v>1815.56</v>
      </c>
      <c r="L118">
        <f t="shared" si="4"/>
        <v>254.17999999999984</v>
      </c>
      <c r="M118">
        <f t="shared" si="5"/>
        <v>1561.38</v>
      </c>
      <c r="N118" t="s">
        <v>41</v>
      </c>
      <c r="O118" t="s">
        <v>20</v>
      </c>
      <c r="P118" t="s">
        <v>54</v>
      </c>
      <c r="Q118" t="s">
        <v>22</v>
      </c>
    </row>
    <row r="119" spans="1:17" x14ac:dyDescent="0.3">
      <c r="A119" t="s">
        <v>180</v>
      </c>
      <c r="B119" s="1">
        <v>45839</v>
      </c>
      <c r="C119" t="s">
        <v>36</v>
      </c>
      <c r="D119" t="s">
        <v>39</v>
      </c>
      <c r="E119" t="s">
        <v>49</v>
      </c>
      <c r="F119" t="s">
        <v>56</v>
      </c>
      <c r="G119">
        <v>2</v>
      </c>
      <c r="H119">
        <v>1439.02</v>
      </c>
      <c r="I119">
        <v>0.19</v>
      </c>
      <c r="J119">
        <v>2331.21</v>
      </c>
      <c r="K119">
        <f t="shared" si="3"/>
        <v>2878.04</v>
      </c>
      <c r="L119">
        <f t="shared" si="4"/>
        <v>546.82999999999993</v>
      </c>
      <c r="M119">
        <f t="shared" si="5"/>
        <v>2331.21</v>
      </c>
      <c r="N119" t="s">
        <v>46</v>
      </c>
      <c r="O119" t="s">
        <v>20</v>
      </c>
      <c r="P119" t="s">
        <v>30</v>
      </c>
      <c r="Q119" t="s">
        <v>22</v>
      </c>
    </row>
    <row r="120" spans="1:17" x14ac:dyDescent="0.3">
      <c r="A120" t="s">
        <v>181</v>
      </c>
      <c r="B120" s="1">
        <v>45784</v>
      </c>
      <c r="C120" t="s">
        <v>24</v>
      </c>
      <c r="D120" t="s">
        <v>25</v>
      </c>
      <c r="E120" t="s">
        <v>61</v>
      </c>
      <c r="F120" t="s">
        <v>92</v>
      </c>
      <c r="G120">
        <v>1</v>
      </c>
      <c r="H120">
        <v>549.61</v>
      </c>
      <c r="I120">
        <v>0.13</v>
      </c>
      <c r="J120">
        <v>478.16</v>
      </c>
      <c r="K120">
        <f t="shared" si="3"/>
        <v>549.61</v>
      </c>
      <c r="L120">
        <f t="shared" si="4"/>
        <v>71.449999999999989</v>
      </c>
      <c r="M120">
        <f t="shared" si="5"/>
        <v>478.16</v>
      </c>
      <c r="N120" t="s">
        <v>19</v>
      </c>
      <c r="O120" t="s">
        <v>29</v>
      </c>
      <c r="P120" t="s">
        <v>30</v>
      </c>
      <c r="Q120" t="s">
        <v>22</v>
      </c>
    </row>
    <row r="121" spans="1:17" x14ac:dyDescent="0.3">
      <c r="A121" t="s">
        <v>182</v>
      </c>
      <c r="B121" s="1">
        <v>45793</v>
      </c>
      <c r="C121" t="s">
        <v>15</v>
      </c>
      <c r="D121" t="s">
        <v>16</v>
      </c>
      <c r="E121" t="s">
        <v>61</v>
      </c>
      <c r="F121" t="s">
        <v>66</v>
      </c>
      <c r="G121">
        <v>5</v>
      </c>
      <c r="H121">
        <v>516.29</v>
      </c>
      <c r="I121">
        <v>0.01</v>
      </c>
      <c r="J121">
        <v>2555.64</v>
      </c>
      <c r="K121">
        <f t="shared" si="3"/>
        <v>2581.4499999999998</v>
      </c>
      <c r="L121">
        <f t="shared" si="4"/>
        <v>25.809999999999945</v>
      </c>
      <c r="M121">
        <f t="shared" si="5"/>
        <v>2555.64</v>
      </c>
      <c r="N121" t="s">
        <v>46</v>
      </c>
      <c r="O121" t="s">
        <v>29</v>
      </c>
      <c r="P121" t="s">
        <v>54</v>
      </c>
      <c r="Q121" t="s">
        <v>22</v>
      </c>
    </row>
    <row r="122" spans="1:17" x14ac:dyDescent="0.3">
      <c r="A122" t="s">
        <v>183</v>
      </c>
      <c r="B122" s="1">
        <v>45768</v>
      </c>
      <c r="C122" t="s">
        <v>48</v>
      </c>
      <c r="D122" t="s">
        <v>16</v>
      </c>
      <c r="E122" t="s">
        <v>99</v>
      </c>
      <c r="F122" t="s">
        <v>115</v>
      </c>
      <c r="G122">
        <v>4</v>
      </c>
      <c r="H122">
        <v>2129.5</v>
      </c>
      <c r="I122">
        <v>0.05</v>
      </c>
      <c r="J122">
        <v>8092.1</v>
      </c>
      <c r="K122">
        <f t="shared" si="3"/>
        <v>8518</v>
      </c>
      <c r="L122">
        <f t="shared" si="4"/>
        <v>425.89999999999964</v>
      </c>
      <c r="M122">
        <f t="shared" si="5"/>
        <v>8092.1</v>
      </c>
      <c r="N122" t="s">
        <v>41</v>
      </c>
      <c r="O122" t="s">
        <v>29</v>
      </c>
      <c r="P122" t="s">
        <v>21</v>
      </c>
      <c r="Q122" t="s">
        <v>22</v>
      </c>
    </row>
    <row r="123" spans="1:17" x14ac:dyDescent="0.3">
      <c r="A123" t="s">
        <v>184</v>
      </c>
      <c r="B123" s="1">
        <v>45702</v>
      </c>
      <c r="C123" t="s">
        <v>36</v>
      </c>
      <c r="D123" t="s">
        <v>16</v>
      </c>
      <c r="E123" t="s">
        <v>17</v>
      </c>
      <c r="F123" t="s">
        <v>32</v>
      </c>
      <c r="G123">
        <v>3</v>
      </c>
      <c r="H123">
        <v>322.55</v>
      </c>
      <c r="I123">
        <v>0.1</v>
      </c>
      <c r="J123">
        <v>870.89</v>
      </c>
      <c r="K123">
        <f t="shared" si="3"/>
        <v>967.65000000000009</v>
      </c>
      <c r="L123">
        <f t="shared" si="4"/>
        <v>96.760000000000105</v>
      </c>
      <c r="M123">
        <f t="shared" si="5"/>
        <v>870.89</v>
      </c>
      <c r="N123" t="s">
        <v>41</v>
      </c>
      <c r="O123" t="s">
        <v>29</v>
      </c>
      <c r="P123" t="s">
        <v>21</v>
      </c>
      <c r="Q123" t="s">
        <v>22</v>
      </c>
    </row>
    <row r="124" spans="1:17" x14ac:dyDescent="0.3">
      <c r="A124" t="s">
        <v>185</v>
      </c>
      <c r="B124" s="1">
        <v>45792</v>
      </c>
      <c r="C124" t="s">
        <v>52</v>
      </c>
      <c r="D124" t="s">
        <v>43</v>
      </c>
      <c r="E124" t="s">
        <v>99</v>
      </c>
      <c r="F124" t="s">
        <v>100</v>
      </c>
      <c r="G124">
        <v>3</v>
      </c>
      <c r="H124">
        <v>687.92</v>
      </c>
      <c r="I124">
        <v>0.12</v>
      </c>
      <c r="J124">
        <v>1816.11</v>
      </c>
      <c r="K124">
        <f t="shared" si="3"/>
        <v>2063.7599999999998</v>
      </c>
      <c r="L124">
        <f t="shared" si="4"/>
        <v>247.64999999999986</v>
      </c>
      <c r="M124">
        <f t="shared" si="5"/>
        <v>1816.11</v>
      </c>
      <c r="N124" t="s">
        <v>46</v>
      </c>
      <c r="O124" t="s">
        <v>34</v>
      </c>
      <c r="P124" t="s">
        <v>30</v>
      </c>
      <c r="Q124" t="s">
        <v>22</v>
      </c>
    </row>
    <row r="125" spans="1:17" x14ac:dyDescent="0.3">
      <c r="A125" t="s">
        <v>186</v>
      </c>
      <c r="B125" s="1">
        <v>45722</v>
      </c>
      <c r="C125" t="s">
        <v>36</v>
      </c>
      <c r="D125" t="s">
        <v>25</v>
      </c>
      <c r="E125" t="s">
        <v>27</v>
      </c>
      <c r="F125" t="s">
        <v>68</v>
      </c>
      <c r="G125">
        <v>3</v>
      </c>
      <c r="H125">
        <v>453.17</v>
      </c>
      <c r="I125">
        <v>0.22</v>
      </c>
      <c r="J125">
        <v>1060.42</v>
      </c>
      <c r="K125">
        <f t="shared" si="3"/>
        <v>1359.51</v>
      </c>
      <c r="L125">
        <f t="shared" si="4"/>
        <v>299.08999999999992</v>
      </c>
      <c r="M125">
        <f t="shared" si="5"/>
        <v>1060.42</v>
      </c>
      <c r="N125" t="s">
        <v>33</v>
      </c>
      <c r="O125" t="s">
        <v>29</v>
      </c>
      <c r="P125" t="s">
        <v>54</v>
      </c>
      <c r="Q125" t="s">
        <v>22</v>
      </c>
    </row>
    <row r="126" spans="1:17" x14ac:dyDescent="0.3">
      <c r="A126" t="s">
        <v>187</v>
      </c>
      <c r="B126" s="1">
        <v>45823</v>
      </c>
      <c r="C126" t="s">
        <v>36</v>
      </c>
      <c r="D126" t="s">
        <v>25</v>
      </c>
      <c r="E126" t="s">
        <v>17</v>
      </c>
      <c r="F126" t="s">
        <v>32</v>
      </c>
      <c r="G126">
        <v>4</v>
      </c>
      <c r="H126">
        <v>3576.54</v>
      </c>
      <c r="I126">
        <v>0.1</v>
      </c>
      <c r="J126">
        <v>12875.54</v>
      </c>
      <c r="K126">
        <f t="shared" si="3"/>
        <v>14306.16</v>
      </c>
      <c r="L126">
        <f t="shared" si="4"/>
        <v>1430.619999999999</v>
      </c>
      <c r="M126">
        <f t="shared" si="5"/>
        <v>12875.54</v>
      </c>
      <c r="N126" t="s">
        <v>41</v>
      </c>
      <c r="O126" t="s">
        <v>29</v>
      </c>
      <c r="P126" t="s">
        <v>54</v>
      </c>
      <c r="Q126" t="s">
        <v>22</v>
      </c>
    </row>
    <row r="127" spans="1:17" x14ac:dyDescent="0.3">
      <c r="A127" t="s">
        <v>188</v>
      </c>
      <c r="B127" s="1">
        <v>45809</v>
      </c>
      <c r="C127" t="s">
        <v>36</v>
      </c>
      <c r="D127" t="s">
        <v>25</v>
      </c>
      <c r="E127" t="s">
        <v>99</v>
      </c>
      <c r="F127" t="s">
        <v>100</v>
      </c>
      <c r="G127">
        <v>3</v>
      </c>
      <c r="H127">
        <v>531.84</v>
      </c>
      <c r="I127">
        <v>0.21</v>
      </c>
      <c r="J127">
        <v>1260.46</v>
      </c>
      <c r="K127">
        <f t="shared" si="3"/>
        <v>1595.52</v>
      </c>
      <c r="L127">
        <f t="shared" si="4"/>
        <v>335.05999999999995</v>
      </c>
      <c r="M127">
        <f t="shared" si="5"/>
        <v>1260.46</v>
      </c>
      <c r="N127" t="s">
        <v>41</v>
      </c>
      <c r="O127" t="s">
        <v>29</v>
      </c>
      <c r="P127" t="s">
        <v>54</v>
      </c>
      <c r="Q127" t="s">
        <v>22</v>
      </c>
    </row>
    <row r="128" spans="1:17" x14ac:dyDescent="0.3">
      <c r="A128" t="s">
        <v>189</v>
      </c>
      <c r="B128" s="1">
        <v>45810</v>
      </c>
      <c r="C128" t="s">
        <v>48</v>
      </c>
      <c r="D128" t="s">
        <v>16</v>
      </c>
      <c r="E128" t="s">
        <v>27</v>
      </c>
      <c r="F128" t="s">
        <v>79</v>
      </c>
      <c r="G128">
        <v>3</v>
      </c>
      <c r="H128">
        <v>1185.7</v>
      </c>
      <c r="I128">
        <v>0.19</v>
      </c>
      <c r="J128">
        <v>2881.25</v>
      </c>
      <c r="K128">
        <f t="shared" si="3"/>
        <v>3557.1000000000004</v>
      </c>
      <c r="L128">
        <f t="shared" si="4"/>
        <v>675.85000000000036</v>
      </c>
      <c r="M128">
        <f t="shared" si="5"/>
        <v>2881.25</v>
      </c>
      <c r="N128" t="s">
        <v>46</v>
      </c>
      <c r="O128" t="s">
        <v>29</v>
      </c>
      <c r="P128" t="s">
        <v>54</v>
      </c>
      <c r="Q128" t="s">
        <v>22</v>
      </c>
    </row>
    <row r="129" spans="1:17" x14ac:dyDescent="0.3">
      <c r="A129" t="s">
        <v>190</v>
      </c>
      <c r="B129" s="1">
        <v>45670</v>
      </c>
      <c r="C129" t="s">
        <v>15</v>
      </c>
      <c r="D129" t="s">
        <v>43</v>
      </c>
      <c r="E129" t="s">
        <v>61</v>
      </c>
      <c r="F129" t="s">
        <v>66</v>
      </c>
      <c r="G129">
        <v>1</v>
      </c>
      <c r="H129">
        <v>817.58</v>
      </c>
      <c r="I129">
        <v>0.05</v>
      </c>
      <c r="J129">
        <v>776.7</v>
      </c>
      <c r="K129">
        <f t="shared" si="3"/>
        <v>817.58</v>
      </c>
      <c r="L129">
        <f t="shared" si="4"/>
        <v>40.879999999999995</v>
      </c>
      <c r="M129">
        <f t="shared" si="5"/>
        <v>776.7</v>
      </c>
      <c r="N129" t="s">
        <v>19</v>
      </c>
      <c r="O129" t="s">
        <v>20</v>
      </c>
      <c r="P129" t="s">
        <v>21</v>
      </c>
      <c r="Q129" t="s">
        <v>88</v>
      </c>
    </row>
    <row r="130" spans="1:17" x14ac:dyDescent="0.3">
      <c r="A130" t="s">
        <v>191</v>
      </c>
      <c r="B130" s="1">
        <v>45704</v>
      </c>
      <c r="C130" t="s">
        <v>48</v>
      </c>
      <c r="D130" t="s">
        <v>39</v>
      </c>
      <c r="E130" t="s">
        <v>17</v>
      </c>
      <c r="F130" t="s">
        <v>44</v>
      </c>
      <c r="G130">
        <v>5</v>
      </c>
      <c r="H130">
        <v>2299.64</v>
      </c>
      <c r="I130">
        <v>0.23</v>
      </c>
      <c r="J130">
        <v>8853.61</v>
      </c>
      <c r="K130">
        <f t="shared" si="3"/>
        <v>11498.199999999999</v>
      </c>
      <c r="L130">
        <f t="shared" si="4"/>
        <v>2644.5899999999983</v>
      </c>
      <c r="M130">
        <f t="shared" si="5"/>
        <v>8853.61</v>
      </c>
      <c r="N130" t="s">
        <v>41</v>
      </c>
      <c r="O130" t="s">
        <v>29</v>
      </c>
      <c r="P130" t="s">
        <v>21</v>
      </c>
      <c r="Q130" t="s">
        <v>37</v>
      </c>
    </row>
    <row r="131" spans="1:17" x14ac:dyDescent="0.3">
      <c r="A131" t="s">
        <v>192</v>
      </c>
      <c r="B131" s="1">
        <v>45819</v>
      </c>
      <c r="C131" t="s">
        <v>48</v>
      </c>
      <c r="D131" t="s">
        <v>16</v>
      </c>
      <c r="E131" t="s">
        <v>99</v>
      </c>
      <c r="F131" t="s">
        <v>100</v>
      </c>
      <c r="G131">
        <v>4</v>
      </c>
      <c r="H131">
        <v>3193.79</v>
      </c>
      <c r="I131">
        <v>0.2</v>
      </c>
      <c r="J131">
        <v>10220.129999999999</v>
      </c>
      <c r="K131">
        <f t="shared" ref="K131:K194" si="6">G131*H131</f>
        <v>12775.16</v>
      </c>
      <c r="L131">
        <f t="shared" ref="L131:L194" si="7">K131-J131</f>
        <v>2555.0300000000007</v>
      </c>
      <c r="M131">
        <f t="shared" ref="M131:M194" si="8">K131-L131</f>
        <v>10220.129999999999</v>
      </c>
      <c r="N131" t="s">
        <v>58</v>
      </c>
      <c r="O131" t="s">
        <v>34</v>
      </c>
      <c r="P131" t="s">
        <v>21</v>
      </c>
      <c r="Q131" t="s">
        <v>22</v>
      </c>
    </row>
    <row r="132" spans="1:17" x14ac:dyDescent="0.3">
      <c r="A132" t="s">
        <v>193</v>
      </c>
      <c r="B132" s="1">
        <v>45666</v>
      </c>
      <c r="C132" t="s">
        <v>48</v>
      </c>
      <c r="D132" t="s">
        <v>16</v>
      </c>
      <c r="E132" t="s">
        <v>17</v>
      </c>
      <c r="F132" t="s">
        <v>32</v>
      </c>
      <c r="G132">
        <v>1</v>
      </c>
      <c r="H132">
        <v>1906.81</v>
      </c>
      <c r="I132">
        <v>7.0000000000000007E-2</v>
      </c>
      <c r="J132">
        <v>1773.33</v>
      </c>
      <c r="K132">
        <f t="shared" si="6"/>
        <v>1906.81</v>
      </c>
      <c r="L132">
        <f t="shared" si="7"/>
        <v>133.48000000000002</v>
      </c>
      <c r="M132">
        <f t="shared" si="8"/>
        <v>1773.33</v>
      </c>
      <c r="N132" t="s">
        <v>41</v>
      </c>
      <c r="O132" t="s">
        <v>20</v>
      </c>
      <c r="P132" t="s">
        <v>21</v>
      </c>
      <c r="Q132" t="s">
        <v>22</v>
      </c>
    </row>
    <row r="133" spans="1:17" x14ac:dyDescent="0.3">
      <c r="A133" t="s">
        <v>194</v>
      </c>
      <c r="B133" s="1">
        <v>45816</v>
      </c>
      <c r="C133" t="s">
        <v>48</v>
      </c>
      <c r="D133" t="s">
        <v>43</v>
      </c>
      <c r="E133" t="s">
        <v>27</v>
      </c>
      <c r="F133" t="s">
        <v>87</v>
      </c>
      <c r="G133">
        <v>1</v>
      </c>
      <c r="H133">
        <v>2303.6999999999998</v>
      </c>
      <c r="I133">
        <v>0.2</v>
      </c>
      <c r="J133">
        <v>1842.96</v>
      </c>
      <c r="K133">
        <f t="shared" si="6"/>
        <v>2303.6999999999998</v>
      </c>
      <c r="L133">
        <f t="shared" si="7"/>
        <v>460.73999999999978</v>
      </c>
      <c r="M133">
        <f t="shared" si="8"/>
        <v>1842.96</v>
      </c>
      <c r="N133" t="s">
        <v>33</v>
      </c>
      <c r="O133" t="s">
        <v>29</v>
      </c>
      <c r="P133" t="s">
        <v>21</v>
      </c>
      <c r="Q133" t="s">
        <v>22</v>
      </c>
    </row>
    <row r="134" spans="1:17" x14ac:dyDescent="0.3">
      <c r="A134" t="s">
        <v>195</v>
      </c>
      <c r="B134" s="1">
        <v>45721</v>
      </c>
      <c r="C134" t="s">
        <v>24</v>
      </c>
      <c r="D134" t="s">
        <v>43</v>
      </c>
      <c r="E134" t="s">
        <v>49</v>
      </c>
      <c r="F134" t="s">
        <v>73</v>
      </c>
      <c r="G134">
        <v>3</v>
      </c>
      <c r="H134">
        <v>4913.6899999999996</v>
      </c>
      <c r="I134">
        <v>0.02</v>
      </c>
      <c r="J134">
        <v>14446.25</v>
      </c>
      <c r="K134">
        <f t="shared" si="6"/>
        <v>14741.07</v>
      </c>
      <c r="L134">
        <f t="shared" si="7"/>
        <v>294.81999999999971</v>
      </c>
      <c r="M134">
        <f t="shared" si="8"/>
        <v>14446.25</v>
      </c>
      <c r="N134" t="s">
        <v>41</v>
      </c>
      <c r="O134" t="s">
        <v>20</v>
      </c>
      <c r="P134" t="s">
        <v>21</v>
      </c>
      <c r="Q134" t="s">
        <v>22</v>
      </c>
    </row>
    <row r="135" spans="1:17" x14ac:dyDescent="0.3">
      <c r="A135" t="s">
        <v>196</v>
      </c>
      <c r="B135" s="1">
        <v>45737</v>
      </c>
      <c r="C135" t="s">
        <v>36</v>
      </c>
      <c r="D135" t="s">
        <v>25</v>
      </c>
      <c r="E135" t="s">
        <v>49</v>
      </c>
      <c r="F135" t="s">
        <v>50</v>
      </c>
      <c r="G135">
        <v>2</v>
      </c>
      <c r="H135">
        <v>1883.1</v>
      </c>
      <c r="I135">
        <v>0.23</v>
      </c>
      <c r="J135">
        <v>2899.97</v>
      </c>
      <c r="K135">
        <f t="shared" si="6"/>
        <v>3766.2</v>
      </c>
      <c r="L135">
        <f t="shared" si="7"/>
        <v>866.23</v>
      </c>
      <c r="M135">
        <f t="shared" si="8"/>
        <v>2899.97</v>
      </c>
      <c r="N135" t="s">
        <v>33</v>
      </c>
      <c r="O135" t="s">
        <v>29</v>
      </c>
      <c r="P135" t="s">
        <v>30</v>
      </c>
      <c r="Q135" t="s">
        <v>88</v>
      </c>
    </row>
    <row r="136" spans="1:17" x14ac:dyDescent="0.3">
      <c r="A136" t="s">
        <v>197</v>
      </c>
      <c r="B136" s="1">
        <v>45711</v>
      </c>
      <c r="C136" t="s">
        <v>15</v>
      </c>
      <c r="D136" t="s">
        <v>43</v>
      </c>
      <c r="E136" t="s">
        <v>27</v>
      </c>
      <c r="F136" t="s">
        <v>79</v>
      </c>
      <c r="G136">
        <v>1</v>
      </c>
      <c r="H136">
        <v>2834.02</v>
      </c>
      <c r="I136">
        <v>0.1</v>
      </c>
      <c r="J136">
        <v>2550.62</v>
      </c>
      <c r="K136">
        <f t="shared" si="6"/>
        <v>2834.02</v>
      </c>
      <c r="L136">
        <f t="shared" si="7"/>
        <v>283.40000000000009</v>
      </c>
      <c r="M136">
        <f t="shared" si="8"/>
        <v>2550.62</v>
      </c>
      <c r="N136" t="s">
        <v>58</v>
      </c>
      <c r="O136" t="s">
        <v>34</v>
      </c>
      <c r="P136" t="s">
        <v>30</v>
      </c>
      <c r="Q136" t="s">
        <v>22</v>
      </c>
    </row>
    <row r="137" spans="1:17" x14ac:dyDescent="0.3">
      <c r="A137" t="s">
        <v>198</v>
      </c>
      <c r="B137" s="1">
        <v>45672</v>
      </c>
      <c r="C137" t="s">
        <v>15</v>
      </c>
      <c r="D137" t="s">
        <v>39</v>
      </c>
      <c r="E137" t="s">
        <v>27</v>
      </c>
      <c r="F137" t="s">
        <v>68</v>
      </c>
      <c r="G137">
        <v>4</v>
      </c>
      <c r="H137">
        <v>731.86</v>
      </c>
      <c r="I137">
        <v>0.18</v>
      </c>
      <c r="J137">
        <v>2400.5</v>
      </c>
      <c r="K137">
        <f t="shared" si="6"/>
        <v>2927.44</v>
      </c>
      <c r="L137">
        <f t="shared" si="7"/>
        <v>526.94000000000005</v>
      </c>
      <c r="M137">
        <f t="shared" si="8"/>
        <v>2400.5</v>
      </c>
      <c r="N137" t="s">
        <v>46</v>
      </c>
      <c r="O137" t="s">
        <v>29</v>
      </c>
      <c r="P137" t="s">
        <v>54</v>
      </c>
      <c r="Q137" t="s">
        <v>22</v>
      </c>
    </row>
    <row r="138" spans="1:17" x14ac:dyDescent="0.3">
      <c r="A138" t="s">
        <v>199</v>
      </c>
      <c r="B138" s="1">
        <v>45700</v>
      </c>
      <c r="C138" t="s">
        <v>36</v>
      </c>
      <c r="D138" t="s">
        <v>43</v>
      </c>
      <c r="E138" t="s">
        <v>99</v>
      </c>
      <c r="F138" t="s">
        <v>100</v>
      </c>
      <c r="G138">
        <v>4</v>
      </c>
      <c r="H138">
        <v>2591.59</v>
      </c>
      <c r="I138">
        <v>0</v>
      </c>
      <c r="J138">
        <v>10366.36</v>
      </c>
      <c r="K138">
        <f t="shared" si="6"/>
        <v>10366.36</v>
      </c>
      <c r="L138">
        <f t="shared" si="7"/>
        <v>0</v>
      </c>
      <c r="M138">
        <f t="shared" si="8"/>
        <v>10366.36</v>
      </c>
      <c r="N138" t="s">
        <v>58</v>
      </c>
      <c r="O138" t="s">
        <v>29</v>
      </c>
      <c r="P138" t="s">
        <v>30</v>
      </c>
      <c r="Q138" t="s">
        <v>59</v>
      </c>
    </row>
    <row r="139" spans="1:17" x14ac:dyDescent="0.3">
      <c r="A139" t="s">
        <v>200</v>
      </c>
      <c r="B139" s="1">
        <v>45837</v>
      </c>
      <c r="C139" t="s">
        <v>52</v>
      </c>
      <c r="D139" t="s">
        <v>16</v>
      </c>
      <c r="E139" t="s">
        <v>99</v>
      </c>
      <c r="F139" t="s">
        <v>115</v>
      </c>
      <c r="G139">
        <v>2</v>
      </c>
      <c r="H139">
        <v>478.11</v>
      </c>
      <c r="I139">
        <v>0.21</v>
      </c>
      <c r="J139">
        <v>755.41</v>
      </c>
      <c r="K139">
        <f t="shared" si="6"/>
        <v>956.22</v>
      </c>
      <c r="L139">
        <f t="shared" si="7"/>
        <v>200.81000000000006</v>
      </c>
      <c r="M139">
        <f t="shared" si="8"/>
        <v>755.41</v>
      </c>
      <c r="N139" t="s">
        <v>19</v>
      </c>
      <c r="O139" t="s">
        <v>20</v>
      </c>
      <c r="P139" t="s">
        <v>54</v>
      </c>
      <c r="Q139" t="s">
        <v>22</v>
      </c>
    </row>
    <row r="140" spans="1:17" x14ac:dyDescent="0.3">
      <c r="A140" t="s">
        <v>201</v>
      </c>
      <c r="B140" s="1">
        <v>45770</v>
      </c>
      <c r="C140" t="s">
        <v>36</v>
      </c>
      <c r="D140" t="s">
        <v>43</v>
      </c>
      <c r="E140" t="s">
        <v>27</v>
      </c>
      <c r="F140" t="s">
        <v>68</v>
      </c>
      <c r="G140">
        <v>2</v>
      </c>
      <c r="H140">
        <v>986.15</v>
      </c>
      <c r="I140">
        <v>0.17</v>
      </c>
      <c r="J140">
        <v>1637.01</v>
      </c>
      <c r="K140">
        <f t="shared" si="6"/>
        <v>1972.3</v>
      </c>
      <c r="L140">
        <f t="shared" si="7"/>
        <v>335.28999999999996</v>
      </c>
      <c r="M140">
        <f t="shared" si="8"/>
        <v>1637.01</v>
      </c>
      <c r="N140" t="s">
        <v>41</v>
      </c>
      <c r="O140" t="s">
        <v>20</v>
      </c>
      <c r="P140" t="s">
        <v>21</v>
      </c>
      <c r="Q140" t="s">
        <v>22</v>
      </c>
    </row>
    <row r="141" spans="1:17" x14ac:dyDescent="0.3">
      <c r="A141" t="s">
        <v>202</v>
      </c>
      <c r="B141" s="1">
        <v>45830</v>
      </c>
      <c r="C141" t="s">
        <v>15</v>
      </c>
      <c r="D141" t="s">
        <v>43</v>
      </c>
      <c r="E141" t="s">
        <v>17</v>
      </c>
      <c r="F141" t="s">
        <v>40</v>
      </c>
      <c r="G141">
        <v>5</v>
      </c>
      <c r="H141">
        <v>1496.15</v>
      </c>
      <c r="I141">
        <v>0.19</v>
      </c>
      <c r="J141">
        <v>6059.41</v>
      </c>
      <c r="K141">
        <f t="shared" si="6"/>
        <v>7480.75</v>
      </c>
      <c r="L141">
        <f t="shared" si="7"/>
        <v>1421.3400000000001</v>
      </c>
      <c r="M141">
        <f t="shared" si="8"/>
        <v>6059.41</v>
      </c>
      <c r="N141" t="s">
        <v>19</v>
      </c>
      <c r="O141" t="s">
        <v>34</v>
      </c>
      <c r="P141" t="s">
        <v>30</v>
      </c>
      <c r="Q141" t="s">
        <v>22</v>
      </c>
    </row>
    <row r="142" spans="1:17" x14ac:dyDescent="0.3">
      <c r="A142" t="s">
        <v>203</v>
      </c>
      <c r="B142" s="1">
        <v>45799</v>
      </c>
      <c r="C142" t="s">
        <v>52</v>
      </c>
      <c r="D142" t="s">
        <v>25</v>
      </c>
      <c r="E142" t="s">
        <v>99</v>
      </c>
      <c r="F142" t="s">
        <v>115</v>
      </c>
      <c r="G142">
        <v>5</v>
      </c>
      <c r="H142">
        <v>4923.75</v>
      </c>
      <c r="I142">
        <v>0.12</v>
      </c>
      <c r="J142">
        <v>21664.5</v>
      </c>
      <c r="K142">
        <f t="shared" si="6"/>
        <v>24618.75</v>
      </c>
      <c r="L142">
        <f t="shared" si="7"/>
        <v>2954.25</v>
      </c>
      <c r="M142">
        <f t="shared" si="8"/>
        <v>21664.5</v>
      </c>
      <c r="N142" t="s">
        <v>46</v>
      </c>
      <c r="O142" t="s">
        <v>29</v>
      </c>
      <c r="P142" t="s">
        <v>30</v>
      </c>
      <c r="Q142" t="s">
        <v>22</v>
      </c>
    </row>
    <row r="143" spans="1:17" x14ac:dyDescent="0.3">
      <c r="A143" t="s">
        <v>204</v>
      </c>
      <c r="B143" s="1">
        <v>45721</v>
      </c>
      <c r="C143" t="s">
        <v>52</v>
      </c>
      <c r="D143" t="s">
        <v>16</v>
      </c>
      <c r="E143" t="s">
        <v>49</v>
      </c>
      <c r="F143" t="s">
        <v>73</v>
      </c>
      <c r="G143">
        <v>3</v>
      </c>
      <c r="H143">
        <v>355.68</v>
      </c>
      <c r="I143">
        <v>0.12</v>
      </c>
      <c r="J143">
        <v>939</v>
      </c>
      <c r="K143">
        <f t="shared" si="6"/>
        <v>1067.04</v>
      </c>
      <c r="L143">
        <f t="shared" si="7"/>
        <v>128.03999999999996</v>
      </c>
      <c r="M143">
        <f t="shared" si="8"/>
        <v>939</v>
      </c>
      <c r="N143" t="s">
        <v>33</v>
      </c>
      <c r="O143" t="s">
        <v>20</v>
      </c>
      <c r="P143" t="s">
        <v>30</v>
      </c>
      <c r="Q143" t="s">
        <v>22</v>
      </c>
    </row>
    <row r="144" spans="1:17" x14ac:dyDescent="0.3">
      <c r="A144" t="s">
        <v>205</v>
      </c>
      <c r="B144" s="1">
        <v>45701</v>
      </c>
      <c r="C144" t="s">
        <v>15</v>
      </c>
      <c r="D144" t="s">
        <v>16</v>
      </c>
      <c r="E144" t="s">
        <v>27</v>
      </c>
      <c r="F144" t="s">
        <v>79</v>
      </c>
      <c r="G144">
        <v>3</v>
      </c>
      <c r="H144">
        <v>2301.66</v>
      </c>
      <c r="I144">
        <v>0.13</v>
      </c>
      <c r="J144">
        <v>6007.33</v>
      </c>
      <c r="K144">
        <f t="shared" si="6"/>
        <v>6904.98</v>
      </c>
      <c r="L144">
        <f t="shared" si="7"/>
        <v>897.64999999999964</v>
      </c>
      <c r="M144">
        <f t="shared" si="8"/>
        <v>6007.33</v>
      </c>
      <c r="N144" t="s">
        <v>58</v>
      </c>
      <c r="O144" t="s">
        <v>20</v>
      </c>
      <c r="P144" t="s">
        <v>30</v>
      </c>
      <c r="Q144" t="s">
        <v>37</v>
      </c>
    </row>
    <row r="145" spans="1:17" x14ac:dyDescent="0.3">
      <c r="A145" t="s">
        <v>206</v>
      </c>
      <c r="B145" s="1">
        <v>45787</v>
      </c>
      <c r="C145" t="s">
        <v>15</v>
      </c>
      <c r="D145" t="s">
        <v>16</v>
      </c>
      <c r="E145" t="s">
        <v>61</v>
      </c>
      <c r="F145" t="s">
        <v>92</v>
      </c>
      <c r="G145">
        <v>1</v>
      </c>
      <c r="H145">
        <v>2042.62</v>
      </c>
      <c r="I145">
        <v>0.09</v>
      </c>
      <c r="J145">
        <v>1858.78</v>
      </c>
      <c r="K145">
        <f t="shared" si="6"/>
        <v>2042.62</v>
      </c>
      <c r="L145">
        <f t="shared" si="7"/>
        <v>183.83999999999992</v>
      </c>
      <c r="M145">
        <f t="shared" si="8"/>
        <v>1858.78</v>
      </c>
      <c r="N145" t="s">
        <v>58</v>
      </c>
      <c r="O145" t="s">
        <v>34</v>
      </c>
      <c r="P145" t="s">
        <v>30</v>
      </c>
      <c r="Q145" t="s">
        <v>22</v>
      </c>
    </row>
    <row r="146" spans="1:17" x14ac:dyDescent="0.3">
      <c r="A146" t="s">
        <v>207</v>
      </c>
      <c r="B146" s="1">
        <v>45756</v>
      </c>
      <c r="C146" t="s">
        <v>24</v>
      </c>
      <c r="D146" t="s">
        <v>43</v>
      </c>
      <c r="E146" t="s">
        <v>17</v>
      </c>
      <c r="F146" t="s">
        <v>32</v>
      </c>
      <c r="G146">
        <v>2</v>
      </c>
      <c r="H146">
        <v>287.69</v>
      </c>
      <c r="I146">
        <v>0.23</v>
      </c>
      <c r="J146">
        <v>443.04</v>
      </c>
      <c r="K146">
        <f t="shared" si="6"/>
        <v>575.38</v>
      </c>
      <c r="L146">
        <f t="shared" si="7"/>
        <v>132.33999999999997</v>
      </c>
      <c r="M146">
        <f t="shared" si="8"/>
        <v>443.04</v>
      </c>
      <c r="N146" t="s">
        <v>46</v>
      </c>
      <c r="O146" t="s">
        <v>20</v>
      </c>
      <c r="P146" t="s">
        <v>30</v>
      </c>
      <c r="Q146" t="s">
        <v>88</v>
      </c>
    </row>
    <row r="147" spans="1:17" x14ac:dyDescent="0.3">
      <c r="A147" t="s">
        <v>208</v>
      </c>
      <c r="B147" s="1">
        <v>45736</v>
      </c>
      <c r="C147" t="s">
        <v>36</v>
      </c>
      <c r="D147" t="s">
        <v>25</v>
      </c>
      <c r="E147" t="s">
        <v>49</v>
      </c>
      <c r="F147" t="s">
        <v>50</v>
      </c>
      <c r="G147">
        <v>1</v>
      </c>
      <c r="H147">
        <v>1354.03</v>
      </c>
      <c r="I147">
        <v>0.21</v>
      </c>
      <c r="J147">
        <v>1069.68</v>
      </c>
      <c r="K147">
        <f t="shared" si="6"/>
        <v>1354.03</v>
      </c>
      <c r="L147">
        <f t="shared" si="7"/>
        <v>284.34999999999991</v>
      </c>
      <c r="M147">
        <f t="shared" si="8"/>
        <v>1069.68</v>
      </c>
      <c r="N147" t="s">
        <v>58</v>
      </c>
      <c r="O147" t="s">
        <v>20</v>
      </c>
      <c r="P147" t="s">
        <v>21</v>
      </c>
      <c r="Q147" t="s">
        <v>22</v>
      </c>
    </row>
    <row r="148" spans="1:17" x14ac:dyDescent="0.3">
      <c r="A148" t="s">
        <v>209</v>
      </c>
      <c r="B148" s="1">
        <v>45831</v>
      </c>
      <c r="C148" t="s">
        <v>15</v>
      </c>
      <c r="D148" t="s">
        <v>16</v>
      </c>
      <c r="E148" t="s">
        <v>99</v>
      </c>
      <c r="F148" t="s">
        <v>100</v>
      </c>
      <c r="G148">
        <v>2</v>
      </c>
      <c r="H148">
        <v>2157.15</v>
      </c>
      <c r="I148">
        <v>0.2</v>
      </c>
      <c r="J148">
        <v>3451.44</v>
      </c>
      <c r="K148">
        <f t="shared" si="6"/>
        <v>4314.3</v>
      </c>
      <c r="L148">
        <f t="shared" si="7"/>
        <v>862.86000000000013</v>
      </c>
      <c r="M148">
        <f t="shared" si="8"/>
        <v>3451.44</v>
      </c>
      <c r="N148" t="s">
        <v>58</v>
      </c>
      <c r="O148" t="s">
        <v>20</v>
      </c>
      <c r="P148" t="s">
        <v>30</v>
      </c>
      <c r="Q148" t="s">
        <v>22</v>
      </c>
    </row>
    <row r="149" spans="1:17" x14ac:dyDescent="0.3">
      <c r="A149" t="s">
        <v>210</v>
      </c>
      <c r="B149" s="1">
        <v>45837</v>
      </c>
      <c r="C149" t="s">
        <v>36</v>
      </c>
      <c r="D149" t="s">
        <v>43</v>
      </c>
      <c r="E149" t="s">
        <v>49</v>
      </c>
      <c r="F149" t="s">
        <v>56</v>
      </c>
      <c r="G149">
        <v>2</v>
      </c>
      <c r="H149">
        <v>1527.23</v>
      </c>
      <c r="I149">
        <v>0</v>
      </c>
      <c r="J149">
        <v>3054.46</v>
      </c>
      <c r="K149">
        <f t="shared" si="6"/>
        <v>3054.46</v>
      </c>
      <c r="L149">
        <f t="shared" si="7"/>
        <v>0</v>
      </c>
      <c r="M149">
        <f t="shared" si="8"/>
        <v>3054.46</v>
      </c>
      <c r="N149" t="s">
        <v>33</v>
      </c>
      <c r="O149" t="s">
        <v>20</v>
      </c>
      <c r="P149" t="s">
        <v>30</v>
      </c>
      <c r="Q149" t="s">
        <v>22</v>
      </c>
    </row>
    <row r="150" spans="1:17" x14ac:dyDescent="0.3">
      <c r="A150" t="s">
        <v>211</v>
      </c>
      <c r="B150" s="1">
        <v>45784</v>
      </c>
      <c r="C150" t="s">
        <v>36</v>
      </c>
      <c r="D150" t="s">
        <v>16</v>
      </c>
      <c r="E150" t="s">
        <v>61</v>
      </c>
      <c r="F150" t="s">
        <v>62</v>
      </c>
      <c r="G150">
        <v>5</v>
      </c>
      <c r="H150">
        <v>2766</v>
      </c>
      <c r="I150">
        <v>0.2</v>
      </c>
      <c r="J150">
        <v>11064</v>
      </c>
      <c r="K150">
        <f t="shared" si="6"/>
        <v>13830</v>
      </c>
      <c r="L150">
        <f t="shared" si="7"/>
        <v>2766</v>
      </c>
      <c r="M150">
        <f t="shared" si="8"/>
        <v>11064</v>
      </c>
      <c r="N150" t="s">
        <v>46</v>
      </c>
      <c r="O150" t="s">
        <v>20</v>
      </c>
      <c r="P150" t="s">
        <v>21</v>
      </c>
      <c r="Q150" t="s">
        <v>22</v>
      </c>
    </row>
    <row r="151" spans="1:17" x14ac:dyDescent="0.3">
      <c r="A151" t="s">
        <v>212</v>
      </c>
      <c r="B151" s="1">
        <v>45749</v>
      </c>
      <c r="C151" t="s">
        <v>48</v>
      </c>
      <c r="D151" t="s">
        <v>16</v>
      </c>
      <c r="E151" t="s">
        <v>49</v>
      </c>
      <c r="F151" t="s">
        <v>56</v>
      </c>
      <c r="G151">
        <v>1</v>
      </c>
      <c r="H151">
        <v>1849.76</v>
      </c>
      <c r="I151">
        <v>0.02</v>
      </c>
      <c r="J151">
        <v>1812.76</v>
      </c>
      <c r="K151">
        <f t="shared" si="6"/>
        <v>1849.76</v>
      </c>
      <c r="L151">
        <f t="shared" si="7"/>
        <v>37</v>
      </c>
      <c r="M151">
        <f t="shared" si="8"/>
        <v>1812.76</v>
      </c>
      <c r="N151" t="s">
        <v>46</v>
      </c>
      <c r="O151" t="s">
        <v>34</v>
      </c>
      <c r="P151" t="s">
        <v>54</v>
      </c>
      <c r="Q151" t="s">
        <v>88</v>
      </c>
    </row>
    <row r="152" spans="1:17" x14ac:dyDescent="0.3">
      <c r="A152" t="s">
        <v>213</v>
      </c>
      <c r="B152" s="1">
        <v>45687</v>
      </c>
      <c r="C152" t="s">
        <v>24</v>
      </c>
      <c r="D152" t="s">
        <v>25</v>
      </c>
      <c r="E152" t="s">
        <v>99</v>
      </c>
      <c r="F152" t="s">
        <v>100</v>
      </c>
      <c r="G152">
        <v>3</v>
      </c>
      <c r="H152">
        <v>4086.19</v>
      </c>
      <c r="I152">
        <v>0.04</v>
      </c>
      <c r="J152">
        <v>11768.23</v>
      </c>
      <c r="K152">
        <f t="shared" si="6"/>
        <v>12258.57</v>
      </c>
      <c r="L152">
        <f t="shared" si="7"/>
        <v>490.34000000000015</v>
      </c>
      <c r="M152">
        <f t="shared" si="8"/>
        <v>11768.23</v>
      </c>
      <c r="N152" t="s">
        <v>46</v>
      </c>
      <c r="O152" t="s">
        <v>29</v>
      </c>
      <c r="P152" t="s">
        <v>21</v>
      </c>
      <c r="Q152" t="s">
        <v>59</v>
      </c>
    </row>
    <row r="153" spans="1:17" x14ac:dyDescent="0.3">
      <c r="A153" t="s">
        <v>214</v>
      </c>
      <c r="B153" s="1">
        <v>45711</v>
      </c>
      <c r="C153" t="s">
        <v>52</v>
      </c>
      <c r="D153" t="s">
        <v>16</v>
      </c>
      <c r="E153" t="s">
        <v>49</v>
      </c>
      <c r="F153" t="s">
        <v>73</v>
      </c>
      <c r="G153">
        <v>4</v>
      </c>
      <c r="H153">
        <v>281.22000000000003</v>
      </c>
      <c r="I153">
        <v>0.05</v>
      </c>
      <c r="J153">
        <v>1068.6400000000001</v>
      </c>
      <c r="K153">
        <f t="shared" si="6"/>
        <v>1124.8800000000001</v>
      </c>
      <c r="L153">
        <f t="shared" si="7"/>
        <v>56.240000000000009</v>
      </c>
      <c r="M153">
        <f t="shared" si="8"/>
        <v>1068.6400000000001</v>
      </c>
      <c r="N153" t="s">
        <v>58</v>
      </c>
      <c r="O153" t="s">
        <v>29</v>
      </c>
      <c r="P153" t="s">
        <v>54</v>
      </c>
      <c r="Q153" t="s">
        <v>22</v>
      </c>
    </row>
    <row r="154" spans="1:17" x14ac:dyDescent="0.3">
      <c r="A154" t="s">
        <v>215</v>
      </c>
      <c r="B154" s="1">
        <v>45687</v>
      </c>
      <c r="C154" t="s">
        <v>36</v>
      </c>
      <c r="D154" t="s">
        <v>16</v>
      </c>
      <c r="E154" t="s">
        <v>99</v>
      </c>
      <c r="F154" t="s">
        <v>115</v>
      </c>
      <c r="G154">
        <v>1</v>
      </c>
      <c r="H154">
        <v>3791.13</v>
      </c>
      <c r="I154">
        <v>0.05</v>
      </c>
      <c r="J154">
        <v>3601.57</v>
      </c>
      <c r="K154">
        <f t="shared" si="6"/>
        <v>3791.13</v>
      </c>
      <c r="L154">
        <f t="shared" si="7"/>
        <v>189.55999999999995</v>
      </c>
      <c r="M154">
        <f t="shared" si="8"/>
        <v>3601.57</v>
      </c>
      <c r="N154" t="s">
        <v>41</v>
      </c>
      <c r="O154" t="s">
        <v>34</v>
      </c>
      <c r="P154" t="s">
        <v>30</v>
      </c>
      <c r="Q154" t="s">
        <v>37</v>
      </c>
    </row>
    <row r="155" spans="1:17" x14ac:dyDescent="0.3">
      <c r="A155" t="s">
        <v>216</v>
      </c>
      <c r="B155" s="1">
        <v>45707</v>
      </c>
      <c r="C155" t="s">
        <v>24</v>
      </c>
      <c r="D155" t="s">
        <v>39</v>
      </c>
      <c r="E155" t="s">
        <v>99</v>
      </c>
      <c r="F155" t="s">
        <v>111</v>
      </c>
      <c r="G155">
        <v>4</v>
      </c>
      <c r="H155">
        <v>3742.21</v>
      </c>
      <c r="I155">
        <v>0.22</v>
      </c>
      <c r="J155">
        <v>11675.7</v>
      </c>
      <c r="K155">
        <f t="shared" si="6"/>
        <v>14968.84</v>
      </c>
      <c r="L155">
        <f t="shared" si="7"/>
        <v>3293.1399999999994</v>
      </c>
      <c r="M155">
        <f t="shared" si="8"/>
        <v>11675.7</v>
      </c>
      <c r="N155" t="s">
        <v>46</v>
      </c>
      <c r="O155" t="s">
        <v>34</v>
      </c>
      <c r="P155" t="s">
        <v>30</v>
      </c>
      <c r="Q155" t="s">
        <v>59</v>
      </c>
    </row>
    <row r="156" spans="1:17" x14ac:dyDescent="0.3">
      <c r="A156" t="s">
        <v>217</v>
      </c>
      <c r="B156" s="1">
        <v>45804</v>
      </c>
      <c r="C156" t="s">
        <v>15</v>
      </c>
      <c r="D156" t="s">
        <v>43</v>
      </c>
      <c r="E156" t="s">
        <v>49</v>
      </c>
      <c r="F156" t="s">
        <v>50</v>
      </c>
      <c r="G156">
        <v>1</v>
      </c>
      <c r="H156">
        <v>3662.7</v>
      </c>
      <c r="I156">
        <v>0.02</v>
      </c>
      <c r="J156">
        <v>3589.45</v>
      </c>
      <c r="K156">
        <f t="shared" si="6"/>
        <v>3662.7</v>
      </c>
      <c r="L156">
        <f t="shared" si="7"/>
        <v>73.25</v>
      </c>
      <c r="M156">
        <f t="shared" si="8"/>
        <v>3589.45</v>
      </c>
      <c r="N156" t="s">
        <v>33</v>
      </c>
      <c r="O156" t="s">
        <v>34</v>
      </c>
      <c r="P156" t="s">
        <v>21</v>
      </c>
      <c r="Q156" t="s">
        <v>22</v>
      </c>
    </row>
    <row r="157" spans="1:17" x14ac:dyDescent="0.3">
      <c r="A157" t="s">
        <v>218</v>
      </c>
      <c r="B157" s="1">
        <v>45769</v>
      </c>
      <c r="C157" t="s">
        <v>24</v>
      </c>
      <c r="D157" t="s">
        <v>43</v>
      </c>
      <c r="E157" t="s">
        <v>99</v>
      </c>
      <c r="F157" t="s">
        <v>120</v>
      </c>
      <c r="G157">
        <v>3</v>
      </c>
      <c r="H157">
        <v>1601.83</v>
      </c>
      <c r="I157">
        <v>0.15</v>
      </c>
      <c r="J157">
        <v>4084.67</v>
      </c>
      <c r="K157">
        <f t="shared" si="6"/>
        <v>4805.49</v>
      </c>
      <c r="L157">
        <f t="shared" si="7"/>
        <v>720.81999999999971</v>
      </c>
      <c r="M157">
        <f t="shared" si="8"/>
        <v>4084.67</v>
      </c>
      <c r="N157" t="s">
        <v>46</v>
      </c>
      <c r="O157" t="s">
        <v>29</v>
      </c>
      <c r="P157" t="s">
        <v>30</v>
      </c>
      <c r="Q157" t="s">
        <v>22</v>
      </c>
    </row>
    <row r="158" spans="1:17" x14ac:dyDescent="0.3">
      <c r="A158" t="s">
        <v>219</v>
      </c>
      <c r="B158" s="1">
        <v>45764</v>
      </c>
      <c r="C158" t="s">
        <v>24</v>
      </c>
      <c r="D158" t="s">
        <v>16</v>
      </c>
      <c r="E158" t="s">
        <v>99</v>
      </c>
      <c r="F158" t="s">
        <v>115</v>
      </c>
      <c r="G158">
        <v>4</v>
      </c>
      <c r="H158">
        <v>1445.32</v>
      </c>
      <c r="I158">
        <v>0.25</v>
      </c>
      <c r="J158">
        <v>4335.96</v>
      </c>
      <c r="K158">
        <f t="shared" si="6"/>
        <v>5781.28</v>
      </c>
      <c r="L158">
        <f t="shared" si="7"/>
        <v>1445.3199999999997</v>
      </c>
      <c r="M158">
        <f t="shared" si="8"/>
        <v>4335.96</v>
      </c>
      <c r="N158" t="s">
        <v>46</v>
      </c>
      <c r="O158" t="s">
        <v>29</v>
      </c>
      <c r="P158" t="s">
        <v>54</v>
      </c>
      <c r="Q158" t="s">
        <v>22</v>
      </c>
    </row>
    <row r="159" spans="1:17" x14ac:dyDescent="0.3">
      <c r="A159" t="s">
        <v>220</v>
      </c>
      <c r="B159" s="1">
        <v>45711</v>
      </c>
      <c r="C159" t="s">
        <v>36</v>
      </c>
      <c r="D159" t="s">
        <v>16</v>
      </c>
      <c r="E159" t="s">
        <v>49</v>
      </c>
      <c r="F159" t="s">
        <v>53</v>
      </c>
      <c r="G159">
        <v>2</v>
      </c>
      <c r="H159">
        <v>4258.4799999999996</v>
      </c>
      <c r="I159">
        <v>0.17</v>
      </c>
      <c r="J159">
        <v>7069.08</v>
      </c>
      <c r="K159">
        <f t="shared" si="6"/>
        <v>8516.9599999999991</v>
      </c>
      <c r="L159">
        <f t="shared" si="7"/>
        <v>1447.8799999999992</v>
      </c>
      <c r="M159">
        <f t="shared" si="8"/>
        <v>7069.08</v>
      </c>
      <c r="N159" t="s">
        <v>19</v>
      </c>
      <c r="O159" t="s">
        <v>20</v>
      </c>
      <c r="P159" t="s">
        <v>30</v>
      </c>
      <c r="Q159" t="s">
        <v>22</v>
      </c>
    </row>
    <row r="160" spans="1:17" x14ac:dyDescent="0.3">
      <c r="A160" t="s">
        <v>221</v>
      </c>
      <c r="B160" s="1">
        <v>45805</v>
      </c>
      <c r="C160" t="s">
        <v>15</v>
      </c>
      <c r="D160" t="s">
        <v>39</v>
      </c>
      <c r="E160" t="s">
        <v>61</v>
      </c>
      <c r="F160" t="s">
        <v>66</v>
      </c>
      <c r="G160">
        <v>1</v>
      </c>
      <c r="H160">
        <v>3064.96</v>
      </c>
      <c r="I160">
        <v>0.17</v>
      </c>
      <c r="J160">
        <v>2543.92</v>
      </c>
      <c r="K160">
        <f t="shared" si="6"/>
        <v>3064.96</v>
      </c>
      <c r="L160">
        <f t="shared" si="7"/>
        <v>521.04</v>
      </c>
      <c r="M160">
        <f t="shared" si="8"/>
        <v>2543.92</v>
      </c>
      <c r="N160" t="s">
        <v>41</v>
      </c>
      <c r="O160" t="s">
        <v>29</v>
      </c>
      <c r="P160" t="s">
        <v>30</v>
      </c>
      <c r="Q160" t="s">
        <v>22</v>
      </c>
    </row>
    <row r="161" spans="1:17" x14ac:dyDescent="0.3">
      <c r="A161" t="s">
        <v>222</v>
      </c>
      <c r="B161" s="1">
        <v>45773</v>
      </c>
      <c r="C161" t="s">
        <v>36</v>
      </c>
      <c r="D161" t="s">
        <v>16</v>
      </c>
      <c r="E161" t="s">
        <v>17</v>
      </c>
      <c r="F161" t="s">
        <v>44</v>
      </c>
      <c r="G161">
        <v>3</v>
      </c>
      <c r="H161">
        <v>3282.85</v>
      </c>
      <c r="I161">
        <v>0.06</v>
      </c>
      <c r="J161">
        <v>9257.64</v>
      </c>
      <c r="K161">
        <f t="shared" si="6"/>
        <v>9848.5499999999993</v>
      </c>
      <c r="L161">
        <f t="shared" si="7"/>
        <v>590.90999999999985</v>
      </c>
      <c r="M161">
        <f t="shared" si="8"/>
        <v>9257.64</v>
      </c>
      <c r="N161" t="s">
        <v>46</v>
      </c>
      <c r="O161" t="s">
        <v>34</v>
      </c>
      <c r="P161" t="s">
        <v>54</v>
      </c>
      <c r="Q161" t="s">
        <v>22</v>
      </c>
    </row>
    <row r="162" spans="1:17" x14ac:dyDescent="0.3">
      <c r="A162" t="s">
        <v>223</v>
      </c>
      <c r="B162" s="1">
        <v>45743</v>
      </c>
      <c r="C162" t="s">
        <v>36</v>
      </c>
      <c r="D162" t="s">
        <v>39</v>
      </c>
      <c r="E162" t="s">
        <v>49</v>
      </c>
      <c r="F162" t="s">
        <v>50</v>
      </c>
      <c r="G162">
        <v>3</v>
      </c>
      <c r="H162">
        <v>3549.79</v>
      </c>
      <c r="I162">
        <v>0.05</v>
      </c>
      <c r="J162">
        <v>10116.9</v>
      </c>
      <c r="K162">
        <f t="shared" si="6"/>
        <v>10649.369999999999</v>
      </c>
      <c r="L162">
        <f t="shared" si="7"/>
        <v>532.46999999999935</v>
      </c>
      <c r="M162">
        <f t="shared" si="8"/>
        <v>10116.9</v>
      </c>
      <c r="N162" t="s">
        <v>58</v>
      </c>
      <c r="O162" t="s">
        <v>34</v>
      </c>
      <c r="P162" t="s">
        <v>21</v>
      </c>
      <c r="Q162" t="s">
        <v>22</v>
      </c>
    </row>
    <row r="163" spans="1:17" x14ac:dyDescent="0.3">
      <c r="A163" t="s">
        <v>224</v>
      </c>
      <c r="B163" s="1">
        <v>45834</v>
      </c>
      <c r="C163" t="s">
        <v>24</v>
      </c>
      <c r="D163" t="s">
        <v>39</v>
      </c>
      <c r="E163" t="s">
        <v>49</v>
      </c>
      <c r="F163" t="s">
        <v>73</v>
      </c>
      <c r="G163">
        <v>4</v>
      </c>
      <c r="H163">
        <v>946.02</v>
      </c>
      <c r="I163">
        <v>0.18</v>
      </c>
      <c r="J163">
        <v>3102.95</v>
      </c>
      <c r="K163">
        <f t="shared" si="6"/>
        <v>3784.08</v>
      </c>
      <c r="L163">
        <f t="shared" si="7"/>
        <v>681.13000000000011</v>
      </c>
      <c r="M163">
        <f t="shared" si="8"/>
        <v>3102.95</v>
      </c>
      <c r="N163" t="s">
        <v>19</v>
      </c>
      <c r="O163" t="s">
        <v>20</v>
      </c>
      <c r="P163" t="s">
        <v>54</v>
      </c>
      <c r="Q163" t="s">
        <v>22</v>
      </c>
    </row>
    <row r="164" spans="1:17" x14ac:dyDescent="0.3">
      <c r="A164" t="s">
        <v>225</v>
      </c>
      <c r="B164" s="1">
        <v>45773</v>
      </c>
      <c r="C164" t="s">
        <v>15</v>
      </c>
      <c r="D164" t="s">
        <v>43</v>
      </c>
      <c r="E164" t="s">
        <v>17</v>
      </c>
      <c r="F164" t="s">
        <v>32</v>
      </c>
      <c r="G164">
        <v>2</v>
      </c>
      <c r="H164">
        <v>3989.11</v>
      </c>
      <c r="I164">
        <v>0.13</v>
      </c>
      <c r="J164">
        <v>6941.05</v>
      </c>
      <c r="K164">
        <f t="shared" si="6"/>
        <v>7978.22</v>
      </c>
      <c r="L164">
        <f t="shared" si="7"/>
        <v>1037.17</v>
      </c>
      <c r="M164">
        <f t="shared" si="8"/>
        <v>6941.05</v>
      </c>
      <c r="N164" t="s">
        <v>19</v>
      </c>
      <c r="O164" t="s">
        <v>29</v>
      </c>
      <c r="P164" t="s">
        <v>54</v>
      </c>
      <c r="Q164" t="s">
        <v>88</v>
      </c>
    </row>
    <row r="165" spans="1:17" x14ac:dyDescent="0.3">
      <c r="A165" t="s">
        <v>226</v>
      </c>
      <c r="B165" s="1">
        <v>45737</v>
      </c>
      <c r="C165" t="s">
        <v>24</v>
      </c>
      <c r="D165" t="s">
        <v>43</v>
      </c>
      <c r="E165" t="s">
        <v>61</v>
      </c>
      <c r="F165" t="s">
        <v>92</v>
      </c>
      <c r="G165">
        <v>5</v>
      </c>
      <c r="H165">
        <v>1907.66</v>
      </c>
      <c r="I165">
        <v>0.2</v>
      </c>
      <c r="J165">
        <v>7630.64</v>
      </c>
      <c r="K165">
        <f t="shared" si="6"/>
        <v>9538.3000000000011</v>
      </c>
      <c r="L165">
        <f t="shared" si="7"/>
        <v>1907.6600000000008</v>
      </c>
      <c r="M165">
        <f t="shared" si="8"/>
        <v>7630.64</v>
      </c>
      <c r="N165" t="s">
        <v>46</v>
      </c>
      <c r="O165" t="s">
        <v>29</v>
      </c>
      <c r="P165" t="s">
        <v>21</v>
      </c>
      <c r="Q165" t="s">
        <v>22</v>
      </c>
    </row>
    <row r="166" spans="1:17" x14ac:dyDescent="0.3">
      <c r="A166" t="s">
        <v>227</v>
      </c>
      <c r="B166" s="1">
        <v>45730</v>
      </c>
      <c r="C166" t="s">
        <v>15</v>
      </c>
      <c r="D166" t="s">
        <v>16</v>
      </c>
      <c r="E166" t="s">
        <v>17</v>
      </c>
      <c r="F166" t="s">
        <v>18</v>
      </c>
      <c r="G166">
        <v>4</v>
      </c>
      <c r="H166">
        <v>2675.91</v>
      </c>
      <c r="I166">
        <v>0.19</v>
      </c>
      <c r="J166">
        <v>8669.9500000000007</v>
      </c>
      <c r="K166">
        <f t="shared" si="6"/>
        <v>10703.64</v>
      </c>
      <c r="L166">
        <f t="shared" si="7"/>
        <v>2033.6899999999987</v>
      </c>
      <c r="M166">
        <f t="shared" si="8"/>
        <v>8669.9500000000007</v>
      </c>
      <c r="N166" t="s">
        <v>41</v>
      </c>
      <c r="O166" t="s">
        <v>29</v>
      </c>
      <c r="P166" t="s">
        <v>21</v>
      </c>
      <c r="Q166" t="s">
        <v>22</v>
      </c>
    </row>
    <row r="167" spans="1:17" x14ac:dyDescent="0.3">
      <c r="A167" t="s">
        <v>228</v>
      </c>
      <c r="B167" s="1">
        <v>45702</v>
      </c>
      <c r="C167" t="s">
        <v>48</v>
      </c>
      <c r="D167" t="s">
        <v>43</v>
      </c>
      <c r="E167" t="s">
        <v>99</v>
      </c>
      <c r="F167" t="s">
        <v>120</v>
      </c>
      <c r="G167">
        <v>5</v>
      </c>
      <c r="H167">
        <v>1788.12</v>
      </c>
      <c r="I167">
        <v>0.22</v>
      </c>
      <c r="J167">
        <v>6973.67</v>
      </c>
      <c r="K167">
        <f t="shared" si="6"/>
        <v>8940.5999999999985</v>
      </c>
      <c r="L167">
        <f t="shared" si="7"/>
        <v>1966.9299999999985</v>
      </c>
      <c r="M167">
        <f t="shared" si="8"/>
        <v>6973.67</v>
      </c>
      <c r="N167" t="s">
        <v>41</v>
      </c>
      <c r="O167" t="s">
        <v>29</v>
      </c>
      <c r="P167" t="s">
        <v>21</v>
      </c>
      <c r="Q167" t="s">
        <v>88</v>
      </c>
    </row>
    <row r="168" spans="1:17" x14ac:dyDescent="0.3">
      <c r="A168" t="s">
        <v>229</v>
      </c>
      <c r="B168" s="1">
        <v>45686</v>
      </c>
      <c r="C168" t="s">
        <v>36</v>
      </c>
      <c r="D168" t="s">
        <v>43</v>
      </c>
      <c r="E168" t="s">
        <v>61</v>
      </c>
      <c r="F168" t="s">
        <v>92</v>
      </c>
      <c r="G168">
        <v>5</v>
      </c>
      <c r="H168">
        <v>849.78</v>
      </c>
      <c r="I168">
        <v>0.04</v>
      </c>
      <c r="J168">
        <v>4078.94</v>
      </c>
      <c r="K168">
        <f t="shared" si="6"/>
        <v>4248.8999999999996</v>
      </c>
      <c r="L168">
        <f t="shared" si="7"/>
        <v>169.95999999999958</v>
      </c>
      <c r="M168">
        <f t="shared" si="8"/>
        <v>4078.94</v>
      </c>
      <c r="N168" t="s">
        <v>58</v>
      </c>
      <c r="O168" t="s">
        <v>20</v>
      </c>
      <c r="P168" t="s">
        <v>30</v>
      </c>
      <c r="Q168" t="s">
        <v>22</v>
      </c>
    </row>
    <row r="169" spans="1:17" x14ac:dyDescent="0.3">
      <c r="A169" t="s">
        <v>230</v>
      </c>
      <c r="B169" s="1">
        <v>45758</v>
      </c>
      <c r="C169" t="s">
        <v>24</v>
      </c>
      <c r="D169" t="s">
        <v>16</v>
      </c>
      <c r="E169" t="s">
        <v>27</v>
      </c>
      <c r="F169" t="s">
        <v>28</v>
      </c>
      <c r="G169">
        <v>5</v>
      </c>
      <c r="H169">
        <v>1444.81</v>
      </c>
      <c r="I169">
        <v>0.16</v>
      </c>
      <c r="J169">
        <v>6068.2</v>
      </c>
      <c r="K169">
        <f t="shared" si="6"/>
        <v>7224.0499999999993</v>
      </c>
      <c r="L169">
        <f t="shared" si="7"/>
        <v>1155.8499999999995</v>
      </c>
      <c r="M169">
        <f t="shared" si="8"/>
        <v>6068.2</v>
      </c>
      <c r="N169" t="s">
        <v>46</v>
      </c>
      <c r="O169" t="s">
        <v>20</v>
      </c>
      <c r="P169" t="s">
        <v>21</v>
      </c>
      <c r="Q169" t="s">
        <v>22</v>
      </c>
    </row>
    <row r="170" spans="1:17" x14ac:dyDescent="0.3">
      <c r="A170" t="s">
        <v>231</v>
      </c>
      <c r="B170" s="1">
        <v>45755</v>
      </c>
      <c r="C170" t="s">
        <v>52</v>
      </c>
      <c r="D170" t="s">
        <v>16</v>
      </c>
      <c r="E170" t="s">
        <v>61</v>
      </c>
      <c r="F170" t="s">
        <v>75</v>
      </c>
      <c r="G170">
        <v>5</v>
      </c>
      <c r="H170">
        <v>1754.34</v>
      </c>
      <c r="I170">
        <v>0.23</v>
      </c>
      <c r="J170">
        <v>6754.21</v>
      </c>
      <c r="K170">
        <f t="shared" si="6"/>
        <v>8771.6999999999989</v>
      </c>
      <c r="L170">
        <f t="shared" si="7"/>
        <v>2017.4899999999989</v>
      </c>
      <c r="M170">
        <f t="shared" si="8"/>
        <v>6754.21</v>
      </c>
      <c r="N170" t="s">
        <v>33</v>
      </c>
      <c r="O170" t="s">
        <v>29</v>
      </c>
      <c r="P170" t="s">
        <v>54</v>
      </c>
      <c r="Q170" t="s">
        <v>22</v>
      </c>
    </row>
    <row r="171" spans="1:17" x14ac:dyDescent="0.3">
      <c r="A171" t="s">
        <v>232</v>
      </c>
      <c r="B171" s="1">
        <v>45677</v>
      </c>
      <c r="C171" t="s">
        <v>52</v>
      </c>
      <c r="D171" t="s">
        <v>39</v>
      </c>
      <c r="E171" t="s">
        <v>27</v>
      </c>
      <c r="F171" t="s">
        <v>28</v>
      </c>
      <c r="G171">
        <v>5</v>
      </c>
      <c r="H171">
        <v>3231.06</v>
      </c>
      <c r="I171">
        <v>0.12</v>
      </c>
      <c r="J171">
        <v>14216.66</v>
      </c>
      <c r="K171">
        <f t="shared" si="6"/>
        <v>16155.3</v>
      </c>
      <c r="L171">
        <f t="shared" si="7"/>
        <v>1938.6399999999994</v>
      </c>
      <c r="M171">
        <f t="shared" si="8"/>
        <v>14216.66</v>
      </c>
      <c r="N171" t="s">
        <v>33</v>
      </c>
      <c r="O171" t="s">
        <v>34</v>
      </c>
      <c r="P171" t="s">
        <v>21</v>
      </c>
      <c r="Q171" t="s">
        <v>22</v>
      </c>
    </row>
    <row r="172" spans="1:17" x14ac:dyDescent="0.3">
      <c r="A172" t="s">
        <v>233</v>
      </c>
      <c r="B172" s="1">
        <v>45806</v>
      </c>
      <c r="C172" t="s">
        <v>52</v>
      </c>
      <c r="D172" t="s">
        <v>25</v>
      </c>
      <c r="E172" t="s">
        <v>99</v>
      </c>
      <c r="F172" t="s">
        <v>115</v>
      </c>
      <c r="G172">
        <v>4</v>
      </c>
      <c r="H172">
        <v>457.57</v>
      </c>
      <c r="I172">
        <v>0.01</v>
      </c>
      <c r="J172">
        <v>1811.98</v>
      </c>
      <c r="K172">
        <f t="shared" si="6"/>
        <v>1830.28</v>
      </c>
      <c r="L172">
        <f t="shared" si="7"/>
        <v>18.299999999999955</v>
      </c>
      <c r="M172">
        <f t="shared" si="8"/>
        <v>1811.98</v>
      </c>
      <c r="N172" t="s">
        <v>41</v>
      </c>
      <c r="O172" t="s">
        <v>34</v>
      </c>
      <c r="P172" t="s">
        <v>30</v>
      </c>
      <c r="Q172" t="s">
        <v>22</v>
      </c>
    </row>
    <row r="173" spans="1:17" x14ac:dyDescent="0.3">
      <c r="A173" t="s">
        <v>234</v>
      </c>
      <c r="B173" s="1">
        <v>45669</v>
      </c>
      <c r="C173" t="s">
        <v>36</v>
      </c>
      <c r="D173" t="s">
        <v>43</v>
      </c>
      <c r="E173" t="s">
        <v>61</v>
      </c>
      <c r="F173" t="s">
        <v>66</v>
      </c>
      <c r="G173">
        <v>3</v>
      </c>
      <c r="H173">
        <v>3697.58</v>
      </c>
      <c r="I173">
        <v>0.22</v>
      </c>
      <c r="J173">
        <v>8652.34</v>
      </c>
      <c r="K173">
        <f t="shared" si="6"/>
        <v>11092.74</v>
      </c>
      <c r="L173">
        <f t="shared" si="7"/>
        <v>2440.3999999999996</v>
      </c>
      <c r="M173">
        <f t="shared" si="8"/>
        <v>8652.34</v>
      </c>
      <c r="N173" t="s">
        <v>19</v>
      </c>
      <c r="O173" t="s">
        <v>34</v>
      </c>
      <c r="P173" t="s">
        <v>30</v>
      </c>
      <c r="Q173" t="s">
        <v>88</v>
      </c>
    </row>
    <row r="174" spans="1:17" x14ac:dyDescent="0.3">
      <c r="A174" t="s">
        <v>235</v>
      </c>
      <c r="B174" s="1">
        <v>45827</v>
      </c>
      <c r="C174" t="s">
        <v>15</v>
      </c>
      <c r="D174" t="s">
        <v>16</v>
      </c>
      <c r="E174" t="s">
        <v>27</v>
      </c>
      <c r="F174" t="s">
        <v>79</v>
      </c>
      <c r="G174">
        <v>1</v>
      </c>
      <c r="H174">
        <v>1410.61</v>
      </c>
      <c r="I174">
        <v>0.06</v>
      </c>
      <c r="J174">
        <v>1325.97</v>
      </c>
      <c r="K174">
        <f t="shared" si="6"/>
        <v>1410.61</v>
      </c>
      <c r="L174">
        <f t="shared" si="7"/>
        <v>84.639999999999873</v>
      </c>
      <c r="M174">
        <f t="shared" si="8"/>
        <v>1325.97</v>
      </c>
      <c r="N174" t="s">
        <v>19</v>
      </c>
      <c r="O174" t="s">
        <v>34</v>
      </c>
      <c r="P174" t="s">
        <v>54</v>
      </c>
      <c r="Q174" t="s">
        <v>22</v>
      </c>
    </row>
    <row r="175" spans="1:17" x14ac:dyDescent="0.3">
      <c r="A175" t="s">
        <v>236</v>
      </c>
      <c r="B175" s="1">
        <v>45681</v>
      </c>
      <c r="C175" t="s">
        <v>52</v>
      </c>
      <c r="D175" t="s">
        <v>25</v>
      </c>
      <c r="E175" t="s">
        <v>49</v>
      </c>
      <c r="F175" t="s">
        <v>50</v>
      </c>
      <c r="G175">
        <v>5</v>
      </c>
      <c r="H175">
        <v>3633.53</v>
      </c>
      <c r="I175">
        <v>0.05</v>
      </c>
      <c r="J175">
        <v>17259.27</v>
      </c>
      <c r="K175">
        <f t="shared" si="6"/>
        <v>18167.650000000001</v>
      </c>
      <c r="L175">
        <f t="shared" si="7"/>
        <v>908.38000000000102</v>
      </c>
      <c r="M175">
        <f t="shared" si="8"/>
        <v>17259.27</v>
      </c>
      <c r="N175" t="s">
        <v>19</v>
      </c>
      <c r="O175" t="s">
        <v>34</v>
      </c>
      <c r="P175" t="s">
        <v>54</v>
      </c>
      <c r="Q175" t="s">
        <v>59</v>
      </c>
    </row>
    <row r="176" spans="1:17" x14ac:dyDescent="0.3">
      <c r="A176" t="s">
        <v>237</v>
      </c>
      <c r="B176" s="1">
        <v>45689</v>
      </c>
      <c r="C176" t="s">
        <v>15</v>
      </c>
      <c r="D176" t="s">
        <v>43</v>
      </c>
      <c r="E176" t="s">
        <v>49</v>
      </c>
      <c r="F176" t="s">
        <v>50</v>
      </c>
      <c r="G176">
        <v>1</v>
      </c>
      <c r="H176">
        <v>4731.6400000000003</v>
      </c>
      <c r="I176">
        <v>0.13</v>
      </c>
      <c r="J176">
        <v>4116.53</v>
      </c>
      <c r="K176">
        <f t="shared" si="6"/>
        <v>4731.6400000000003</v>
      </c>
      <c r="L176">
        <f t="shared" si="7"/>
        <v>615.11000000000058</v>
      </c>
      <c r="M176">
        <f t="shared" si="8"/>
        <v>4116.53</v>
      </c>
      <c r="N176" t="s">
        <v>41</v>
      </c>
      <c r="O176" t="s">
        <v>20</v>
      </c>
      <c r="P176" t="s">
        <v>54</v>
      </c>
      <c r="Q176" t="s">
        <v>22</v>
      </c>
    </row>
    <row r="177" spans="1:17" x14ac:dyDescent="0.3">
      <c r="A177" t="s">
        <v>238</v>
      </c>
      <c r="B177" s="1">
        <v>45781</v>
      </c>
      <c r="C177" t="s">
        <v>15</v>
      </c>
      <c r="D177" t="s">
        <v>25</v>
      </c>
      <c r="E177" t="s">
        <v>17</v>
      </c>
      <c r="F177" t="s">
        <v>18</v>
      </c>
      <c r="G177">
        <v>4</v>
      </c>
      <c r="H177">
        <v>1500.17</v>
      </c>
      <c r="I177">
        <v>0</v>
      </c>
      <c r="J177">
        <v>6000.68</v>
      </c>
      <c r="K177">
        <f t="shared" si="6"/>
        <v>6000.68</v>
      </c>
      <c r="L177">
        <f t="shared" si="7"/>
        <v>0</v>
      </c>
      <c r="M177">
        <f t="shared" si="8"/>
        <v>6000.68</v>
      </c>
      <c r="N177" t="s">
        <v>41</v>
      </c>
      <c r="O177" t="s">
        <v>29</v>
      </c>
      <c r="P177" t="s">
        <v>54</v>
      </c>
      <c r="Q177" t="s">
        <v>22</v>
      </c>
    </row>
    <row r="178" spans="1:17" x14ac:dyDescent="0.3">
      <c r="A178" t="s">
        <v>239</v>
      </c>
      <c r="B178" s="1">
        <v>45691</v>
      </c>
      <c r="C178" t="s">
        <v>48</v>
      </c>
      <c r="D178" t="s">
        <v>39</v>
      </c>
      <c r="E178" t="s">
        <v>99</v>
      </c>
      <c r="F178" t="s">
        <v>111</v>
      </c>
      <c r="G178">
        <v>4</v>
      </c>
      <c r="H178">
        <v>350.67</v>
      </c>
      <c r="I178">
        <v>0.14000000000000001</v>
      </c>
      <c r="J178">
        <v>1206.3</v>
      </c>
      <c r="K178">
        <f t="shared" si="6"/>
        <v>1402.68</v>
      </c>
      <c r="L178">
        <f t="shared" si="7"/>
        <v>196.38000000000011</v>
      </c>
      <c r="M178">
        <f t="shared" si="8"/>
        <v>1206.3</v>
      </c>
      <c r="N178" t="s">
        <v>46</v>
      </c>
      <c r="O178" t="s">
        <v>20</v>
      </c>
      <c r="P178" t="s">
        <v>30</v>
      </c>
      <c r="Q178" t="s">
        <v>22</v>
      </c>
    </row>
    <row r="179" spans="1:17" x14ac:dyDescent="0.3">
      <c r="A179" t="s">
        <v>240</v>
      </c>
      <c r="B179" s="1">
        <v>45813</v>
      </c>
      <c r="C179" t="s">
        <v>36</v>
      </c>
      <c r="D179" t="s">
        <v>39</v>
      </c>
      <c r="E179" t="s">
        <v>27</v>
      </c>
      <c r="F179" t="s">
        <v>87</v>
      </c>
      <c r="G179">
        <v>5</v>
      </c>
      <c r="H179">
        <v>682.17</v>
      </c>
      <c r="I179">
        <v>0.24</v>
      </c>
      <c r="J179">
        <v>2592.25</v>
      </c>
      <c r="K179">
        <f t="shared" si="6"/>
        <v>3410.85</v>
      </c>
      <c r="L179">
        <f t="shared" si="7"/>
        <v>818.59999999999991</v>
      </c>
      <c r="M179">
        <f t="shared" si="8"/>
        <v>2592.25</v>
      </c>
      <c r="N179" t="s">
        <v>46</v>
      </c>
      <c r="O179" t="s">
        <v>29</v>
      </c>
      <c r="P179" t="s">
        <v>30</v>
      </c>
      <c r="Q179" t="s">
        <v>88</v>
      </c>
    </row>
    <row r="180" spans="1:17" x14ac:dyDescent="0.3">
      <c r="A180" t="s">
        <v>241</v>
      </c>
      <c r="B180" s="1">
        <v>45792</v>
      </c>
      <c r="C180" t="s">
        <v>52</v>
      </c>
      <c r="D180" t="s">
        <v>43</v>
      </c>
      <c r="E180" t="s">
        <v>99</v>
      </c>
      <c r="F180" t="s">
        <v>111</v>
      </c>
      <c r="G180">
        <v>5</v>
      </c>
      <c r="H180">
        <v>2066.8000000000002</v>
      </c>
      <c r="I180">
        <v>0.01</v>
      </c>
      <c r="J180">
        <v>10230.66</v>
      </c>
      <c r="K180">
        <f t="shared" si="6"/>
        <v>10334</v>
      </c>
      <c r="L180">
        <f t="shared" si="7"/>
        <v>103.34000000000015</v>
      </c>
      <c r="M180">
        <f t="shared" si="8"/>
        <v>10230.66</v>
      </c>
      <c r="N180" t="s">
        <v>19</v>
      </c>
      <c r="O180" t="s">
        <v>29</v>
      </c>
      <c r="P180" t="s">
        <v>54</v>
      </c>
      <c r="Q180" t="s">
        <v>22</v>
      </c>
    </row>
    <row r="181" spans="1:17" x14ac:dyDescent="0.3">
      <c r="A181" t="s">
        <v>242</v>
      </c>
      <c r="B181" s="1">
        <v>45741</v>
      </c>
      <c r="C181" t="s">
        <v>52</v>
      </c>
      <c r="D181" t="s">
        <v>25</v>
      </c>
      <c r="E181" t="s">
        <v>49</v>
      </c>
      <c r="F181" t="s">
        <v>50</v>
      </c>
      <c r="G181">
        <v>2</v>
      </c>
      <c r="H181">
        <v>1707.03</v>
      </c>
      <c r="I181">
        <v>0.15</v>
      </c>
      <c r="J181">
        <v>2901.95</v>
      </c>
      <c r="K181">
        <f t="shared" si="6"/>
        <v>3414.06</v>
      </c>
      <c r="L181">
        <f t="shared" si="7"/>
        <v>512.11000000000013</v>
      </c>
      <c r="M181">
        <f t="shared" si="8"/>
        <v>2901.95</v>
      </c>
      <c r="N181" t="s">
        <v>33</v>
      </c>
      <c r="O181" t="s">
        <v>29</v>
      </c>
      <c r="P181" t="s">
        <v>54</v>
      </c>
      <c r="Q181" t="s">
        <v>59</v>
      </c>
    </row>
    <row r="182" spans="1:17" x14ac:dyDescent="0.3">
      <c r="A182" t="s">
        <v>243</v>
      </c>
      <c r="B182" s="1">
        <v>45775</v>
      </c>
      <c r="C182" t="s">
        <v>36</v>
      </c>
      <c r="D182" t="s">
        <v>39</v>
      </c>
      <c r="E182" t="s">
        <v>99</v>
      </c>
      <c r="F182" t="s">
        <v>111</v>
      </c>
      <c r="G182">
        <v>4</v>
      </c>
      <c r="H182">
        <v>3572.83</v>
      </c>
      <c r="I182">
        <v>7.0000000000000007E-2</v>
      </c>
      <c r="J182">
        <v>13290.93</v>
      </c>
      <c r="K182">
        <f t="shared" si="6"/>
        <v>14291.32</v>
      </c>
      <c r="L182">
        <f t="shared" si="7"/>
        <v>1000.3899999999994</v>
      </c>
      <c r="M182">
        <f t="shared" si="8"/>
        <v>13290.93</v>
      </c>
      <c r="N182" t="s">
        <v>33</v>
      </c>
      <c r="O182" t="s">
        <v>29</v>
      </c>
      <c r="P182" t="s">
        <v>54</v>
      </c>
      <c r="Q182" t="s">
        <v>22</v>
      </c>
    </row>
    <row r="183" spans="1:17" x14ac:dyDescent="0.3">
      <c r="A183" t="s">
        <v>244</v>
      </c>
      <c r="B183" s="1">
        <v>45672</v>
      </c>
      <c r="C183" t="s">
        <v>36</v>
      </c>
      <c r="D183" t="s">
        <v>43</v>
      </c>
      <c r="E183" t="s">
        <v>17</v>
      </c>
      <c r="F183" t="s">
        <v>40</v>
      </c>
      <c r="G183">
        <v>1</v>
      </c>
      <c r="H183">
        <v>3024.86</v>
      </c>
      <c r="I183">
        <v>7.0000000000000007E-2</v>
      </c>
      <c r="J183">
        <v>2813.12</v>
      </c>
      <c r="K183">
        <f t="shared" si="6"/>
        <v>3024.86</v>
      </c>
      <c r="L183">
        <f t="shared" si="7"/>
        <v>211.74000000000024</v>
      </c>
      <c r="M183">
        <f t="shared" si="8"/>
        <v>2813.12</v>
      </c>
      <c r="N183" t="s">
        <v>46</v>
      </c>
      <c r="O183" t="s">
        <v>29</v>
      </c>
      <c r="P183" t="s">
        <v>21</v>
      </c>
      <c r="Q183" t="s">
        <v>22</v>
      </c>
    </row>
    <row r="184" spans="1:17" x14ac:dyDescent="0.3">
      <c r="A184" t="s">
        <v>245</v>
      </c>
      <c r="B184" s="1">
        <v>45734</v>
      </c>
      <c r="C184" t="s">
        <v>52</v>
      </c>
      <c r="D184" t="s">
        <v>43</v>
      </c>
      <c r="E184" t="s">
        <v>27</v>
      </c>
      <c r="F184" t="s">
        <v>87</v>
      </c>
      <c r="G184">
        <v>5</v>
      </c>
      <c r="H184">
        <v>3895.57</v>
      </c>
      <c r="I184">
        <v>0.1</v>
      </c>
      <c r="J184">
        <v>17530.07</v>
      </c>
      <c r="K184">
        <f t="shared" si="6"/>
        <v>19477.850000000002</v>
      </c>
      <c r="L184">
        <f t="shared" si="7"/>
        <v>1947.7800000000025</v>
      </c>
      <c r="M184">
        <f t="shared" si="8"/>
        <v>17530.07</v>
      </c>
      <c r="N184" t="s">
        <v>33</v>
      </c>
      <c r="O184" t="s">
        <v>29</v>
      </c>
      <c r="P184" t="s">
        <v>21</v>
      </c>
      <c r="Q184" t="s">
        <v>22</v>
      </c>
    </row>
    <row r="185" spans="1:17" x14ac:dyDescent="0.3">
      <c r="A185" t="s">
        <v>246</v>
      </c>
      <c r="B185" s="1">
        <v>45734</v>
      </c>
      <c r="C185" t="s">
        <v>24</v>
      </c>
      <c r="D185" t="s">
        <v>25</v>
      </c>
      <c r="E185" t="s">
        <v>17</v>
      </c>
      <c r="F185" t="s">
        <v>44</v>
      </c>
      <c r="G185">
        <v>4</v>
      </c>
      <c r="H185">
        <v>842.01</v>
      </c>
      <c r="I185">
        <v>0.17</v>
      </c>
      <c r="J185">
        <v>2795.47</v>
      </c>
      <c r="K185">
        <f t="shared" si="6"/>
        <v>3368.04</v>
      </c>
      <c r="L185">
        <f t="shared" si="7"/>
        <v>572.57000000000016</v>
      </c>
      <c r="M185">
        <f t="shared" si="8"/>
        <v>2795.47</v>
      </c>
      <c r="N185" t="s">
        <v>41</v>
      </c>
      <c r="O185" t="s">
        <v>34</v>
      </c>
      <c r="P185" t="s">
        <v>30</v>
      </c>
      <c r="Q185" t="s">
        <v>37</v>
      </c>
    </row>
    <row r="186" spans="1:17" x14ac:dyDescent="0.3">
      <c r="A186" t="s">
        <v>247</v>
      </c>
      <c r="B186" s="1">
        <v>45775</v>
      </c>
      <c r="C186" t="s">
        <v>36</v>
      </c>
      <c r="D186" t="s">
        <v>39</v>
      </c>
      <c r="E186" t="s">
        <v>17</v>
      </c>
      <c r="F186" t="s">
        <v>44</v>
      </c>
      <c r="G186">
        <v>3</v>
      </c>
      <c r="H186">
        <v>4990.8</v>
      </c>
      <c r="I186">
        <v>0.12</v>
      </c>
      <c r="J186">
        <v>13175.71</v>
      </c>
      <c r="K186">
        <f t="shared" si="6"/>
        <v>14972.400000000001</v>
      </c>
      <c r="L186">
        <f t="shared" si="7"/>
        <v>1796.6900000000023</v>
      </c>
      <c r="M186">
        <f t="shared" si="8"/>
        <v>13175.71</v>
      </c>
      <c r="N186" t="s">
        <v>19</v>
      </c>
      <c r="O186" t="s">
        <v>29</v>
      </c>
      <c r="P186" t="s">
        <v>30</v>
      </c>
      <c r="Q186" t="s">
        <v>59</v>
      </c>
    </row>
    <row r="187" spans="1:17" x14ac:dyDescent="0.3">
      <c r="A187" t="s">
        <v>248</v>
      </c>
      <c r="B187" s="1">
        <v>45750</v>
      </c>
      <c r="C187" t="s">
        <v>36</v>
      </c>
      <c r="D187" t="s">
        <v>39</v>
      </c>
      <c r="E187" t="s">
        <v>49</v>
      </c>
      <c r="F187" t="s">
        <v>53</v>
      </c>
      <c r="G187">
        <v>3</v>
      </c>
      <c r="H187">
        <v>3089.38</v>
      </c>
      <c r="I187">
        <v>0.05</v>
      </c>
      <c r="J187">
        <v>8804.73</v>
      </c>
      <c r="K187">
        <f t="shared" si="6"/>
        <v>9268.14</v>
      </c>
      <c r="L187">
        <f t="shared" si="7"/>
        <v>463.40999999999985</v>
      </c>
      <c r="M187">
        <f t="shared" si="8"/>
        <v>8804.73</v>
      </c>
      <c r="N187" t="s">
        <v>46</v>
      </c>
      <c r="O187" t="s">
        <v>29</v>
      </c>
      <c r="P187" t="s">
        <v>54</v>
      </c>
      <c r="Q187" t="s">
        <v>22</v>
      </c>
    </row>
    <row r="188" spans="1:17" x14ac:dyDescent="0.3">
      <c r="A188" t="s">
        <v>249</v>
      </c>
      <c r="B188" s="1">
        <v>45762</v>
      </c>
      <c r="C188" t="s">
        <v>15</v>
      </c>
      <c r="D188" t="s">
        <v>39</v>
      </c>
      <c r="E188" t="s">
        <v>61</v>
      </c>
      <c r="F188" t="s">
        <v>66</v>
      </c>
      <c r="G188">
        <v>4</v>
      </c>
      <c r="H188">
        <v>1653.5</v>
      </c>
      <c r="I188">
        <v>0.09</v>
      </c>
      <c r="J188">
        <v>6018.74</v>
      </c>
      <c r="K188">
        <f t="shared" si="6"/>
        <v>6614</v>
      </c>
      <c r="L188">
        <f t="shared" si="7"/>
        <v>595.26000000000022</v>
      </c>
      <c r="M188">
        <f t="shared" si="8"/>
        <v>6018.74</v>
      </c>
      <c r="N188" t="s">
        <v>19</v>
      </c>
      <c r="O188" t="s">
        <v>29</v>
      </c>
      <c r="P188" t="s">
        <v>21</v>
      </c>
      <c r="Q188" t="s">
        <v>22</v>
      </c>
    </row>
    <row r="189" spans="1:17" x14ac:dyDescent="0.3">
      <c r="A189" t="s">
        <v>250</v>
      </c>
      <c r="B189" s="1">
        <v>45708</v>
      </c>
      <c r="C189" t="s">
        <v>48</v>
      </c>
      <c r="D189" t="s">
        <v>39</v>
      </c>
      <c r="E189" t="s">
        <v>27</v>
      </c>
      <c r="F189" t="s">
        <v>87</v>
      </c>
      <c r="G189">
        <v>3</v>
      </c>
      <c r="H189">
        <v>306.13</v>
      </c>
      <c r="I189">
        <v>0.24</v>
      </c>
      <c r="J189">
        <v>697.98</v>
      </c>
      <c r="K189">
        <f t="shared" si="6"/>
        <v>918.39</v>
      </c>
      <c r="L189">
        <f t="shared" si="7"/>
        <v>220.40999999999997</v>
      </c>
      <c r="M189">
        <f t="shared" si="8"/>
        <v>697.98</v>
      </c>
      <c r="N189" t="s">
        <v>46</v>
      </c>
      <c r="O189" t="s">
        <v>20</v>
      </c>
      <c r="P189" t="s">
        <v>54</v>
      </c>
      <c r="Q189" t="s">
        <v>37</v>
      </c>
    </row>
    <row r="190" spans="1:17" x14ac:dyDescent="0.3">
      <c r="A190" t="s">
        <v>251</v>
      </c>
      <c r="B190" s="1">
        <v>45767</v>
      </c>
      <c r="C190" t="s">
        <v>52</v>
      </c>
      <c r="D190" t="s">
        <v>16</v>
      </c>
      <c r="E190" t="s">
        <v>99</v>
      </c>
      <c r="F190" t="s">
        <v>115</v>
      </c>
      <c r="G190">
        <v>3</v>
      </c>
      <c r="H190">
        <v>4671.82</v>
      </c>
      <c r="I190">
        <v>0.17</v>
      </c>
      <c r="J190">
        <v>11632.83</v>
      </c>
      <c r="K190">
        <f t="shared" si="6"/>
        <v>14015.46</v>
      </c>
      <c r="L190">
        <f t="shared" si="7"/>
        <v>2382.6299999999992</v>
      </c>
      <c r="M190">
        <f t="shared" si="8"/>
        <v>11632.83</v>
      </c>
      <c r="N190" t="s">
        <v>19</v>
      </c>
      <c r="O190" t="s">
        <v>29</v>
      </c>
      <c r="P190" t="s">
        <v>54</v>
      </c>
      <c r="Q190" t="s">
        <v>22</v>
      </c>
    </row>
    <row r="191" spans="1:17" x14ac:dyDescent="0.3">
      <c r="A191" t="s">
        <v>252</v>
      </c>
      <c r="B191" s="1">
        <v>45827</v>
      </c>
      <c r="C191" t="s">
        <v>52</v>
      </c>
      <c r="D191" t="s">
        <v>25</v>
      </c>
      <c r="E191" t="s">
        <v>27</v>
      </c>
      <c r="F191" t="s">
        <v>68</v>
      </c>
      <c r="G191">
        <v>5</v>
      </c>
      <c r="H191">
        <v>1205.79</v>
      </c>
      <c r="I191">
        <v>0.06</v>
      </c>
      <c r="J191">
        <v>5667.21</v>
      </c>
      <c r="K191">
        <f t="shared" si="6"/>
        <v>6028.95</v>
      </c>
      <c r="L191">
        <f t="shared" si="7"/>
        <v>361.73999999999978</v>
      </c>
      <c r="M191">
        <f t="shared" si="8"/>
        <v>5667.21</v>
      </c>
      <c r="N191" t="s">
        <v>58</v>
      </c>
      <c r="O191" t="s">
        <v>29</v>
      </c>
      <c r="P191" t="s">
        <v>54</v>
      </c>
      <c r="Q191" t="s">
        <v>22</v>
      </c>
    </row>
    <row r="192" spans="1:17" x14ac:dyDescent="0.3">
      <c r="A192" t="s">
        <v>253</v>
      </c>
      <c r="B192" s="1">
        <v>45662</v>
      </c>
      <c r="C192" t="s">
        <v>52</v>
      </c>
      <c r="D192" t="s">
        <v>25</v>
      </c>
      <c r="E192" t="s">
        <v>49</v>
      </c>
      <c r="F192" t="s">
        <v>56</v>
      </c>
      <c r="G192">
        <v>2</v>
      </c>
      <c r="H192">
        <v>2093.85</v>
      </c>
      <c r="I192">
        <v>0.23</v>
      </c>
      <c r="J192">
        <v>3224.53</v>
      </c>
      <c r="K192">
        <f t="shared" si="6"/>
        <v>4187.7</v>
      </c>
      <c r="L192">
        <f t="shared" si="7"/>
        <v>963.16999999999962</v>
      </c>
      <c r="M192">
        <f t="shared" si="8"/>
        <v>3224.53</v>
      </c>
      <c r="N192" t="s">
        <v>58</v>
      </c>
      <c r="O192" t="s">
        <v>29</v>
      </c>
      <c r="P192" t="s">
        <v>30</v>
      </c>
      <c r="Q192" t="s">
        <v>22</v>
      </c>
    </row>
    <row r="193" spans="1:17" x14ac:dyDescent="0.3">
      <c r="A193" t="s">
        <v>254</v>
      </c>
      <c r="B193" s="1">
        <v>45792</v>
      </c>
      <c r="C193" t="s">
        <v>15</v>
      </c>
      <c r="D193" t="s">
        <v>43</v>
      </c>
      <c r="E193" t="s">
        <v>99</v>
      </c>
      <c r="F193" t="s">
        <v>111</v>
      </c>
      <c r="G193">
        <v>5</v>
      </c>
      <c r="H193">
        <v>1237.8800000000001</v>
      </c>
      <c r="I193">
        <v>0.18</v>
      </c>
      <c r="J193">
        <v>5075.3100000000004</v>
      </c>
      <c r="K193">
        <f t="shared" si="6"/>
        <v>6189.4000000000005</v>
      </c>
      <c r="L193">
        <f t="shared" si="7"/>
        <v>1114.0900000000001</v>
      </c>
      <c r="M193">
        <f t="shared" si="8"/>
        <v>5075.3100000000004</v>
      </c>
      <c r="N193" t="s">
        <v>58</v>
      </c>
      <c r="O193" t="s">
        <v>20</v>
      </c>
      <c r="P193" t="s">
        <v>54</v>
      </c>
      <c r="Q193" t="s">
        <v>22</v>
      </c>
    </row>
    <row r="194" spans="1:17" x14ac:dyDescent="0.3">
      <c r="A194" t="s">
        <v>255</v>
      </c>
      <c r="B194" s="1">
        <v>45799</v>
      </c>
      <c r="C194" t="s">
        <v>48</v>
      </c>
      <c r="D194" t="s">
        <v>16</v>
      </c>
      <c r="E194" t="s">
        <v>61</v>
      </c>
      <c r="F194" t="s">
        <v>62</v>
      </c>
      <c r="G194">
        <v>3</v>
      </c>
      <c r="H194">
        <v>4396.04</v>
      </c>
      <c r="I194">
        <v>0</v>
      </c>
      <c r="J194">
        <v>13188.12</v>
      </c>
      <c r="K194">
        <f t="shared" si="6"/>
        <v>13188.119999999999</v>
      </c>
      <c r="L194">
        <f t="shared" si="7"/>
        <v>0</v>
      </c>
      <c r="M194">
        <f t="shared" si="8"/>
        <v>13188.119999999999</v>
      </c>
      <c r="N194" t="s">
        <v>41</v>
      </c>
      <c r="O194" t="s">
        <v>20</v>
      </c>
      <c r="P194" t="s">
        <v>21</v>
      </c>
      <c r="Q194" t="s">
        <v>37</v>
      </c>
    </row>
    <row r="195" spans="1:17" x14ac:dyDescent="0.3">
      <c r="A195" t="s">
        <v>256</v>
      </c>
      <c r="B195" s="1">
        <v>45682</v>
      </c>
      <c r="C195" t="s">
        <v>48</v>
      </c>
      <c r="D195" t="s">
        <v>25</v>
      </c>
      <c r="E195" t="s">
        <v>99</v>
      </c>
      <c r="F195" t="s">
        <v>111</v>
      </c>
      <c r="G195">
        <v>4</v>
      </c>
      <c r="H195">
        <v>4457.37</v>
      </c>
      <c r="I195">
        <v>0.03</v>
      </c>
      <c r="J195">
        <v>17294.599999999999</v>
      </c>
      <c r="K195">
        <f t="shared" ref="K195:K258" si="9">G195*H195</f>
        <v>17829.48</v>
      </c>
      <c r="L195">
        <f t="shared" ref="L195:L258" si="10">K195-J195</f>
        <v>534.88000000000102</v>
      </c>
      <c r="M195">
        <f t="shared" ref="M195:M258" si="11">K195-L195</f>
        <v>17294.599999999999</v>
      </c>
      <c r="N195" t="s">
        <v>33</v>
      </c>
      <c r="O195" t="s">
        <v>29</v>
      </c>
      <c r="P195" t="s">
        <v>21</v>
      </c>
      <c r="Q195" t="s">
        <v>22</v>
      </c>
    </row>
    <row r="196" spans="1:17" x14ac:dyDescent="0.3">
      <c r="A196" t="s">
        <v>257</v>
      </c>
      <c r="B196" s="1">
        <v>45792</v>
      </c>
      <c r="C196" t="s">
        <v>52</v>
      </c>
      <c r="D196" t="s">
        <v>39</v>
      </c>
      <c r="E196" t="s">
        <v>17</v>
      </c>
      <c r="F196" t="s">
        <v>32</v>
      </c>
      <c r="G196">
        <v>3</v>
      </c>
      <c r="H196">
        <v>3621.13</v>
      </c>
      <c r="I196">
        <v>0</v>
      </c>
      <c r="J196">
        <v>10863.39</v>
      </c>
      <c r="K196">
        <f t="shared" si="9"/>
        <v>10863.39</v>
      </c>
      <c r="L196">
        <f t="shared" si="10"/>
        <v>0</v>
      </c>
      <c r="M196">
        <f t="shared" si="11"/>
        <v>10863.39</v>
      </c>
      <c r="N196" t="s">
        <v>41</v>
      </c>
      <c r="O196" t="s">
        <v>29</v>
      </c>
      <c r="P196" t="s">
        <v>30</v>
      </c>
      <c r="Q196" t="s">
        <v>22</v>
      </c>
    </row>
    <row r="197" spans="1:17" x14ac:dyDescent="0.3">
      <c r="A197" t="s">
        <v>258</v>
      </c>
      <c r="B197" s="1">
        <v>45831</v>
      </c>
      <c r="C197" t="s">
        <v>36</v>
      </c>
      <c r="D197" t="s">
        <v>43</v>
      </c>
      <c r="E197" t="s">
        <v>61</v>
      </c>
      <c r="F197" t="s">
        <v>75</v>
      </c>
      <c r="G197">
        <v>5</v>
      </c>
      <c r="H197">
        <v>1706.84</v>
      </c>
      <c r="I197">
        <v>0.1</v>
      </c>
      <c r="J197">
        <v>7680.78</v>
      </c>
      <c r="K197">
        <f t="shared" si="9"/>
        <v>8534.1999999999989</v>
      </c>
      <c r="L197">
        <f t="shared" si="10"/>
        <v>853.41999999999916</v>
      </c>
      <c r="M197">
        <f t="shared" si="11"/>
        <v>7680.78</v>
      </c>
      <c r="N197" t="s">
        <v>41</v>
      </c>
      <c r="O197" t="s">
        <v>34</v>
      </c>
      <c r="P197" t="s">
        <v>54</v>
      </c>
      <c r="Q197" t="s">
        <v>59</v>
      </c>
    </row>
    <row r="198" spans="1:17" x14ac:dyDescent="0.3">
      <c r="A198" t="s">
        <v>259</v>
      </c>
      <c r="B198" s="1">
        <v>45764</v>
      </c>
      <c r="C198" t="s">
        <v>52</v>
      </c>
      <c r="D198" t="s">
        <v>39</v>
      </c>
      <c r="E198" t="s">
        <v>49</v>
      </c>
      <c r="F198" t="s">
        <v>53</v>
      </c>
      <c r="G198">
        <v>4</v>
      </c>
      <c r="H198">
        <v>1254.05</v>
      </c>
      <c r="I198">
        <v>0.19</v>
      </c>
      <c r="J198">
        <v>4063.12</v>
      </c>
      <c r="K198">
        <f t="shared" si="9"/>
        <v>5016.2</v>
      </c>
      <c r="L198">
        <f t="shared" si="10"/>
        <v>953.07999999999993</v>
      </c>
      <c r="M198">
        <f t="shared" si="11"/>
        <v>4063.12</v>
      </c>
      <c r="N198" t="s">
        <v>58</v>
      </c>
      <c r="O198" t="s">
        <v>34</v>
      </c>
      <c r="P198" t="s">
        <v>30</v>
      </c>
      <c r="Q198" t="s">
        <v>22</v>
      </c>
    </row>
    <row r="199" spans="1:17" x14ac:dyDescent="0.3">
      <c r="A199" t="s">
        <v>260</v>
      </c>
      <c r="B199" s="1">
        <v>45805</v>
      </c>
      <c r="C199" t="s">
        <v>15</v>
      </c>
      <c r="D199" t="s">
        <v>43</v>
      </c>
      <c r="E199" t="s">
        <v>27</v>
      </c>
      <c r="F199" t="s">
        <v>79</v>
      </c>
      <c r="G199">
        <v>2</v>
      </c>
      <c r="H199">
        <v>404.41</v>
      </c>
      <c r="I199">
        <v>0.03</v>
      </c>
      <c r="J199">
        <v>784.56</v>
      </c>
      <c r="K199">
        <f t="shared" si="9"/>
        <v>808.82</v>
      </c>
      <c r="L199">
        <f t="shared" si="10"/>
        <v>24.260000000000105</v>
      </c>
      <c r="M199">
        <f t="shared" si="11"/>
        <v>784.56</v>
      </c>
      <c r="N199" t="s">
        <v>46</v>
      </c>
      <c r="O199" t="s">
        <v>29</v>
      </c>
      <c r="P199" t="s">
        <v>30</v>
      </c>
      <c r="Q199" t="s">
        <v>22</v>
      </c>
    </row>
    <row r="200" spans="1:17" x14ac:dyDescent="0.3">
      <c r="A200" t="s">
        <v>261</v>
      </c>
      <c r="B200" s="1">
        <v>45711</v>
      </c>
      <c r="C200" t="s">
        <v>24</v>
      </c>
      <c r="D200" t="s">
        <v>43</v>
      </c>
      <c r="E200" t="s">
        <v>27</v>
      </c>
      <c r="F200" t="s">
        <v>28</v>
      </c>
      <c r="G200">
        <v>5</v>
      </c>
      <c r="H200">
        <v>1182.1600000000001</v>
      </c>
      <c r="I200">
        <v>0.24</v>
      </c>
      <c r="J200">
        <v>4492.21</v>
      </c>
      <c r="K200">
        <f t="shared" si="9"/>
        <v>5910.8</v>
      </c>
      <c r="L200">
        <f t="shared" si="10"/>
        <v>1418.5900000000001</v>
      </c>
      <c r="M200">
        <f t="shared" si="11"/>
        <v>4492.21</v>
      </c>
      <c r="N200" t="s">
        <v>46</v>
      </c>
      <c r="O200" t="s">
        <v>34</v>
      </c>
      <c r="P200" t="s">
        <v>30</v>
      </c>
      <c r="Q200" t="s">
        <v>22</v>
      </c>
    </row>
    <row r="201" spans="1:17" x14ac:dyDescent="0.3">
      <c r="A201" t="s">
        <v>262</v>
      </c>
      <c r="B201" s="1">
        <v>45809</v>
      </c>
      <c r="C201" t="s">
        <v>48</v>
      </c>
      <c r="D201" t="s">
        <v>16</v>
      </c>
      <c r="E201" t="s">
        <v>27</v>
      </c>
      <c r="F201" t="s">
        <v>28</v>
      </c>
      <c r="G201">
        <v>5</v>
      </c>
      <c r="H201">
        <v>4029.78</v>
      </c>
      <c r="I201">
        <v>0.21</v>
      </c>
      <c r="J201">
        <v>15917.63</v>
      </c>
      <c r="K201">
        <f t="shared" si="9"/>
        <v>20148.900000000001</v>
      </c>
      <c r="L201">
        <f t="shared" si="10"/>
        <v>4231.2700000000023</v>
      </c>
      <c r="M201">
        <f t="shared" si="11"/>
        <v>15917.63</v>
      </c>
      <c r="N201" t="s">
        <v>33</v>
      </c>
      <c r="O201" t="s">
        <v>34</v>
      </c>
      <c r="P201" t="s">
        <v>54</v>
      </c>
      <c r="Q201" t="s">
        <v>22</v>
      </c>
    </row>
    <row r="202" spans="1:17" x14ac:dyDescent="0.3">
      <c r="A202" t="s">
        <v>263</v>
      </c>
      <c r="B202" s="1">
        <v>45784</v>
      </c>
      <c r="C202" t="s">
        <v>24</v>
      </c>
      <c r="D202" t="s">
        <v>43</v>
      </c>
      <c r="E202" t="s">
        <v>27</v>
      </c>
      <c r="F202" t="s">
        <v>28</v>
      </c>
      <c r="G202">
        <v>1</v>
      </c>
      <c r="H202">
        <v>4160.99</v>
      </c>
      <c r="I202">
        <v>0.23</v>
      </c>
      <c r="J202">
        <v>3203.96</v>
      </c>
      <c r="K202">
        <f t="shared" si="9"/>
        <v>4160.99</v>
      </c>
      <c r="L202">
        <f t="shared" si="10"/>
        <v>957.02999999999975</v>
      </c>
      <c r="M202">
        <f t="shared" si="11"/>
        <v>3203.96</v>
      </c>
      <c r="N202" t="s">
        <v>33</v>
      </c>
      <c r="O202" t="s">
        <v>20</v>
      </c>
      <c r="P202" t="s">
        <v>54</v>
      </c>
      <c r="Q202" t="s">
        <v>22</v>
      </c>
    </row>
    <row r="203" spans="1:17" x14ac:dyDescent="0.3">
      <c r="A203" t="s">
        <v>264</v>
      </c>
      <c r="B203" s="1">
        <v>45726</v>
      </c>
      <c r="C203" t="s">
        <v>24</v>
      </c>
      <c r="D203" t="s">
        <v>16</v>
      </c>
      <c r="E203" t="s">
        <v>27</v>
      </c>
      <c r="F203" t="s">
        <v>87</v>
      </c>
      <c r="G203">
        <v>5</v>
      </c>
      <c r="H203">
        <v>2495.2600000000002</v>
      </c>
      <c r="I203">
        <v>0.22</v>
      </c>
      <c r="J203">
        <v>9731.51</v>
      </c>
      <c r="K203">
        <f t="shared" si="9"/>
        <v>12476.300000000001</v>
      </c>
      <c r="L203">
        <f t="shared" si="10"/>
        <v>2744.7900000000009</v>
      </c>
      <c r="M203">
        <f t="shared" si="11"/>
        <v>9731.51</v>
      </c>
      <c r="N203" t="s">
        <v>19</v>
      </c>
      <c r="O203" t="s">
        <v>29</v>
      </c>
      <c r="P203" t="s">
        <v>30</v>
      </c>
      <c r="Q203" t="s">
        <v>22</v>
      </c>
    </row>
    <row r="204" spans="1:17" x14ac:dyDescent="0.3">
      <c r="A204" t="s">
        <v>265</v>
      </c>
      <c r="B204" s="1">
        <v>45681</v>
      </c>
      <c r="C204" t="s">
        <v>48</v>
      </c>
      <c r="D204" t="s">
        <v>16</v>
      </c>
      <c r="E204" t="s">
        <v>27</v>
      </c>
      <c r="F204" t="s">
        <v>87</v>
      </c>
      <c r="G204">
        <v>5</v>
      </c>
      <c r="H204">
        <v>2365.65</v>
      </c>
      <c r="I204">
        <v>0.2</v>
      </c>
      <c r="J204">
        <v>9462.6</v>
      </c>
      <c r="K204">
        <f t="shared" si="9"/>
        <v>11828.25</v>
      </c>
      <c r="L204">
        <f t="shared" si="10"/>
        <v>2365.6499999999996</v>
      </c>
      <c r="M204">
        <f t="shared" si="11"/>
        <v>9462.6</v>
      </c>
      <c r="N204" t="s">
        <v>33</v>
      </c>
      <c r="O204" t="s">
        <v>20</v>
      </c>
      <c r="P204" t="s">
        <v>21</v>
      </c>
      <c r="Q204" t="s">
        <v>22</v>
      </c>
    </row>
    <row r="205" spans="1:17" x14ac:dyDescent="0.3">
      <c r="A205" t="s">
        <v>266</v>
      </c>
      <c r="B205" s="1">
        <v>45716</v>
      </c>
      <c r="C205" t="s">
        <v>36</v>
      </c>
      <c r="D205" t="s">
        <v>16</v>
      </c>
      <c r="E205" t="s">
        <v>17</v>
      </c>
      <c r="F205" t="s">
        <v>44</v>
      </c>
      <c r="G205">
        <v>4</v>
      </c>
      <c r="H205">
        <v>1788.19</v>
      </c>
      <c r="I205">
        <v>0.02</v>
      </c>
      <c r="J205">
        <v>7009.7</v>
      </c>
      <c r="K205">
        <f t="shared" si="9"/>
        <v>7152.76</v>
      </c>
      <c r="L205">
        <f t="shared" si="10"/>
        <v>143.0600000000004</v>
      </c>
      <c r="M205">
        <f t="shared" si="11"/>
        <v>7009.7</v>
      </c>
      <c r="N205" t="s">
        <v>58</v>
      </c>
      <c r="O205" t="s">
        <v>20</v>
      </c>
      <c r="P205" t="s">
        <v>54</v>
      </c>
      <c r="Q205" t="s">
        <v>59</v>
      </c>
    </row>
    <row r="206" spans="1:17" x14ac:dyDescent="0.3">
      <c r="A206" t="s">
        <v>267</v>
      </c>
      <c r="B206" s="1">
        <v>45744</v>
      </c>
      <c r="C206" t="s">
        <v>15</v>
      </c>
      <c r="D206" t="s">
        <v>25</v>
      </c>
      <c r="E206" t="s">
        <v>49</v>
      </c>
      <c r="F206" t="s">
        <v>56</v>
      </c>
      <c r="G206">
        <v>2</v>
      </c>
      <c r="H206">
        <v>3852.56</v>
      </c>
      <c r="I206">
        <v>0.24</v>
      </c>
      <c r="J206">
        <v>5855.89</v>
      </c>
      <c r="K206">
        <f t="shared" si="9"/>
        <v>7705.12</v>
      </c>
      <c r="L206">
        <f t="shared" si="10"/>
        <v>1849.2299999999996</v>
      </c>
      <c r="M206">
        <f t="shared" si="11"/>
        <v>5855.89</v>
      </c>
      <c r="N206" t="s">
        <v>41</v>
      </c>
      <c r="O206" t="s">
        <v>20</v>
      </c>
      <c r="P206" t="s">
        <v>21</v>
      </c>
      <c r="Q206" t="s">
        <v>22</v>
      </c>
    </row>
    <row r="207" spans="1:17" x14ac:dyDescent="0.3">
      <c r="A207" t="s">
        <v>268</v>
      </c>
      <c r="B207" s="1">
        <v>45690</v>
      </c>
      <c r="C207" t="s">
        <v>48</v>
      </c>
      <c r="D207" t="s">
        <v>43</v>
      </c>
      <c r="E207" t="s">
        <v>49</v>
      </c>
      <c r="F207" t="s">
        <v>50</v>
      </c>
      <c r="G207">
        <v>5</v>
      </c>
      <c r="H207">
        <v>751.65</v>
      </c>
      <c r="I207">
        <v>0.22</v>
      </c>
      <c r="J207">
        <v>2931.43</v>
      </c>
      <c r="K207">
        <f t="shared" si="9"/>
        <v>3758.25</v>
      </c>
      <c r="L207">
        <f t="shared" si="10"/>
        <v>826.82000000000016</v>
      </c>
      <c r="M207">
        <f t="shared" si="11"/>
        <v>2931.43</v>
      </c>
      <c r="N207" t="s">
        <v>41</v>
      </c>
      <c r="O207" t="s">
        <v>20</v>
      </c>
      <c r="P207" t="s">
        <v>54</v>
      </c>
      <c r="Q207" t="s">
        <v>59</v>
      </c>
    </row>
    <row r="208" spans="1:17" x14ac:dyDescent="0.3">
      <c r="A208" t="s">
        <v>269</v>
      </c>
      <c r="B208" s="1">
        <v>45748</v>
      </c>
      <c r="C208" t="s">
        <v>52</v>
      </c>
      <c r="D208" t="s">
        <v>25</v>
      </c>
      <c r="E208" t="s">
        <v>49</v>
      </c>
      <c r="F208" t="s">
        <v>73</v>
      </c>
      <c r="G208">
        <v>3</v>
      </c>
      <c r="H208">
        <v>2368.7199999999998</v>
      </c>
      <c r="I208">
        <v>0.18</v>
      </c>
      <c r="J208">
        <v>5827.05</v>
      </c>
      <c r="K208">
        <f t="shared" si="9"/>
        <v>7106.16</v>
      </c>
      <c r="L208">
        <f t="shared" si="10"/>
        <v>1279.1099999999997</v>
      </c>
      <c r="M208">
        <f t="shared" si="11"/>
        <v>5827.05</v>
      </c>
      <c r="N208" t="s">
        <v>58</v>
      </c>
      <c r="O208" t="s">
        <v>20</v>
      </c>
      <c r="P208" t="s">
        <v>30</v>
      </c>
      <c r="Q208" t="s">
        <v>88</v>
      </c>
    </row>
    <row r="209" spans="1:17" x14ac:dyDescent="0.3">
      <c r="A209" t="s">
        <v>270</v>
      </c>
      <c r="B209" s="1">
        <v>45660</v>
      </c>
      <c r="C209" t="s">
        <v>15</v>
      </c>
      <c r="D209" t="s">
        <v>16</v>
      </c>
      <c r="E209" t="s">
        <v>61</v>
      </c>
      <c r="F209" t="s">
        <v>92</v>
      </c>
      <c r="G209">
        <v>2</v>
      </c>
      <c r="H209">
        <v>4693.3100000000004</v>
      </c>
      <c r="I209">
        <v>0.18</v>
      </c>
      <c r="J209">
        <v>7697.03</v>
      </c>
      <c r="K209">
        <f t="shared" si="9"/>
        <v>9386.6200000000008</v>
      </c>
      <c r="L209">
        <f t="shared" si="10"/>
        <v>1689.5900000000011</v>
      </c>
      <c r="M209">
        <f t="shared" si="11"/>
        <v>7697.03</v>
      </c>
      <c r="N209" t="s">
        <v>19</v>
      </c>
      <c r="O209" t="s">
        <v>34</v>
      </c>
      <c r="P209" t="s">
        <v>54</v>
      </c>
      <c r="Q209" t="s">
        <v>88</v>
      </c>
    </row>
    <row r="210" spans="1:17" x14ac:dyDescent="0.3">
      <c r="A210" t="s">
        <v>271</v>
      </c>
      <c r="B210" s="1">
        <v>45800</v>
      </c>
      <c r="C210" t="s">
        <v>52</v>
      </c>
      <c r="D210" t="s">
        <v>16</v>
      </c>
      <c r="E210" t="s">
        <v>49</v>
      </c>
      <c r="F210" t="s">
        <v>56</v>
      </c>
      <c r="G210">
        <v>1</v>
      </c>
      <c r="H210">
        <v>3010.33</v>
      </c>
      <c r="I210">
        <v>0.11</v>
      </c>
      <c r="J210">
        <v>2679.19</v>
      </c>
      <c r="K210">
        <f t="shared" si="9"/>
        <v>3010.33</v>
      </c>
      <c r="L210">
        <f t="shared" si="10"/>
        <v>331.13999999999987</v>
      </c>
      <c r="M210">
        <f t="shared" si="11"/>
        <v>2679.19</v>
      </c>
      <c r="N210" t="s">
        <v>19</v>
      </c>
      <c r="O210" t="s">
        <v>20</v>
      </c>
      <c r="P210" t="s">
        <v>21</v>
      </c>
      <c r="Q210" t="s">
        <v>22</v>
      </c>
    </row>
    <row r="211" spans="1:17" x14ac:dyDescent="0.3">
      <c r="A211" t="s">
        <v>272</v>
      </c>
      <c r="B211" s="1">
        <v>45830</v>
      </c>
      <c r="C211" t="s">
        <v>48</v>
      </c>
      <c r="D211" t="s">
        <v>39</v>
      </c>
      <c r="E211" t="s">
        <v>17</v>
      </c>
      <c r="F211" t="s">
        <v>40</v>
      </c>
      <c r="G211">
        <v>2</v>
      </c>
      <c r="H211">
        <v>3796.49</v>
      </c>
      <c r="I211">
        <v>0.19</v>
      </c>
      <c r="J211">
        <v>6150.31</v>
      </c>
      <c r="K211">
        <f t="shared" si="9"/>
        <v>7592.98</v>
      </c>
      <c r="L211">
        <f t="shared" si="10"/>
        <v>1442.6699999999992</v>
      </c>
      <c r="M211">
        <f t="shared" si="11"/>
        <v>6150.31</v>
      </c>
      <c r="N211" t="s">
        <v>19</v>
      </c>
      <c r="O211" t="s">
        <v>29</v>
      </c>
      <c r="P211" t="s">
        <v>54</v>
      </c>
      <c r="Q211" t="s">
        <v>22</v>
      </c>
    </row>
    <row r="212" spans="1:17" x14ac:dyDescent="0.3">
      <c r="A212" t="s">
        <v>273</v>
      </c>
      <c r="B212" s="1">
        <v>45799</v>
      </c>
      <c r="C212" t="s">
        <v>36</v>
      </c>
      <c r="D212" t="s">
        <v>43</v>
      </c>
      <c r="E212" t="s">
        <v>27</v>
      </c>
      <c r="F212" t="s">
        <v>28</v>
      </c>
      <c r="G212">
        <v>3</v>
      </c>
      <c r="H212">
        <v>1260.83</v>
      </c>
      <c r="I212">
        <v>0.22</v>
      </c>
      <c r="J212">
        <v>2950.34</v>
      </c>
      <c r="K212">
        <f t="shared" si="9"/>
        <v>3782.49</v>
      </c>
      <c r="L212">
        <f t="shared" si="10"/>
        <v>832.14999999999964</v>
      </c>
      <c r="M212">
        <f t="shared" si="11"/>
        <v>2950.34</v>
      </c>
      <c r="N212" t="s">
        <v>33</v>
      </c>
      <c r="O212" t="s">
        <v>29</v>
      </c>
      <c r="P212" t="s">
        <v>21</v>
      </c>
      <c r="Q212" t="s">
        <v>22</v>
      </c>
    </row>
    <row r="213" spans="1:17" x14ac:dyDescent="0.3">
      <c r="A213" t="s">
        <v>274</v>
      </c>
      <c r="B213" s="1">
        <v>45711</v>
      </c>
      <c r="C213" t="s">
        <v>36</v>
      </c>
      <c r="D213" t="s">
        <v>16</v>
      </c>
      <c r="E213" t="s">
        <v>99</v>
      </c>
      <c r="F213" t="s">
        <v>120</v>
      </c>
      <c r="G213">
        <v>2</v>
      </c>
      <c r="H213">
        <v>3167.37</v>
      </c>
      <c r="I213">
        <v>0.11</v>
      </c>
      <c r="J213">
        <v>5637.92</v>
      </c>
      <c r="K213">
        <f t="shared" si="9"/>
        <v>6334.74</v>
      </c>
      <c r="L213">
        <f t="shared" si="10"/>
        <v>696.81999999999971</v>
      </c>
      <c r="M213">
        <f t="shared" si="11"/>
        <v>5637.92</v>
      </c>
      <c r="N213" t="s">
        <v>33</v>
      </c>
      <c r="O213" t="s">
        <v>29</v>
      </c>
      <c r="P213" t="s">
        <v>30</v>
      </c>
      <c r="Q213" t="s">
        <v>59</v>
      </c>
    </row>
    <row r="214" spans="1:17" x14ac:dyDescent="0.3">
      <c r="A214" t="s">
        <v>275</v>
      </c>
      <c r="B214" s="1">
        <v>45757</v>
      </c>
      <c r="C214" t="s">
        <v>48</v>
      </c>
      <c r="D214" t="s">
        <v>43</v>
      </c>
      <c r="E214" t="s">
        <v>49</v>
      </c>
      <c r="F214" t="s">
        <v>53</v>
      </c>
      <c r="G214">
        <v>3</v>
      </c>
      <c r="H214">
        <v>1944.65</v>
      </c>
      <c r="I214">
        <v>0.19</v>
      </c>
      <c r="J214">
        <v>4725.5</v>
      </c>
      <c r="K214">
        <f t="shared" si="9"/>
        <v>5833.9500000000007</v>
      </c>
      <c r="L214">
        <f t="shared" si="10"/>
        <v>1108.4500000000007</v>
      </c>
      <c r="M214">
        <f t="shared" si="11"/>
        <v>4725.5</v>
      </c>
      <c r="N214" t="s">
        <v>41</v>
      </c>
      <c r="O214" t="s">
        <v>20</v>
      </c>
      <c r="P214" t="s">
        <v>30</v>
      </c>
      <c r="Q214" t="s">
        <v>88</v>
      </c>
    </row>
    <row r="215" spans="1:17" x14ac:dyDescent="0.3">
      <c r="A215" t="s">
        <v>276</v>
      </c>
      <c r="B215" s="1">
        <v>45807</v>
      </c>
      <c r="C215" t="s">
        <v>48</v>
      </c>
      <c r="D215" t="s">
        <v>25</v>
      </c>
      <c r="E215" t="s">
        <v>99</v>
      </c>
      <c r="F215" t="s">
        <v>100</v>
      </c>
      <c r="G215">
        <v>4</v>
      </c>
      <c r="H215">
        <v>4842.1499999999996</v>
      </c>
      <c r="I215">
        <v>0.14000000000000001</v>
      </c>
      <c r="J215">
        <v>16657</v>
      </c>
      <c r="K215">
        <f t="shared" si="9"/>
        <v>19368.599999999999</v>
      </c>
      <c r="L215">
        <f t="shared" si="10"/>
        <v>2711.5999999999985</v>
      </c>
      <c r="M215">
        <f t="shared" si="11"/>
        <v>16657</v>
      </c>
      <c r="N215" t="s">
        <v>58</v>
      </c>
      <c r="O215" t="s">
        <v>29</v>
      </c>
      <c r="P215" t="s">
        <v>54</v>
      </c>
      <c r="Q215" t="s">
        <v>22</v>
      </c>
    </row>
    <row r="216" spans="1:17" x14ac:dyDescent="0.3">
      <c r="A216" t="s">
        <v>277</v>
      </c>
      <c r="B216" s="1">
        <v>45694</v>
      </c>
      <c r="C216" t="s">
        <v>24</v>
      </c>
      <c r="D216" t="s">
        <v>39</v>
      </c>
      <c r="E216" t="s">
        <v>61</v>
      </c>
      <c r="F216" t="s">
        <v>66</v>
      </c>
      <c r="G216">
        <v>1</v>
      </c>
      <c r="H216">
        <v>2724.61</v>
      </c>
      <c r="I216">
        <v>0.21</v>
      </c>
      <c r="J216">
        <v>2152.44</v>
      </c>
      <c r="K216">
        <f t="shared" si="9"/>
        <v>2724.61</v>
      </c>
      <c r="L216">
        <f t="shared" si="10"/>
        <v>572.17000000000007</v>
      </c>
      <c r="M216">
        <f t="shared" si="11"/>
        <v>2152.44</v>
      </c>
      <c r="N216" t="s">
        <v>41</v>
      </c>
      <c r="O216" t="s">
        <v>34</v>
      </c>
      <c r="P216" t="s">
        <v>54</v>
      </c>
      <c r="Q216" t="s">
        <v>22</v>
      </c>
    </row>
    <row r="217" spans="1:17" x14ac:dyDescent="0.3">
      <c r="A217" t="s">
        <v>278</v>
      </c>
      <c r="B217" s="1">
        <v>45758</v>
      </c>
      <c r="C217" t="s">
        <v>24</v>
      </c>
      <c r="D217" t="s">
        <v>39</v>
      </c>
      <c r="E217" t="s">
        <v>27</v>
      </c>
      <c r="F217" t="s">
        <v>79</v>
      </c>
      <c r="G217">
        <v>5</v>
      </c>
      <c r="H217">
        <v>1163.3800000000001</v>
      </c>
      <c r="I217">
        <v>0.05</v>
      </c>
      <c r="J217">
        <v>5526.06</v>
      </c>
      <c r="K217">
        <f t="shared" si="9"/>
        <v>5816.9000000000005</v>
      </c>
      <c r="L217">
        <f t="shared" si="10"/>
        <v>290.84000000000015</v>
      </c>
      <c r="M217">
        <f t="shared" si="11"/>
        <v>5526.06</v>
      </c>
      <c r="N217" t="s">
        <v>19</v>
      </c>
      <c r="O217" t="s">
        <v>29</v>
      </c>
      <c r="P217" t="s">
        <v>30</v>
      </c>
      <c r="Q217" t="s">
        <v>59</v>
      </c>
    </row>
    <row r="218" spans="1:17" x14ac:dyDescent="0.3">
      <c r="A218" t="s">
        <v>279</v>
      </c>
      <c r="B218" s="1">
        <v>45837</v>
      </c>
      <c r="C218" t="s">
        <v>52</v>
      </c>
      <c r="D218" t="s">
        <v>43</v>
      </c>
      <c r="E218" t="s">
        <v>17</v>
      </c>
      <c r="F218" t="s">
        <v>44</v>
      </c>
      <c r="G218">
        <v>4</v>
      </c>
      <c r="H218">
        <v>4580.76</v>
      </c>
      <c r="I218">
        <v>0.17</v>
      </c>
      <c r="J218">
        <v>15208.12</v>
      </c>
      <c r="K218">
        <f t="shared" si="9"/>
        <v>18323.04</v>
      </c>
      <c r="L218">
        <f t="shared" si="10"/>
        <v>3114.92</v>
      </c>
      <c r="M218">
        <f t="shared" si="11"/>
        <v>15208.12</v>
      </c>
      <c r="N218" t="s">
        <v>58</v>
      </c>
      <c r="O218" t="s">
        <v>29</v>
      </c>
      <c r="P218" t="s">
        <v>21</v>
      </c>
      <c r="Q218" t="s">
        <v>22</v>
      </c>
    </row>
    <row r="219" spans="1:17" x14ac:dyDescent="0.3">
      <c r="A219" t="s">
        <v>280</v>
      </c>
      <c r="B219" s="1">
        <v>45680</v>
      </c>
      <c r="C219" t="s">
        <v>15</v>
      </c>
      <c r="D219" t="s">
        <v>25</v>
      </c>
      <c r="E219" t="s">
        <v>61</v>
      </c>
      <c r="F219" t="s">
        <v>66</v>
      </c>
      <c r="G219">
        <v>5</v>
      </c>
      <c r="H219">
        <v>3278.73</v>
      </c>
      <c r="I219">
        <v>0.08</v>
      </c>
      <c r="J219">
        <v>15082.16</v>
      </c>
      <c r="K219">
        <f t="shared" si="9"/>
        <v>16393.650000000001</v>
      </c>
      <c r="L219">
        <f t="shared" si="10"/>
        <v>1311.4900000000016</v>
      </c>
      <c r="M219">
        <f t="shared" si="11"/>
        <v>15082.16</v>
      </c>
      <c r="N219" t="s">
        <v>41</v>
      </c>
      <c r="O219" t="s">
        <v>34</v>
      </c>
      <c r="P219" t="s">
        <v>30</v>
      </c>
      <c r="Q219" t="s">
        <v>22</v>
      </c>
    </row>
    <row r="220" spans="1:17" x14ac:dyDescent="0.3">
      <c r="A220" t="s">
        <v>281</v>
      </c>
      <c r="B220" s="1">
        <v>45829</v>
      </c>
      <c r="C220" t="s">
        <v>52</v>
      </c>
      <c r="D220" t="s">
        <v>43</v>
      </c>
      <c r="E220" t="s">
        <v>49</v>
      </c>
      <c r="F220" t="s">
        <v>53</v>
      </c>
      <c r="G220">
        <v>4</v>
      </c>
      <c r="H220">
        <v>324.01</v>
      </c>
      <c r="I220">
        <v>0.22</v>
      </c>
      <c r="J220">
        <v>1010.91</v>
      </c>
      <c r="K220">
        <f t="shared" si="9"/>
        <v>1296.04</v>
      </c>
      <c r="L220">
        <f t="shared" si="10"/>
        <v>285.13</v>
      </c>
      <c r="M220">
        <f t="shared" si="11"/>
        <v>1010.91</v>
      </c>
      <c r="N220" t="s">
        <v>46</v>
      </c>
      <c r="O220" t="s">
        <v>34</v>
      </c>
      <c r="P220" t="s">
        <v>21</v>
      </c>
      <c r="Q220" t="s">
        <v>22</v>
      </c>
    </row>
    <row r="221" spans="1:17" x14ac:dyDescent="0.3">
      <c r="A221" t="s">
        <v>282</v>
      </c>
      <c r="B221" s="1">
        <v>45781</v>
      </c>
      <c r="C221" t="s">
        <v>15</v>
      </c>
      <c r="D221" t="s">
        <v>25</v>
      </c>
      <c r="E221" t="s">
        <v>27</v>
      </c>
      <c r="F221" t="s">
        <v>87</v>
      </c>
      <c r="G221">
        <v>3</v>
      </c>
      <c r="H221">
        <v>1227.0899999999999</v>
      </c>
      <c r="I221">
        <v>0.14000000000000001</v>
      </c>
      <c r="J221">
        <v>3165.89</v>
      </c>
      <c r="K221">
        <f t="shared" si="9"/>
        <v>3681.2699999999995</v>
      </c>
      <c r="L221">
        <f t="shared" si="10"/>
        <v>515.37999999999965</v>
      </c>
      <c r="M221">
        <f t="shared" si="11"/>
        <v>3165.89</v>
      </c>
      <c r="N221" t="s">
        <v>19</v>
      </c>
      <c r="O221" t="s">
        <v>20</v>
      </c>
      <c r="P221" t="s">
        <v>54</v>
      </c>
      <c r="Q221" t="s">
        <v>22</v>
      </c>
    </row>
    <row r="222" spans="1:17" x14ac:dyDescent="0.3">
      <c r="A222" t="s">
        <v>283</v>
      </c>
      <c r="B222" s="1">
        <v>45717</v>
      </c>
      <c r="C222" t="s">
        <v>48</v>
      </c>
      <c r="D222" t="s">
        <v>25</v>
      </c>
      <c r="E222" t="s">
        <v>99</v>
      </c>
      <c r="F222" t="s">
        <v>111</v>
      </c>
      <c r="G222">
        <v>2</v>
      </c>
      <c r="H222">
        <v>3690.58</v>
      </c>
      <c r="I222">
        <v>0.09</v>
      </c>
      <c r="J222">
        <v>6716.86</v>
      </c>
      <c r="K222">
        <f t="shared" si="9"/>
        <v>7381.16</v>
      </c>
      <c r="L222">
        <f t="shared" si="10"/>
        <v>664.30000000000018</v>
      </c>
      <c r="M222">
        <f t="shared" si="11"/>
        <v>6716.86</v>
      </c>
      <c r="N222" t="s">
        <v>41</v>
      </c>
      <c r="O222" t="s">
        <v>34</v>
      </c>
      <c r="P222" t="s">
        <v>54</v>
      </c>
      <c r="Q222" t="s">
        <v>22</v>
      </c>
    </row>
    <row r="223" spans="1:17" x14ac:dyDescent="0.3">
      <c r="A223" t="s">
        <v>284</v>
      </c>
      <c r="B223" s="1">
        <v>45823</v>
      </c>
      <c r="C223" t="s">
        <v>36</v>
      </c>
      <c r="D223" t="s">
        <v>43</v>
      </c>
      <c r="E223" t="s">
        <v>27</v>
      </c>
      <c r="F223" t="s">
        <v>79</v>
      </c>
      <c r="G223">
        <v>1</v>
      </c>
      <c r="H223">
        <v>3845.26</v>
      </c>
      <c r="I223">
        <v>0.1</v>
      </c>
      <c r="J223">
        <v>3460.73</v>
      </c>
      <c r="K223">
        <f t="shared" si="9"/>
        <v>3845.26</v>
      </c>
      <c r="L223">
        <f t="shared" si="10"/>
        <v>384.5300000000002</v>
      </c>
      <c r="M223">
        <f t="shared" si="11"/>
        <v>3460.73</v>
      </c>
      <c r="N223" t="s">
        <v>58</v>
      </c>
      <c r="O223" t="s">
        <v>20</v>
      </c>
      <c r="P223" t="s">
        <v>21</v>
      </c>
      <c r="Q223" t="s">
        <v>22</v>
      </c>
    </row>
    <row r="224" spans="1:17" x14ac:dyDescent="0.3">
      <c r="A224" t="s">
        <v>285</v>
      </c>
      <c r="B224" s="1">
        <v>45784</v>
      </c>
      <c r="C224" t="s">
        <v>52</v>
      </c>
      <c r="D224" t="s">
        <v>25</v>
      </c>
      <c r="E224" t="s">
        <v>61</v>
      </c>
      <c r="F224" t="s">
        <v>62</v>
      </c>
      <c r="G224">
        <v>3</v>
      </c>
      <c r="H224">
        <v>396.21</v>
      </c>
      <c r="I224">
        <v>0.16</v>
      </c>
      <c r="J224">
        <v>998.45</v>
      </c>
      <c r="K224">
        <f t="shared" si="9"/>
        <v>1188.6299999999999</v>
      </c>
      <c r="L224">
        <f t="shared" si="10"/>
        <v>190.17999999999984</v>
      </c>
      <c r="M224">
        <f t="shared" si="11"/>
        <v>998.45</v>
      </c>
      <c r="N224" t="s">
        <v>33</v>
      </c>
      <c r="O224" t="s">
        <v>34</v>
      </c>
      <c r="P224" t="s">
        <v>21</v>
      </c>
      <c r="Q224" t="s">
        <v>22</v>
      </c>
    </row>
    <row r="225" spans="1:17" x14ac:dyDescent="0.3">
      <c r="A225" t="s">
        <v>286</v>
      </c>
      <c r="B225" s="1">
        <v>45758</v>
      </c>
      <c r="C225" t="s">
        <v>36</v>
      </c>
      <c r="D225" t="s">
        <v>39</v>
      </c>
      <c r="E225" t="s">
        <v>17</v>
      </c>
      <c r="F225" t="s">
        <v>18</v>
      </c>
      <c r="G225">
        <v>1</v>
      </c>
      <c r="H225">
        <v>181.96</v>
      </c>
      <c r="I225">
        <v>0.18</v>
      </c>
      <c r="J225">
        <v>149.21</v>
      </c>
      <c r="K225">
        <f t="shared" si="9"/>
        <v>181.96</v>
      </c>
      <c r="L225">
        <f t="shared" si="10"/>
        <v>32.75</v>
      </c>
      <c r="M225">
        <f t="shared" si="11"/>
        <v>149.21</v>
      </c>
      <c r="N225" t="s">
        <v>33</v>
      </c>
      <c r="O225" t="s">
        <v>34</v>
      </c>
      <c r="P225" t="s">
        <v>21</v>
      </c>
      <c r="Q225" t="s">
        <v>22</v>
      </c>
    </row>
    <row r="226" spans="1:17" x14ac:dyDescent="0.3">
      <c r="A226" t="s">
        <v>287</v>
      </c>
      <c r="B226" s="1">
        <v>45778</v>
      </c>
      <c r="C226" t="s">
        <v>24</v>
      </c>
      <c r="D226" t="s">
        <v>39</v>
      </c>
      <c r="E226" t="s">
        <v>49</v>
      </c>
      <c r="F226" t="s">
        <v>73</v>
      </c>
      <c r="G226">
        <v>2</v>
      </c>
      <c r="H226">
        <v>1280.75</v>
      </c>
      <c r="I226">
        <v>0.15</v>
      </c>
      <c r="J226">
        <v>2177.2800000000002</v>
      </c>
      <c r="K226">
        <f t="shared" si="9"/>
        <v>2561.5</v>
      </c>
      <c r="L226">
        <f t="shared" si="10"/>
        <v>384.2199999999998</v>
      </c>
      <c r="M226">
        <f t="shared" si="11"/>
        <v>2177.2800000000002</v>
      </c>
      <c r="N226" t="s">
        <v>58</v>
      </c>
      <c r="O226" t="s">
        <v>29</v>
      </c>
      <c r="P226" t="s">
        <v>30</v>
      </c>
      <c r="Q226" t="s">
        <v>22</v>
      </c>
    </row>
    <row r="227" spans="1:17" x14ac:dyDescent="0.3">
      <c r="A227" t="s">
        <v>288</v>
      </c>
      <c r="B227" s="1">
        <v>45698</v>
      </c>
      <c r="C227" t="s">
        <v>15</v>
      </c>
      <c r="D227" t="s">
        <v>16</v>
      </c>
      <c r="E227" t="s">
        <v>49</v>
      </c>
      <c r="F227" t="s">
        <v>56</v>
      </c>
      <c r="G227">
        <v>5</v>
      </c>
      <c r="H227">
        <v>1291.72</v>
      </c>
      <c r="I227">
        <v>0.17</v>
      </c>
      <c r="J227">
        <v>5360.64</v>
      </c>
      <c r="K227">
        <f t="shared" si="9"/>
        <v>6458.6</v>
      </c>
      <c r="L227">
        <f t="shared" si="10"/>
        <v>1097.96</v>
      </c>
      <c r="M227">
        <f t="shared" si="11"/>
        <v>5360.64</v>
      </c>
      <c r="N227" t="s">
        <v>41</v>
      </c>
      <c r="O227" t="s">
        <v>34</v>
      </c>
      <c r="P227" t="s">
        <v>30</v>
      </c>
      <c r="Q227" t="s">
        <v>22</v>
      </c>
    </row>
    <row r="228" spans="1:17" x14ac:dyDescent="0.3">
      <c r="A228" t="s">
        <v>289</v>
      </c>
      <c r="B228" s="1">
        <v>45689</v>
      </c>
      <c r="C228" t="s">
        <v>48</v>
      </c>
      <c r="D228" t="s">
        <v>43</v>
      </c>
      <c r="E228" t="s">
        <v>17</v>
      </c>
      <c r="F228" t="s">
        <v>18</v>
      </c>
      <c r="G228">
        <v>5</v>
      </c>
      <c r="H228">
        <v>2432.42</v>
      </c>
      <c r="I228">
        <v>0.16</v>
      </c>
      <c r="J228">
        <v>10216.16</v>
      </c>
      <c r="K228">
        <f t="shared" si="9"/>
        <v>12162.1</v>
      </c>
      <c r="L228">
        <f t="shared" si="10"/>
        <v>1945.9400000000005</v>
      </c>
      <c r="M228">
        <f t="shared" si="11"/>
        <v>10216.16</v>
      </c>
      <c r="N228" t="s">
        <v>41</v>
      </c>
      <c r="O228" t="s">
        <v>34</v>
      </c>
      <c r="P228" t="s">
        <v>21</v>
      </c>
      <c r="Q228" t="s">
        <v>22</v>
      </c>
    </row>
    <row r="229" spans="1:17" x14ac:dyDescent="0.3">
      <c r="A229" t="s">
        <v>290</v>
      </c>
      <c r="B229" s="1">
        <v>45732</v>
      </c>
      <c r="C229" t="s">
        <v>36</v>
      </c>
      <c r="D229" t="s">
        <v>25</v>
      </c>
      <c r="E229" t="s">
        <v>49</v>
      </c>
      <c r="F229" t="s">
        <v>53</v>
      </c>
      <c r="G229">
        <v>1</v>
      </c>
      <c r="H229">
        <v>1225.8599999999999</v>
      </c>
      <c r="I229">
        <v>0.23</v>
      </c>
      <c r="J229">
        <v>943.91</v>
      </c>
      <c r="K229">
        <f t="shared" si="9"/>
        <v>1225.8599999999999</v>
      </c>
      <c r="L229">
        <f t="shared" si="10"/>
        <v>281.94999999999993</v>
      </c>
      <c r="M229">
        <f t="shared" si="11"/>
        <v>943.91</v>
      </c>
      <c r="N229" t="s">
        <v>58</v>
      </c>
      <c r="O229" t="s">
        <v>29</v>
      </c>
      <c r="P229" t="s">
        <v>21</v>
      </c>
      <c r="Q229" t="s">
        <v>22</v>
      </c>
    </row>
    <row r="230" spans="1:17" x14ac:dyDescent="0.3">
      <c r="A230" t="s">
        <v>291</v>
      </c>
      <c r="B230" s="1">
        <v>45808</v>
      </c>
      <c r="C230" t="s">
        <v>36</v>
      </c>
      <c r="D230" t="s">
        <v>43</v>
      </c>
      <c r="E230" t="s">
        <v>17</v>
      </c>
      <c r="F230" t="s">
        <v>32</v>
      </c>
      <c r="G230">
        <v>1</v>
      </c>
      <c r="H230">
        <v>978.84</v>
      </c>
      <c r="I230">
        <v>0.21</v>
      </c>
      <c r="J230">
        <v>773.28</v>
      </c>
      <c r="K230">
        <f t="shared" si="9"/>
        <v>978.84</v>
      </c>
      <c r="L230">
        <f t="shared" si="10"/>
        <v>205.56000000000006</v>
      </c>
      <c r="M230">
        <f t="shared" si="11"/>
        <v>773.28</v>
      </c>
      <c r="N230" t="s">
        <v>33</v>
      </c>
      <c r="O230" t="s">
        <v>29</v>
      </c>
      <c r="P230" t="s">
        <v>54</v>
      </c>
      <c r="Q230" t="s">
        <v>22</v>
      </c>
    </row>
    <row r="231" spans="1:17" x14ac:dyDescent="0.3">
      <c r="A231" t="s">
        <v>292</v>
      </c>
      <c r="B231" s="1">
        <v>45691</v>
      </c>
      <c r="C231" t="s">
        <v>15</v>
      </c>
      <c r="D231" t="s">
        <v>39</v>
      </c>
      <c r="E231" t="s">
        <v>49</v>
      </c>
      <c r="F231" t="s">
        <v>56</v>
      </c>
      <c r="G231">
        <v>2</v>
      </c>
      <c r="H231">
        <v>2876.81</v>
      </c>
      <c r="I231">
        <v>0.21</v>
      </c>
      <c r="J231">
        <v>4545.3599999999997</v>
      </c>
      <c r="K231">
        <f t="shared" si="9"/>
        <v>5753.62</v>
      </c>
      <c r="L231">
        <f t="shared" si="10"/>
        <v>1208.2600000000002</v>
      </c>
      <c r="M231">
        <f t="shared" si="11"/>
        <v>4545.3599999999997</v>
      </c>
      <c r="N231" t="s">
        <v>19</v>
      </c>
      <c r="O231" t="s">
        <v>29</v>
      </c>
      <c r="P231" t="s">
        <v>21</v>
      </c>
      <c r="Q231" t="s">
        <v>22</v>
      </c>
    </row>
    <row r="232" spans="1:17" x14ac:dyDescent="0.3">
      <c r="A232" t="s">
        <v>293</v>
      </c>
      <c r="B232" s="1">
        <v>45764</v>
      </c>
      <c r="C232" t="s">
        <v>36</v>
      </c>
      <c r="D232" t="s">
        <v>25</v>
      </c>
      <c r="E232" t="s">
        <v>61</v>
      </c>
      <c r="F232" t="s">
        <v>62</v>
      </c>
      <c r="G232">
        <v>1</v>
      </c>
      <c r="H232">
        <v>2241.73</v>
      </c>
      <c r="I232">
        <v>0.21</v>
      </c>
      <c r="J232">
        <v>1770.97</v>
      </c>
      <c r="K232">
        <f t="shared" si="9"/>
        <v>2241.73</v>
      </c>
      <c r="L232">
        <f t="shared" si="10"/>
        <v>470.76</v>
      </c>
      <c r="M232">
        <f t="shared" si="11"/>
        <v>1770.97</v>
      </c>
      <c r="N232" t="s">
        <v>46</v>
      </c>
      <c r="O232" t="s">
        <v>20</v>
      </c>
      <c r="P232" t="s">
        <v>30</v>
      </c>
      <c r="Q232" t="s">
        <v>59</v>
      </c>
    </row>
    <row r="233" spans="1:17" x14ac:dyDescent="0.3">
      <c r="A233" t="s">
        <v>294</v>
      </c>
      <c r="B233" s="1">
        <v>45811</v>
      </c>
      <c r="C233" t="s">
        <v>15</v>
      </c>
      <c r="D233" t="s">
        <v>43</v>
      </c>
      <c r="E233" t="s">
        <v>99</v>
      </c>
      <c r="F233" t="s">
        <v>120</v>
      </c>
      <c r="G233">
        <v>2</v>
      </c>
      <c r="H233">
        <v>1843.47</v>
      </c>
      <c r="I233">
        <v>0.24</v>
      </c>
      <c r="J233">
        <v>2802.07</v>
      </c>
      <c r="K233">
        <f t="shared" si="9"/>
        <v>3686.94</v>
      </c>
      <c r="L233">
        <f t="shared" si="10"/>
        <v>884.86999999999989</v>
      </c>
      <c r="M233">
        <f t="shared" si="11"/>
        <v>2802.07</v>
      </c>
      <c r="N233" t="s">
        <v>41</v>
      </c>
      <c r="O233" t="s">
        <v>34</v>
      </c>
      <c r="P233" t="s">
        <v>30</v>
      </c>
      <c r="Q233" t="s">
        <v>22</v>
      </c>
    </row>
    <row r="234" spans="1:17" x14ac:dyDescent="0.3">
      <c r="A234" t="s">
        <v>295</v>
      </c>
      <c r="B234" s="1">
        <v>45839</v>
      </c>
      <c r="C234" t="s">
        <v>36</v>
      </c>
      <c r="D234" t="s">
        <v>43</v>
      </c>
      <c r="E234" t="s">
        <v>49</v>
      </c>
      <c r="F234" t="s">
        <v>56</v>
      </c>
      <c r="G234">
        <v>1</v>
      </c>
      <c r="H234">
        <v>501.99</v>
      </c>
      <c r="I234">
        <v>0.04</v>
      </c>
      <c r="J234">
        <v>481.91</v>
      </c>
      <c r="K234">
        <f t="shared" si="9"/>
        <v>501.99</v>
      </c>
      <c r="L234">
        <f t="shared" si="10"/>
        <v>20.079999999999984</v>
      </c>
      <c r="M234">
        <f t="shared" si="11"/>
        <v>481.91</v>
      </c>
      <c r="N234" t="s">
        <v>46</v>
      </c>
      <c r="O234" t="s">
        <v>20</v>
      </c>
      <c r="P234" t="s">
        <v>21</v>
      </c>
      <c r="Q234" t="s">
        <v>22</v>
      </c>
    </row>
    <row r="235" spans="1:17" x14ac:dyDescent="0.3">
      <c r="A235" t="s">
        <v>296</v>
      </c>
      <c r="B235" s="1">
        <v>45762</v>
      </c>
      <c r="C235" t="s">
        <v>24</v>
      </c>
      <c r="D235" t="s">
        <v>43</v>
      </c>
      <c r="E235" t="s">
        <v>99</v>
      </c>
      <c r="F235" t="s">
        <v>111</v>
      </c>
      <c r="G235">
        <v>3</v>
      </c>
      <c r="H235">
        <v>2279.21</v>
      </c>
      <c r="I235">
        <v>0.19</v>
      </c>
      <c r="J235">
        <v>5538.48</v>
      </c>
      <c r="K235">
        <f t="shared" si="9"/>
        <v>6837.63</v>
      </c>
      <c r="L235">
        <f t="shared" si="10"/>
        <v>1299.1500000000005</v>
      </c>
      <c r="M235">
        <f t="shared" si="11"/>
        <v>5538.48</v>
      </c>
      <c r="N235" t="s">
        <v>58</v>
      </c>
      <c r="O235" t="s">
        <v>20</v>
      </c>
      <c r="P235" t="s">
        <v>54</v>
      </c>
      <c r="Q235" t="s">
        <v>22</v>
      </c>
    </row>
    <row r="236" spans="1:17" x14ac:dyDescent="0.3">
      <c r="A236" t="s">
        <v>297</v>
      </c>
      <c r="B236" s="1">
        <v>45838</v>
      </c>
      <c r="C236" t="s">
        <v>36</v>
      </c>
      <c r="D236" t="s">
        <v>16</v>
      </c>
      <c r="E236" t="s">
        <v>49</v>
      </c>
      <c r="F236" t="s">
        <v>50</v>
      </c>
      <c r="G236">
        <v>4</v>
      </c>
      <c r="H236">
        <v>606.14</v>
      </c>
      <c r="I236">
        <v>0.02</v>
      </c>
      <c r="J236">
        <v>2376.0700000000002</v>
      </c>
      <c r="K236">
        <f t="shared" si="9"/>
        <v>2424.56</v>
      </c>
      <c r="L236">
        <f t="shared" si="10"/>
        <v>48.489999999999782</v>
      </c>
      <c r="M236">
        <f t="shared" si="11"/>
        <v>2376.0700000000002</v>
      </c>
      <c r="N236" t="s">
        <v>33</v>
      </c>
      <c r="O236" t="s">
        <v>29</v>
      </c>
      <c r="P236" t="s">
        <v>21</v>
      </c>
      <c r="Q236" t="s">
        <v>22</v>
      </c>
    </row>
    <row r="237" spans="1:17" x14ac:dyDescent="0.3">
      <c r="A237" t="s">
        <v>298</v>
      </c>
      <c r="B237" s="1">
        <v>45660</v>
      </c>
      <c r="C237" t="s">
        <v>24</v>
      </c>
      <c r="D237" t="s">
        <v>43</v>
      </c>
      <c r="E237" t="s">
        <v>99</v>
      </c>
      <c r="F237" t="s">
        <v>115</v>
      </c>
      <c r="G237">
        <v>4</v>
      </c>
      <c r="H237">
        <v>3917.93</v>
      </c>
      <c r="I237">
        <v>0.18</v>
      </c>
      <c r="J237">
        <v>12850.81</v>
      </c>
      <c r="K237">
        <f t="shared" si="9"/>
        <v>15671.72</v>
      </c>
      <c r="L237">
        <f t="shared" si="10"/>
        <v>2820.91</v>
      </c>
      <c r="M237">
        <f t="shared" si="11"/>
        <v>12850.81</v>
      </c>
      <c r="N237" t="s">
        <v>46</v>
      </c>
      <c r="O237" t="s">
        <v>34</v>
      </c>
      <c r="P237" t="s">
        <v>21</v>
      </c>
      <c r="Q237" t="s">
        <v>22</v>
      </c>
    </row>
    <row r="238" spans="1:17" x14ac:dyDescent="0.3">
      <c r="A238" t="s">
        <v>299</v>
      </c>
      <c r="B238" s="1">
        <v>45776</v>
      </c>
      <c r="C238" t="s">
        <v>52</v>
      </c>
      <c r="D238" t="s">
        <v>25</v>
      </c>
      <c r="E238" t="s">
        <v>61</v>
      </c>
      <c r="F238" t="s">
        <v>92</v>
      </c>
      <c r="G238">
        <v>3</v>
      </c>
      <c r="H238">
        <v>1415.19</v>
      </c>
      <c r="I238">
        <v>0.04</v>
      </c>
      <c r="J238">
        <v>4075.75</v>
      </c>
      <c r="K238">
        <f t="shared" si="9"/>
        <v>4245.57</v>
      </c>
      <c r="L238">
        <f t="shared" si="10"/>
        <v>169.81999999999971</v>
      </c>
      <c r="M238">
        <f t="shared" si="11"/>
        <v>4075.75</v>
      </c>
      <c r="N238" t="s">
        <v>19</v>
      </c>
      <c r="O238" t="s">
        <v>34</v>
      </c>
      <c r="P238" t="s">
        <v>54</v>
      </c>
      <c r="Q238" t="s">
        <v>22</v>
      </c>
    </row>
    <row r="239" spans="1:17" x14ac:dyDescent="0.3">
      <c r="A239" t="s">
        <v>300</v>
      </c>
      <c r="B239" s="1">
        <v>45722</v>
      </c>
      <c r="C239" t="s">
        <v>24</v>
      </c>
      <c r="D239" t="s">
        <v>43</v>
      </c>
      <c r="E239" t="s">
        <v>99</v>
      </c>
      <c r="F239" t="s">
        <v>115</v>
      </c>
      <c r="G239">
        <v>2</v>
      </c>
      <c r="H239">
        <v>3632.41</v>
      </c>
      <c r="I239">
        <v>0.12</v>
      </c>
      <c r="J239">
        <v>6393.04</v>
      </c>
      <c r="K239">
        <f t="shared" si="9"/>
        <v>7264.82</v>
      </c>
      <c r="L239">
        <f t="shared" si="10"/>
        <v>871.77999999999975</v>
      </c>
      <c r="M239">
        <f t="shared" si="11"/>
        <v>6393.04</v>
      </c>
      <c r="N239" t="s">
        <v>46</v>
      </c>
      <c r="O239" t="s">
        <v>34</v>
      </c>
      <c r="P239" t="s">
        <v>21</v>
      </c>
      <c r="Q239" t="s">
        <v>22</v>
      </c>
    </row>
    <row r="240" spans="1:17" x14ac:dyDescent="0.3">
      <c r="A240" t="s">
        <v>301</v>
      </c>
      <c r="B240" s="1">
        <v>45754</v>
      </c>
      <c r="C240" t="s">
        <v>24</v>
      </c>
      <c r="D240" t="s">
        <v>39</v>
      </c>
      <c r="E240" t="s">
        <v>61</v>
      </c>
      <c r="F240" t="s">
        <v>66</v>
      </c>
      <c r="G240">
        <v>5</v>
      </c>
      <c r="H240">
        <v>1961.46</v>
      </c>
      <c r="I240">
        <v>0.22</v>
      </c>
      <c r="J240">
        <v>7649.69</v>
      </c>
      <c r="K240">
        <f t="shared" si="9"/>
        <v>9807.2999999999993</v>
      </c>
      <c r="L240">
        <f t="shared" si="10"/>
        <v>2157.6099999999997</v>
      </c>
      <c r="M240">
        <f t="shared" si="11"/>
        <v>7649.69</v>
      </c>
      <c r="N240" t="s">
        <v>41</v>
      </c>
      <c r="O240" t="s">
        <v>34</v>
      </c>
      <c r="P240" t="s">
        <v>30</v>
      </c>
      <c r="Q240" t="s">
        <v>22</v>
      </c>
    </row>
    <row r="241" spans="1:17" x14ac:dyDescent="0.3">
      <c r="A241" t="s">
        <v>302</v>
      </c>
      <c r="B241" s="1">
        <v>45663</v>
      </c>
      <c r="C241" t="s">
        <v>15</v>
      </c>
      <c r="D241" t="s">
        <v>39</v>
      </c>
      <c r="E241" t="s">
        <v>27</v>
      </c>
      <c r="F241" t="s">
        <v>68</v>
      </c>
      <c r="G241">
        <v>2</v>
      </c>
      <c r="H241">
        <v>2447.15</v>
      </c>
      <c r="I241">
        <v>0.04</v>
      </c>
      <c r="J241">
        <v>4698.53</v>
      </c>
      <c r="K241">
        <f t="shared" si="9"/>
        <v>4894.3</v>
      </c>
      <c r="L241">
        <f t="shared" si="10"/>
        <v>195.77000000000044</v>
      </c>
      <c r="M241">
        <f t="shared" si="11"/>
        <v>4698.53</v>
      </c>
      <c r="N241" t="s">
        <v>46</v>
      </c>
      <c r="O241" t="s">
        <v>29</v>
      </c>
      <c r="P241" t="s">
        <v>30</v>
      </c>
      <c r="Q241" t="s">
        <v>22</v>
      </c>
    </row>
    <row r="242" spans="1:17" x14ac:dyDescent="0.3">
      <c r="A242" t="s">
        <v>303</v>
      </c>
      <c r="B242" s="1">
        <v>45681</v>
      </c>
      <c r="C242" t="s">
        <v>15</v>
      </c>
      <c r="D242" t="s">
        <v>43</v>
      </c>
      <c r="E242" t="s">
        <v>49</v>
      </c>
      <c r="F242" t="s">
        <v>73</v>
      </c>
      <c r="G242">
        <v>4</v>
      </c>
      <c r="H242">
        <v>1888.58</v>
      </c>
      <c r="I242">
        <v>0.23</v>
      </c>
      <c r="J242">
        <v>5816.83</v>
      </c>
      <c r="K242">
        <f t="shared" si="9"/>
        <v>7554.32</v>
      </c>
      <c r="L242">
        <f t="shared" si="10"/>
        <v>1737.4899999999998</v>
      </c>
      <c r="M242">
        <f t="shared" si="11"/>
        <v>5816.83</v>
      </c>
      <c r="N242" t="s">
        <v>41</v>
      </c>
      <c r="O242" t="s">
        <v>34</v>
      </c>
      <c r="P242" t="s">
        <v>54</v>
      </c>
      <c r="Q242" t="s">
        <v>22</v>
      </c>
    </row>
    <row r="243" spans="1:17" x14ac:dyDescent="0.3">
      <c r="A243" t="s">
        <v>304</v>
      </c>
      <c r="B243" s="1">
        <v>45840</v>
      </c>
      <c r="C243" t="s">
        <v>48</v>
      </c>
      <c r="D243" t="s">
        <v>25</v>
      </c>
      <c r="E243" t="s">
        <v>27</v>
      </c>
      <c r="F243" t="s">
        <v>79</v>
      </c>
      <c r="G243">
        <v>3</v>
      </c>
      <c r="H243">
        <v>4173.28</v>
      </c>
      <c r="I243">
        <v>0.02</v>
      </c>
      <c r="J243">
        <v>12269.44</v>
      </c>
      <c r="K243">
        <f t="shared" si="9"/>
        <v>12519.84</v>
      </c>
      <c r="L243">
        <f t="shared" si="10"/>
        <v>250.39999999999964</v>
      </c>
      <c r="M243">
        <f t="shared" si="11"/>
        <v>12269.44</v>
      </c>
      <c r="N243" t="s">
        <v>19</v>
      </c>
      <c r="O243" t="s">
        <v>34</v>
      </c>
      <c r="P243" t="s">
        <v>30</v>
      </c>
      <c r="Q243" t="s">
        <v>22</v>
      </c>
    </row>
    <row r="244" spans="1:17" x14ac:dyDescent="0.3">
      <c r="A244" t="s">
        <v>305</v>
      </c>
      <c r="B244" s="1">
        <v>45730</v>
      </c>
      <c r="C244" t="s">
        <v>15</v>
      </c>
      <c r="D244" t="s">
        <v>25</v>
      </c>
      <c r="E244" t="s">
        <v>99</v>
      </c>
      <c r="F244" t="s">
        <v>100</v>
      </c>
      <c r="G244">
        <v>4</v>
      </c>
      <c r="H244">
        <v>3966.48</v>
      </c>
      <c r="I244">
        <v>0.02</v>
      </c>
      <c r="J244">
        <v>15548.6</v>
      </c>
      <c r="K244">
        <f t="shared" si="9"/>
        <v>15865.92</v>
      </c>
      <c r="L244">
        <f t="shared" si="10"/>
        <v>317.31999999999971</v>
      </c>
      <c r="M244">
        <f t="shared" si="11"/>
        <v>15548.6</v>
      </c>
      <c r="N244" t="s">
        <v>19</v>
      </c>
      <c r="O244" t="s">
        <v>29</v>
      </c>
      <c r="P244" t="s">
        <v>21</v>
      </c>
      <c r="Q244" t="s">
        <v>22</v>
      </c>
    </row>
    <row r="245" spans="1:17" x14ac:dyDescent="0.3">
      <c r="A245" t="s">
        <v>306</v>
      </c>
      <c r="B245" s="1">
        <v>45830</v>
      </c>
      <c r="C245" t="s">
        <v>36</v>
      </c>
      <c r="D245" t="s">
        <v>43</v>
      </c>
      <c r="E245" t="s">
        <v>27</v>
      </c>
      <c r="F245" t="s">
        <v>87</v>
      </c>
      <c r="G245">
        <v>5</v>
      </c>
      <c r="H245">
        <v>3009.72</v>
      </c>
      <c r="I245">
        <v>0.23</v>
      </c>
      <c r="J245">
        <v>11587.42</v>
      </c>
      <c r="K245">
        <f t="shared" si="9"/>
        <v>15048.599999999999</v>
      </c>
      <c r="L245">
        <f t="shared" si="10"/>
        <v>3461.1799999999985</v>
      </c>
      <c r="M245">
        <f t="shared" si="11"/>
        <v>11587.42</v>
      </c>
      <c r="N245" t="s">
        <v>58</v>
      </c>
      <c r="O245" t="s">
        <v>34</v>
      </c>
      <c r="P245" t="s">
        <v>54</v>
      </c>
      <c r="Q245" t="s">
        <v>22</v>
      </c>
    </row>
    <row r="246" spans="1:17" x14ac:dyDescent="0.3">
      <c r="A246" t="s">
        <v>307</v>
      </c>
      <c r="B246" s="1">
        <v>45821</v>
      </c>
      <c r="C246" t="s">
        <v>36</v>
      </c>
      <c r="D246" t="s">
        <v>16</v>
      </c>
      <c r="E246" t="s">
        <v>99</v>
      </c>
      <c r="F246" t="s">
        <v>100</v>
      </c>
      <c r="G246">
        <v>4</v>
      </c>
      <c r="H246">
        <v>4837.37</v>
      </c>
      <c r="I246">
        <v>0.08</v>
      </c>
      <c r="J246">
        <v>17801.52</v>
      </c>
      <c r="K246">
        <f t="shared" si="9"/>
        <v>19349.48</v>
      </c>
      <c r="L246">
        <f t="shared" si="10"/>
        <v>1547.9599999999991</v>
      </c>
      <c r="M246">
        <f t="shared" si="11"/>
        <v>17801.52</v>
      </c>
      <c r="N246" t="s">
        <v>58</v>
      </c>
      <c r="O246" t="s">
        <v>29</v>
      </c>
      <c r="P246" t="s">
        <v>30</v>
      </c>
      <c r="Q246" t="s">
        <v>22</v>
      </c>
    </row>
    <row r="247" spans="1:17" x14ac:dyDescent="0.3">
      <c r="A247" t="s">
        <v>308</v>
      </c>
      <c r="B247" s="1">
        <v>45816</v>
      </c>
      <c r="C247" t="s">
        <v>36</v>
      </c>
      <c r="D247" t="s">
        <v>25</v>
      </c>
      <c r="E247" t="s">
        <v>99</v>
      </c>
      <c r="F247" t="s">
        <v>100</v>
      </c>
      <c r="G247">
        <v>5</v>
      </c>
      <c r="H247">
        <v>3469.56</v>
      </c>
      <c r="I247">
        <v>0.06</v>
      </c>
      <c r="J247">
        <v>16306.93</v>
      </c>
      <c r="K247">
        <f t="shared" si="9"/>
        <v>17347.8</v>
      </c>
      <c r="L247">
        <f t="shared" si="10"/>
        <v>1040.869999999999</v>
      </c>
      <c r="M247">
        <f t="shared" si="11"/>
        <v>16306.93</v>
      </c>
      <c r="N247" t="s">
        <v>33</v>
      </c>
      <c r="O247" t="s">
        <v>29</v>
      </c>
      <c r="P247" t="s">
        <v>30</v>
      </c>
      <c r="Q247" t="s">
        <v>22</v>
      </c>
    </row>
    <row r="248" spans="1:17" x14ac:dyDescent="0.3">
      <c r="A248" t="s">
        <v>309</v>
      </c>
      <c r="B248" s="1">
        <v>45719</v>
      </c>
      <c r="C248" t="s">
        <v>15</v>
      </c>
      <c r="D248" t="s">
        <v>16</v>
      </c>
      <c r="E248" t="s">
        <v>27</v>
      </c>
      <c r="F248" t="s">
        <v>68</v>
      </c>
      <c r="G248">
        <v>1</v>
      </c>
      <c r="H248">
        <v>1547.62</v>
      </c>
      <c r="I248">
        <v>0.23</v>
      </c>
      <c r="J248">
        <v>1191.67</v>
      </c>
      <c r="K248">
        <f t="shared" si="9"/>
        <v>1547.62</v>
      </c>
      <c r="L248">
        <f t="shared" si="10"/>
        <v>355.94999999999982</v>
      </c>
      <c r="M248">
        <f t="shared" si="11"/>
        <v>1191.67</v>
      </c>
      <c r="N248" t="s">
        <v>58</v>
      </c>
      <c r="O248" t="s">
        <v>34</v>
      </c>
      <c r="P248" t="s">
        <v>54</v>
      </c>
      <c r="Q248" t="s">
        <v>88</v>
      </c>
    </row>
    <row r="249" spans="1:17" x14ac:dyDescent="0.3">
      <c r="A249" t="s">
        <v>310</v>
      </c>
      <c r="B249" s="1">
        <v>45706</v>
      </c>
      <c r="C249" t="s">
        <v>15</v>
      </c>
      <c r="D249" t="s">
        <v>25</v>
      </c>
      <c r="E249" t="s">
        <v>61</v>
      </c>
      <c r="F249" t="s">
        <v>66</v>
      </c>
      <c r="G249">
        <v>2</v>
      </c>
      <c r="H249">
        <v>2653.46</v>
      </c>
      <c r="I249">
        <v>0.09</v>
      </c>
      <c r="J249">
        <v>4829.3</v>
      </c>
      <c r="K249">
        <f t="shared" si="9"/>
        <v>5306.92</v>
      </c>
      <c r="L249">
        <f t="shared" si="10"/>
        <v>477.61999999999989</v>
      </c>
      <c r="M249">
        <f t="shared" si="11"/>
        <v>4829.3</v>
      </c>
      <c r="N249" t="s">
        <v>46</v>
      </c>
      <c r="O249" t="s">
        <v>34</v>
      </c>
      <c r="P249" t="s">
        <v>54</v>
      </c>
      <c r="Q249" t="s">
        <v>22</v>
      </c>
    </row>
    <row r="250" spans="1:17" x14ac:dyDescent="0.3">
      <c r="A250" t="s">
        <v>311</v>
      </c>
      <c r="B250" s="1">
        <v>45671</v>
      </c>
      <c r="C250" t="s">
        <v>24</v>
      </c>
      <c r="D250" t="s">
        <v>43</v>
      </c>
      <c r="E250" t="s">
        <v>49</v>
      </c>
      <c r="F250" t="s">
        <v>53</v>
      </c>
      <c r="G250">
        <v>1</v>
      </c>
      <c r="H250">
        <v>210.67</v>
      </c>
      <c r="I250">
        <v>0.09</v>
      </c>
      <c r="J250">
        <v>191.71</v>
      </c>
      <c r="K250">
        <f t="shared" si="9"/>
        <v>210.67</v>
      </c>
      <c r="L250">
        <f t="shared" si="10"/>
        <v>18.95999999999998</v>
      </c>
      <c r="M250">
        <f t="shared" si="11"/>
        <v>191.71</v>
      </c>
      <c r="N250" t="s">
        <v>46</v>
      </c>
      <c r="O250" t="s">
        <v>20</v>
      </c>
      <c r="P250" t="s">
        <v>54</v>
      </c>
      <c r="Q250" t="s">
        <v>37</v>
      </c>
    </row>
    <row r="251" spans="1:17" x14ac:dyDescent="0.3">
      <c r="A251" t="s">
        <v>312</v>
      </c>
      <c r="B251" s="1">
        <v>45706</v>
      </c>
      <c r="C251" t="s">
        <v>36</v>
      </c>
      <c r="D251" t="s">
        <v>43</v>
      </c>
      <c r="E251" t="s">
        <v>61</v>
      </c>
      <c r="F251" t="s">
        <v>75</v>
      </c>
      <c r="G251">
        <v>5</v>
      </c>
      <c r="H251">
        <v>2189.21</v>
      </c>
      <c r="I251">
        <v>0.12</v>
      </c>
      <c r="J251">
        <v>9632.52</v>
      </c>
      <c r="K251">
        <f t="shared" si="9"/>
        <v>10946.05</v>
      </c>
      <c r="L251">
        <f t="shared" si="10"/>
        <v>1313.5299999999988</v>
      </c>
      <c r="M251">
        <f t="shared" si="11"/>
        <v>9632.52</v>
      </c>
      <c r="N251" t="s">
        <v>19</v>
      </c>
      <c r="O251" t="s">
        <v>34</v>
      </c>
      <c r="P251" t="s">
        <v>30</v>
      </c>
      <c r="Q251" t="s">
        <v>22</v>
      </c>
    </row>
    <row r="252" spans="1:17" x14ac:dyDescent="0.3">
      <c r="A252" t="s">
        <v>313</v>
      </c>
      <c r="B252" s="1">
        <v>45830</v>
      </c>
      <c r="C252" t="s">
        <v>24</v>
      </c>
      <c r="D252" t="s">
        <v>43</v>
      </c>
      <c r="E252" t="s">
        <v>49</v>
      </c>
      <c r="F252" t="s">
        <v>50</v>
      </c>
      <c r="G252">
        <v>4</v>
      </c>
      <c r="H252">
        <v>3001.8</v>
      </c>
      <c r="I252">
        <v>0.1</v>
      </c>
      <c r="J252">
        <v>10806.48</v>
      </c>
      <c r="K252">
        <f t="shared" si="9"/>
        <v>12007.2</v>
      </c>
      <c r="L252">
        <f t="shared" si="10"/>
        <v>1200.7200000000012</v>
      </c>
      <c r="M252">
        <f t="shared" si="11"/>
        <v>10806.48</v>
      </c>
      <c r="N252" t="s">
        <v>33</v>
      </c>
      <c r="O252" t="s">
        <v>20</v>
      </c>
      <c r="P252" t="s">
        <v>21</v>
      </c>
      <c r="Q252" t="s">
        <v>22</v>
      </c>
    </row>
    <row r="253" spans="1:17" x14ac:dyDescent="0.3">
      <c r="A253" t="s">
        <v>314</v>
      </c>
      <c r="B253" s="1">
        <v>45770</v>
      </c>
      <c r="C253" t="s">
        <v>36</v>
      </c>
      <c r="D253" t="s">
        <v>25</v>
      </c>
      <c r="E253" t="s">
        <v>17</v>
      </c>
      <c r="F253" t="s">
        <v>18</v>
      </c>
      <c r="G253">
        <v>3</v>
      </c>
      <c r="H253">
        <v>1065.6600000000001</v>
      </c>
      <c r="I253">
        <v>0.03</v>
      </c>
      <c r="J253">
        <v>3101.07</v>
      </c>
      <c r="K253">
        <f t="shared" si="9"/>
        <v>3196.9800000000005</v>
      </c>
      <c r="L253">
        <f t="shared" si="10"/>
        <v>95.910000000000309</v>
      </c>
      <c r="M253">
        <f t="shared" si="11"/>
        <v>3101.07</v>
      </c>
      <c r="N253" t="s">
        <v>19</v>
      </c>
      <c r="O253" t="s">
        <v>34</v>
      </c>
      <c r="P253" t="s">
        <v>21</v>
      </c>
      <c r="Q253" t="s">
        <v>22</v>
      </c>
    </row>
    <row r="254" spans="1:17" x14ac:dyDescent="0.3">
      <c r="A254" t="s">
        <v>315</v>
      </c>
      <c r="B254" s="1">
        <v>45675</v>
      </c>
      <c r="C254" t="s">
        <v>36</v>
      </c>
      <c r="D254" t="s">
        <v>43</v>
      </c>
      <c r="E254" t="s">
        <v>99</v>
      </c>
      <c r="F254" t="s">
        <v>115</v>
      </c>
      <c r="G254">
        <v>1</v>
      </c>
      <c r="H254">
        <v>1804.83</v>
      </c>
      <c r="I254">
        <v>0.21</v>
      </c>
      <c r="J254">
        <v>1425.82</v>
      </c>
      <c r="K254">
        <f t="shared" si="9"/>
        <v>1804.83</v>
      </c>
      <c r="L254">
        <f t="shared" si="10"/>
        <v>379.01</v>
      </c>
      <c r="M254">
        <f t="shared" si="11"/>
        <v>1425.82</v>
      </c>
      <c r="N254" t="s">
        <v>41</v>
      </c>
      <c r="O254" t="s">
        <v>29</v>
      </c>
      <c r="P254" t="s">
        <v>21</v>
      </c>
      <c r="Q254" t="s">
        <v>88</v>
      </c>
    </row>
    <row r="255" spans="1:17" x14ac:dyDescent="0.3">
      <c r="A255" t="s">
        <v>316</v>
      </c>
      <c r="B255" s="1">
        <v>45676</v>
      </c>
      <c r="C255" t="s">
        <v>52</v>
      </c>
      <c r="D255" t="s">
        <v>43</v>
      </c>
      <c r="E255" t="s">
        <v>99</v>
      </c>
      <c r="F255" t="s">
        <v>120</v>
      </c>
      <c r="G255">
        <v>2</v>
      </c>
      <c r="H255">
        <v>1596.36</v>
      </c>
      <c r="I255">
        <v>0.05</v>
      </c>
      <c r="J255">
        <v>3033.08</v>
      </c>
      <c r="K255">
        <f t="shared" si="9"/>
        <v>3192.72</v>
      </c>
      <c r="L255">
        <f t="shared" si="10"/>
        <v>159.63999999999987</v>
      </c>
      <c r="M255">
        <f t="shared" si="11"/>
        <v>3033.08</v>
      </c>
      <c r="N255" t="s">
        <v>46</v>
      </c>
      <c r="O255" t="s">
        <v>20</v>
      </c>
      <c r="P255" t="s">
        <v>21</v>
      </c>
      <c r="Q255" t="s">
        <v>22</v>
      </c>
    </row>
    <row r="256" spans="1:17" x14ac:dyDescent="0.3">
      <c r="A256" t="s">
        <v>317</v>
      </c>
      <c r="B256" s="1">
        <v>45802</v>
      </c>
      <c r="C256" t="s">
        <v>36</v>
      </c>
      <c r="D256" t="s">
        <v>43</v>
      </c>
      <c r="E256" t="s">
        <v>49</v>
      </c>
      <c r="F256" t="s">
        <v>73</v>
      </c>
      <c r="G256">
        <v>2</v>
      </c>
      <c r="H256">
        <v>2484.6799999999998</v>
      </c>
      <c r="I256">
        <v>0.13</v>
      </c>
      <c r="J256">
        <v>4323.34</v>
      </c>
      <c r="K256">
        <f t="shared" si="9"/>
        <v>4969.3599999999997</v>
      </c>
      <c r="L256">
        <f t="shared" si="10"/>
        <v>646.01999999999953</v>
      </c>
      <c r="M256">
        <f t="shared" si="11"/>
        <v>4323.34</v>
      </c>
      <c r="N256" t="s">
        <v>41</v>
      </c>
      <c r="O256" t="s">
        <v>34</v>
      </c>
      <c r="P256" t="s">
        <v>21</v>
      </c>
      <c r="Q256" t="s">
        <v>22</v>
      </c>
    </row>
    <row r="257" spans="1:17" x14ac:dyDescent="0.3">
      <c r="A257" t="s">
        <v>318</v>
      </c>
      <c r="B257" s="1">
        <v>45754</v>
      </c>
      <c r="C257" t="s">
        <v>52</v>
      </c>
      <c r="D257" t="s">
        <v>25</v>
      </c>
      <c r="E257" t="s">
        <v>49</v>
      </c>
      <c r="F257" t="s">
        <v>53</v>
      </c>
      <c r="G257">
        <v>4</v>
      </c>
      <c r="H257">
        <v>3135.11</v>
      </c>
      <c r="I257">
        <v>0.22</v>
      </c>
      <c r="J257">
        <v>9781.5400000000009</v>
      </c>
      <c r="K257">
        <f t="shared" si="9"/>
        <v>12540.44</v>
      </c>
      <c r="L257">
        <f t="shared" si="10"/>
        <v>2758.8999999999996</v>
      </c>
      <c r="M257">
        <f t="shared" si="11"/>
        <v>9781.5400000000009</v>
      </c>
      <c r="N257" t="s">
        <v>19</v>
      </c>
      <c r="O257" t="s">
        <v>34</v>
      </c>
      <c r="P257" t="s">
        <v>54</v>
      </c>
      <c r="Q257" t="s">
        <v>22</v>
      </c>
    </row>
    <row r="258" spans="1:17" x14ac:dyDescent="0.3">
      <c r="A258" t="s">
        <v>319</v>
      </c>
      <c r="B258" s="1">
        <v>45818</v>
      </c>
      <c r="C258" t="s">
        <v>48</v>
      </c>
      <c r="D258" t="s">
        <v>43</v>
      </c>
      <c r="E258" t="s">
        <v>49</v>
      </c>
      <c r="F258" t="s">
        <v>50</v>
      </c>
      <c r="G258">
        <v>4</v>
      </c>
      <c r="H258">
        <v>2494.63</v>
      </c>
      <c r="I258">
        <v>0.02</v>
      </c>
      <c r="J258">
        <v>9778.9500000000007</v>
      </c>
      <c r="K258">
        <f t="shared" si="9"/>
        <v>9978.52</v>
      </c>
      <c r="L258">
        <f t="shared" si="10"/>
        <v>199.56999999999971</v>
      </c>
      <c r="M258">
        <f t="shared" si="11"/>
        <v>9778.9500000000007</v>
      </c>
      <c r="N258" t="s">
        <v>41</v>
      </c>
      <c r="O258" t="s">
        <v>34</v>
      </c>
      <c r="P258" t="s">
        <v>54</v>
      </c>
      <c r="Q258" t="s">
        <v>22</v>
      </c>
    </row>
    <row r="259" spans="1:17" x14ac:dyDescent="0.3">
      <c r="A259" t="s">
        <v>320</v>
      </c>
      <c r="B259" s="1">
        <v>45673</v>
      </c>
      <c r="C259" t="s">
        <v>36</v>
      </c>
      <c r="D259" t="s">
        <v>16</v>
      </c>
      <c r="E259" t="s">
        <v>99</v>
      </c>
      <c r="F259" t="s">
        <v>100</v>
      </c>
      <c r="G259">
        <v>4</v>
      </c>
      <c r="H259">
        <v>2871.69</v>
      </c>
      <c r="I259">
        <v>0.19</v>
      </c>
      <c r="J259">
        <v>9304.2800000000007</v>
      </c>
      <c r="K259">
        <f t="shared" ref="K259:K322" si="12">G259*H259</f>
        <v>11486.76</v>
      </c>
      <c r="L259">
        <f t="shared" ref="L259:L322" si="13">K259-J259</f>
        <v>2182.4799999999996</v>
      </c>
      <c r="M259">
        <f t="shared" ref="M259:M322" si="14">K259-L259</f>
        <v>9304.2800000000007</v>
      </c>
      <c r="N259" t="s">
        <v>46</v>
      </c>
      <c r="O259" t="s">
        <v>20</v>
      </c>
      <c r="P259" t="s">
        <v>30</v>
      </c>
      <c r="Q259" t="s">
        <v>22</v>
      </c>
    </row>
    <row r="260" spans="1:17" x14ac:dyDescent="0.3">
      <c r="A260" t="s">
        <v>321</v>
      </c>
      <c r="B260" s="1">
        <v>45807</v>
      </c>
      <c r="C260" t="s">
        <v>36</v>
      </c>
      <c r="D260" t="s">
        <v>43</v>
      </c>
      <c r="E260" t="s">
        <v>99</v>
      </c>
      <c r="F260" t="s">
        <v>111</v>
      </c>
      <c r="G260">
        <v>4</v>
      </c>
      <c r="H260">
        <v>2777.13</v>
      </c>
      <c r="I260">
        <v>0.25</v>
      </c>
      <c r="J260">
        <v>8331.39</v>
      </c>
      <c r="K260">
        <f t="shared" si="12"/>
        <v>11108.52</v>
      </c>
      <c r="L260">
        <f t="shared" si="13"/>
        <v>2777.130000000001</v>
      </c>
      <c r="M260">
        <f t="shared" si="14"/>
        <v>8331.39</v>
      </c>
      <c r="N260" t="s">
        <v>58</v>
      </c>
      <c r="O260" t="s">
        <v>29</v>
      </c>
      <c r="P260" t="s">
        <v>54</v>
      </c>
      <c r="Q260" t="s">
        <v>22</v>
      </c>
    </row>
    <row r="261" spans="1:17" x14ac:dyDescent="0.3">
      <c r="A261" t="s">
        <v>322</v>
      </c>
      <c r="B261" s="1">
        <v>45763</v>
      </c>
      <c r="C261" t="s">
        <v>15</v>
      </c>
      <c r="D261" t="s">
        <v>43</v>
      </c>
      <c r="E261" t="s">
        <v>17</v>
      </c>
      <c r="F261" t="s">
        <v>40</v>
      </c>
      <c r="G261">
        <v>4</v>
      </c>
      <c r="H261">
        <v>4339.92</v>
      </c>
      <c r="I261">
        <v>0.03</v>
      </c>
      <c r="J261">
        <v>16838.89</v>
      </c>
      <c r="K261">
        <f t="shared" si="12"/>
        <v>17359.68</v>
      </c>
      <c r="L261">
        <f t="shared" si="13"/>
        <v>520.79000000000087</v>
      </c>
      <c r="M261">
        <f t="shared" si="14"/>
        <v>16838.89</v>
      </c>
      <c r="N261" t="s">
        <v>46</v>
      </c>
      <c r="O261" t="s">
        <v>20</v>
      </c>
      <c r="P261" t="s">
        <v>54</v>
      </c>
      <c r="Q261" t="s">
        <v>88</v>
      </c>
    </row>
    <row r="262" spans="1:17" x14ac:dyDescent="0.3">
      <c r="A262" t="s">
        <v>323</v>
      </c>
      <c r="B262" s="1">
        <v>45808</v>
      </c>
      <c r="C262" t="s">
        <v>36</v>
      </c>
      <c r="D262" t="s">
        <v>16</v>
      </c>
      <c r="E262" t="s">
        <v>27</v>
      </c>
      <c r="F262" t="s">
        <v>28</v>
      </c>
      <c r="G262">
        <v>5</v>
      </c>
      <c r="H262">
        <v>782.25</v>
      </c>
      <c r="I262">
        <v>0.05</v>
      </c>
      <c r="J262">
        <v>3715.69</v>
      </c>
      <c r="K262">
        <f t="shared" si="12"/>
        <v>3911.25</v>
      </c>
      <c r="L262">
        <f t="shared" si="13"/>
        <v>195.55999999999995</v>
      </c>
      <c r="M262">
        <f t="shared" si="14"/>
        <v>3715.69</v>
      </c>
      <c r="N262" t="s">
        <v>41</v>
      </c>
      <c r="O262" t="s">
        <v>20</v>
      </c>
      <c r="P262" t="s">
        <v>54</v>
      </c>
      <c r="Q262" t="s">
        <v>22</v>
      </c>
    </row>
    <row r="263" spans="1:17" x14ac:dyDescent="0.3">
      <c r="A263" t="s">
        <v>324</v>
      </c>
      <c r="B263" s="1">
        <v>45684</v>
      </c>
      <c r="C263" t="s">
        <v>36</v>
      </c>
      <c r="D263" t="s">
        <v>39</v>
      </c>
      <c r="E263" t="s">
        <v>27</v>
      </c>
      <c r="F263" t="s">
        <v>28</v>
      </c>
      <c r="G263">
        <v>3</v>
      </c>
      <c r="H263">
        <v>4897.1000000000004</v>
      </c>
      <c r="I263">
        <v>7.0000000000000007E-2</v>
      </c>
      <c r="J263">
        <v>13662.91</v>
      </c>
      <c r="K263">
        <f t="shared" si="12"/>
        <v>14691.300000000001</v>
      </c>
      <c r="L263">
        <f t="shared" si="13"/>
        <v>1028.3900000000012</v>
      </c>
      <c r="M263">
        <f t="shared" si="14"/>
        <v>13662.91</v>
      </c>
      <c r="N263" t="s">
        <v>33</v>
      </c>
      <c r="O263" t="s">
        <v>20</v>
      </c>
      <c r="P263" t="s">
        <v>21</v>
      </c>
      <c r="Q263" t="s">
        <v>59</v>
      </c>
    </row>
    <row r="264" spans="1:17" x14ac:dyDescent="0.3">
      <c r="A264" t="s">
        <v>325</v>
      </c>
      <c r="B264" s="1">
        <v>45684</v>
      </c>
      <c r="C264" t="s">
        <v>52</v>
      </c>
      <c r="D264" t="s">
        <v>43</v>
      </c>
      <c r="E264" t="s">
        <v>27</v>
      </c>
      <c r="F264" t="s">
        <v>79</v>
      </c>
      <c r="G264">
        <v>3</v>
      </c>
      <c r="H264">
        <v>4348.53</v>
      </c>
      <c r="I264">
        <v>0.03</v>
      </c>
      <c r="J264">
        <v>12654.22</v>
      </c>
      <c r="K264">
        <f t="shared" si="12"/>
        <v>13045.59</v>
      </c>
      <c r="L264">
        <f t="shared" si="13"/>
        <v>391.3700000000008</v>
      </c>
      <c r="M264">
        <f t="shared" si="14"/>
        <v>12654.22</v>
      </c>
      <c r="N264" t="s">
        <v>41</v>
      </c>
      <c r="O264" t="s">
        <v>20</v>
      </c>
      <c r="P264" t="s">
        <v>54</v>
      </c>
      <c r="Q264" t="s">
        <v>22</v>
      </c>
    </row>
    <row r="265" spans="1:17" x14ac:dyDescent="0.3">
      <c r="A265" t="s">
        <v>326</v>
      </c>
      <c r="B265" s="1">
        <v>45788</v>
      </c>
      <c r="C265" t="s">
        <v>48</v>
      </c>
      <c r="D265" t="s">
        <v>25</v>
      </c>
      <c r="E265" t="s">
        <v>99</v>
      </c>
      <c r="F265" t="s">
        <v>100</v>
      </c>
      <c r="G265">
        <v>5</v>
      </c>
      <c r="H265">
        <v>3198.77</v>
      </c>
      <c r="I265">
        <v>0.16</v>
      </c>
      <c r="J265">
        <v>13434.83</v>
      </c>
      <c r="K265">
        <f t="shared" si="12"/>
        <v>15993.85</v>
      </c>
      <c r="L265">
        <f t="shared" si="13"/>
        <v>2559.0200000000004</v>
      </c>
      <c r="M265">
        <f t="shared" si="14"/>
        <v>13434.83</v>
      </c>
      <c r="N265" t="s">
        <v>41</v>
      </c>
      <c r="O265" t="s">
        <v>20</v>
      </c>
      <c r="P265" t="s">
        <v>30</v>
      </c>
      <c r="Q265" t="s">
        <v>22</v>
      </c>
    </row>
    <row r="266" spans="1:17" x14ac:dyDescent="0.3">
      <c r="A266" t="s">
        <v>327</v>
      </c>
      <c r="B266" s="1">
        <v>45752</v>
      </c>
      <c r="C266" t="s">
        <v>36</v>
      </c>
      <c r="D266" t="s">
        <v>16</v>
      </c>
      <c r="E266" t="s">
        <v>17</v>
      </c>
      <c r="F266" t="s">
        <v>40</v>
      </c>
      <c r="G266">
        <v>3</v>
      </c>
      <c r="H266">
        <v>2328.0100000000002</v>
      </c>
      <c r="I266">
        <v>0.12</v>
      </c>
      <c r="J266">
        <v>6145.95</v>
      </c>
      <c r="K266">
        <f t="shared" si="12"/>
        <v>6984.0300000000007</v>
      </c>
      <c r="L266">
        <f t="shared" si="13"/>
        <v>838.08000000000084</v>
      </c>
      <c r="M266">
        <f t="shared" si="14"/>
        <v>6145.95</v>
      </c>
      <c r="N266" t="s">
        <v>46</v>
      </c>
      <c r="O266" t="s">
        <v>29</v>
      </c>
      <c r="P266" t="s">
        <v>21</v>
      </c>
      <c r="Q266" t="s">
        <v>37</v>
      </c>
    </row>
    <row r="267" spans="1:17" x14ac:dyDescent="0.3">
      <c r="A267" t="s">
        <v>328</v>
      </c>
      <c r="B267" s="1">
        <v>45766</v>
      </c>
      <c r="C267" t="s">
        <v>15</v>
      </c>
      <c r="D267" t="s">
        <v>25</v>
      </c>
      <c r="E267" t="s">
        <v>17</v>
      </c>
      <c r="F267" t="s">
        <v>40</v>
      </c>
      <c r="G267">
        <v>4</v>
      </c>
      <c r="H267">
        <v>1167.3699999999999</v>
      </c>
      <c r="I267">
        <v>0.11</v>
      </c>
      <c r="J267">
        <v>4155.84</v>
      </c>
      <c r="K267">
        <f t="shared" si="12"/>
        <v>4669.4799999999996</v>
      </c>
      <c r="L267">
        <f t="shared" si="13"/>
        <v>513.63999999999942</v>
      </c>
      <c r="M267">
        <f t="shared" si="14"/>
        <v>4155.84</v>
      </c>
      <c r="N267" t="s">
        <v>58</v>
      </c>
      <c r="O267" t="s">
        <v>29</v>
      </c>
      <c r="P267" t="s">
        <v>54</v>
      </c>
      <c r="Q267" t="s">
        <v>22</v>
      </c>
    </row>
    <row r="268" spans="1:17" x14ac:dyDescent="0.3">
      <c r="A268" t="s">
        <v>329</v>
      </c>
      <c r="B268" s="1">
        <v>45692</v>
      </c>
      <c r="C268" t="s">
        <v>36</v>
      </c>
      <c r="D268" t="s">
        <v>16</v>
      </c>
      <c r="E268" t="s">
        <v>99</v>
      </c>
      <c r="F268" t="s">
        <v>111</v>
      </c>
      <c r="G268">
        <v>5</v>
      </c>
      <c r="H268">
        <v>4276.87</v>
      </c>
      <c r="I268">
        <v>0.2</v>
      </c>
      <c r="J268">
        <v>17107.48</v>
      </c>
      <c r="K268">
        <f t="shared" si="12"/>
        <v>21384.35</v>
      </c>
      <c r="L268">
        <f t="shared" si="13"/>
        <v>4276.869999999999</v>
      </c>
      <c r="M268">
        <f t="shared" si="14"/>
        <v>17107.48</v>
      </c>
      <c r="N268" t="s">
        <v>33</v>
      </c>
      <c r="O268" t="s">
        <v>20</v>
      </c>
      <c r="P268" t="s">
        <v>21</v>
      </c>
      <c r="Q268" t="s">
        <v>22</v>
      </c>
    </row>
    <row r="269" spans="1:17" x14ac:dyDescent="0.3">
      <c r="A269" t="s">
        <v>330</v>
      </c>
      <c r="B269" s="1">
        <v>45711</v>
      </c>
      <c r="C269" t="s">
        <v>24</v>
      </c>
      <c r="D269" t="s">
        <v>43</v>
      </c>
      <c r="E269" t="s">
        <v>49</v>
      </c>
      <c r="F269" t="s">
        <v>56</v>
      </c>
      <c r="G269">
        <v>4</v>
      </c>
      <c r="H269">
        <v>103.31</v>
      </c>
      <c r="I269">
        <v>0.24</v>
      </c>
      <c r="J269">
        <v>314.06</v>
      </c>
      <c r="K269">
        <f t="shared" si="12"/>
        <v>413.24</v>
      </c>
      <c r="L269">
        <f t="shared" si="13"/>
        <v>99.18</v>
      </c>
      <c r="M269">
        <f t="shared" si="14"/>
        <v>314.06</v>
      </c>
      <c r="N269" t="s">
        <v>19</v>
      </c>
      <c r="O269" t="s">
        <v>34</v>
      </c>
      <c r="P269" t="s">
        <v>54</v>
      </c>
      <c r="Q269" t="s">
        <v>37</v>
      </c>
    </row>
    <row r="270" spans="1:17" x14ac:dyDescent="0.3">
      <c r="A270" t="s">
        <v>331</v>
      </c>
      <c r="B270" s="1">
        <v>45762</v>
      </c>
      <c r="C270" t="s">
        <v>15</v>
      </c>
      <c r="D270" t="s">
        <v>43</v>
      </c>
      <c r="E270" t="s">
        <v>99</v>
      </c>
      <c r="F270" t="s">
        <v>100</v>
      </c>
      <c r="G270">
        <v>3</v>
      </c>
      <c r="H270">
        <v>1326.91</v>
      </c>
      <c r="I270">
        <v>0.09</v>
      </c>
      <c r="J270">
        <v>3622.46</v>
      </c>
      <c r="K270">
        <f t="shared" si="12"/>
        <v>3980.7300000000005</v>
      </c>
      <c r="L270">
        <f t="shared" si="13"/>
        <v>358.27000000000044</v>
      </c>
      <c r="M270">
        <f t="shared" si="14"/>
        <v>3622.46</v>
      </c>
      <c r="N270" t="s">
        <v>58</v>
      </c>
      <c r="O270" t="s">
        <v>29</v>
      </c>
      <c r="P270" t="s">
        <v>21</v>
      </c>
      <c r="Q270" t="s">
        <v>22</v>
      </c>
    </row>
    <row r="271" spans="1:17" x14ac:dyDescent="0.3">
      <c r="A271" t="s">
        <v>332</v>
      </c>
      <c r="B271" s="1">
        <v>45829</v>
      </c>
      <c r="C271" t="s">
        <v>48</v>
      </c>
      <c r="D271" t="s">
        <v>43</v>
      </c>
      <c r="E271" t="s">
        <v>99</v>
      </c>
      <c r="F271" t="s">
        <v>100</v>
      </c>
      <c r="G271">
        <v>1</v>
      </c>
      <c r="H271">
        <v>105.32</v>
      </c>
      <c r="I271">
        <v>0.12</v>
      </c>
      <c r="J271">
        <v>92.68</v>
      </c>
      <c r="K271">
        <f t="shared" si="12"/>
        <v>105.32</v>
      </c>
      <c r="L271">
        <f t="shared" si="13"/>
        <v>12.639999999999986</v>
      </c>
      <c r="M271">
        <f t="shared" si="14"/>
        <v>92.68</v>
      </c>
      <c r="N271" t="s">
        <v>58</v>
      </c>
      <c r="O271" t="s">
        <v>29</v>
      </c>
      <c r="P271" t="s">
        <v>54</v>
      </c>
      <c r="Q271" t="s">
        <v>22</v>
      </c>
    </row>
    <row r="272" spans="1:17" x14ac:dyDescent="0.3">
      <c r="A272" t="s">
        <v>333</v>
      </c>
      <c r="B272" s="1">
        <v>45777</v>
      </c>
      <c r="C272" t="s">
        <v>24</v>
      </c>
      <c r="D272" t="s">
        <v>25</v>
      </c>
      <c r="E272" t="s">
        <v>49</v>
      </c>
      <c r="F272" t="s">
        <v>56</v>
      </c>
      <c r="G272">
        <v>4</v>
      </c>
      <c r="H272">
        <v>3500.75</v>
      </c>
      <c r="I272">
        <v>0.12</v>
      </c>
      <c r="J272">
        <v>12322.64</v>
      </c>
      <c r="K272">
        <f t="shared" si="12"/>
        <v>14003</v>
      </c>
      <c r="L272">
        <f t="shared" si="13"/>
        <v>1680.3600000000006</v>
      </c>
      <c r="M272">
        <f t="shared" si="14"/>
        <v>12322.64</v>
      </c>
      <c r="N272" t="s">
        <v>46</v>
      </c>
      <c r="O272" t="s">
        <v>20</v>
      </c>
      <c r="P272" t="s">
        <v>54</v>
      </c>
      <c r="Q272" t="s">
        <v>22</v>
      </c>
    </row>
    <row r="273" spans="1:17" x14ac:dyDescent="0.3">
      <c r="A273" t="s">
        <v>334</v>
      </c>
      <c r="B273" s="1">
        <v>45742</v>
      </c>
      <c r="C273" t="s">
        <v>15</v>
      </c>
      <c r="D273" t="s">
        <v>43</v>
      </c>
      <c r="E273" t="s">
        <v>17</v>
      </c>
      <c r="F273" t="s">
        <v>18</v>
      </c>
      <c r="G273">
        <v>2</v>
      </c>
      <c r="H273">
        <v>1975.33</v>
      </c>
      <c r="I273">
        <v>0.2</v>
      </c>
      <c r="J273">
        <v>3160.53</v>
      </c>
      <c r="K273">
        <f t="shared" si="12"/>
        <v>3950.66</v>
      </c>
      <c r="L273">
        <f t="shared" si="13"/>
        <v>790.12999999999965</v>
      </c>
      <c r="M273">
        <f t="shared" si="14"/>
        <v>3160.53</v>
      </c>
      <c r="N273" t="s">
        <v>46</v>
      </c>
      <c r="O273" t="s">
        <v>34</v>
      </c>
      <c r="P273" t="s">
        <v>54</v>
      </c>
      <c r="Q273" t="s">
        <v>22</v>
      </c>
    </row>
    <row r="274" spans="1:17" x14ac:dyDescent="0.3">
      <c r="A274" t="s">
        <v>335</v>
      </c>
      <c r="B274" s="1">
        <v>45701</v>
      </c>
      <c r="C274" t="s">
        <v>36</v>
      </c>
      <c r="D274" t="s">
        <v>25</v>
      </c>
      <c r="E274" t="s">
        <v>27</v>
      </c>
      <c r="F274" t="s">
        <v>79</v>
      </c>
      <c r="G274">
        <v>3</v>
      </c>
      <c r="H274">
        <v>3639.92</v>
      </c>
      <c r="I274">
        <v>0.16</v>
      </c>
      <c r="J274">
        <v>9172.6</v>
      </c>
      <c r="K274">
        <f t="shared" si="12"/>
        <v>10919.76</v>
      </c>
      <c r="L274">
        <f t="shared" si="13"/>
        <v>1747.1599999999999</v>
      </c>
      <c r="M274">
        <f t="shared" si="14"/>
        <v>9172.6</v>
      </c>
      <c r="N274" t="s">
        <v>19</v>
      </c>
      <c r="O274" t="s">
        <v>34</v>
      </c>
      <c r="P274" t="s">
        <v>54</v>
      </c>
      <c r="Q274" t="s">
        <v>22</v>
      </c>
    </row>
    <row r="275" spans="1:17" x14ac:dyDescent="0.3">
      <c r="A275" t="s">
        <v>336</v>
      </c>
      <c r="B275" s="1">
        <v>45840</v>
      </c>
      <c r="C275" t="s">
        <v>24</v>
      </c>
      <c r="D275" t="s">
        <v>39</v>
      </c>
      <c r="E275" t="s">
        <v>49</v>
      </c>
      <c r="F275" t="s">
        <v>73</v>
      </c>
      <c r="G275">
        <v>1</v>
      </c>
      <c r="H275">
        <v>2988.91</v>
      </c>
      <c r="I275">
        <v>0.1</v>
      </c>
      <c r="J275">
        <v>2690.02</v>
      </c>
      <c r="K275">
        <f t="shared" si="12"/>
        <v>2988.91</v>
      </c>
      <c r="L275">
        <f t="shared" si="13"/>
        <v>298.88999999999987</v>
      </c>
      <c r="M275">
        <f t="shared" si="14"/>
        <v>2690.02</v>
      </c>
      <c r="N275" t="s">
        <v>58</v>
      </c>
      <c r="O275" t="s">
        <v>20</v>
      </c>
      <c r="P275" t="s">
        <v>30</v>
      </c>
      <c r="Q275" t="s">
        <v>88</v>
      </c>
    </row>
    <row r="276" spans="1:17" x14ac:dyDescent="0.3">
      <c r="A276" t="s">
        <v>337</v>
      </c>
      <c r="B276" s="1">
        <v>45764</v>
      </c>
      <c r="C276" t="s">
        <v>24</v>
      </c>
      <c r="D276" t="s">
        <v>16</v>
      </c>
      <c r="E276" t="s">
        <v>61</v>
      </c>
      <c r="F276" t="s">
        <v>66</v>
      </c>
      <c r="G276">
        <v>5</v>
      </c>
      <c r="H276">
        <v>3040.04</v>
      </c>
      <c r="I276">
        <v>0.15</v>
      </c>
      <c r="J276">
        <v>12920.17</v>
      </c>
      <c r="K276">
        <f t="shared" si="12"/>
        <v>15200.2</v>
      </c>
      <c r="L276">
        <f t="shared" si="13"/>
        <v>2280.0300000000007</v>
      </c>
      <c r="M276">
        <f t="shared" si="14"/>
        <v>12920.17</v>
      </c>
      <c r="N276" t="s">
        <v>19</v>
      </c>
      <c r="O276" t="s">
        <v>29</v>
      </c>
      <c r="P276" t="s">
        <v>21</v>
      </c>
      <c r="Q276" t="s">
        <v>88</v>
      </c>
    </row>
    <row r="277" spans="1:17" x14ac:dyDescent="0.3">
      <c r="A277" t="s">
        <v>338</v>
      </c>
      <c r="B277" s="1">
        <v>45806</v>
      </c>
      <c r="C277" t="s">
        <v>36</v>
      </c>
      <c r="D277" t="s">
        <v>43</v>
      </c>
      <c r="E277" t="s">
        <v>99</v>
      </c>
      <c r="F277" t="s">
        <v>100</v>
      </c>
      <c r="G277">
        <v>2</v>
      </c>
      <c r="H277">
        <v>3764.43</v>
      </c>
      <c r="I277">
        <v>7.0000000000000007E-2</v>
      </c>
      <c r="J277">
        <v>7001.84</v>
      </c>
      <c r="K277">
        <f t="shared" si="12"/>
        <v>7528.86</v>
      </c>
      <c r="L277">
        <f t="shared" si="13"/>
        <v>527.01999999999953</v>
      </c>
      <c r="M277">
        <f t="shared" si="14"/>
        <v>7001.84</v>
      </c>
      <c r="N277" t="s">
        <v>33</v>
      </c>
      <c r="O277" t="s">
        <v>29</v>
      </c>
      <c r="P277" t="s">
        <v>54</v>
      </c>
      <c r="Q277" t="s">
        <v>22</v>
      </c>
    </row>
    <row r="278" spans="1:17" x14ac:dyDescent="0.3">
      <c r="A278" t="s">
        <v>339</v>
      </c>
      <c r="B278" s="1">
        <v>45801</v>
      </c>
      <c r="C278" t="s">
        <v>48</v>
      </c>
      <c r="D278" t="s">
        <v>39</v>
      </c>
      <c r="E278" t="s">
        <v>17</v>
      </c>
      <c r="F278" t="s">
        <v>44</v>
      </c>
      <c r="G278">
        <v>5</v>
      </c>
      <c r="H278">
        <v>4454.75</v>
      </c>
      <c r="I278">
        <v>0</v>
      </c>
      <c r="J278">
        <v>22273.75</v>
      </c>
      <c r="K278">
        <f t="shared" si="12"/>
        <v>22273.75</v>
      </c>
      <c r="L278">
        <f t="shared" si="13"/>
        <v>0</v>
      </c>
      <c r="M278">
        <f t="shared" si="14"/>
        <v>22273.75</v>
      </c>
      <c r="N278" t="s">
        <v>33</v>
      </c>
      <c r="O278" t="s">
        <v>20</v>
      </c>
      <c r="P278" t="s">
        <v>30</v>
      </c>
      <c r="Q278" t="s">
        <v>22</v>
      </c>
    </row>
    <row r="279" spans="1:17" x14ac:dyDescent="0.3">
      <c r="A279" t="s">
        <v>340</v>
      </c>
      <c r="B279" s="1">
        <v>45793</v>
      </c>
      <c r="C279" t="s">
        <v>15</v>
      </c>
      <c r="D279" t="s">
        <v>16</v>
      </c>
      <c r="E279" t="s">
        <v>27</v>
      </c>
      <c r="F279" t="s">
        <v>87</v>
      </c>
      <c r="G279">
        <v>2</v>
      </c>
      <c r="H279">
        <v>3837.36</v>
      </c>
      <c r="I279">
        <v>0.24</v>
      </c>
      <c r="J279">
        <v>5832.79</v>
      </c>
      <c r="K279">
        <f t="shared" si="12"/>
        <v>7674.72</v>
      </c>
      <c r="L279">
        <f t="shared" si="13"/>
        <v>1841.9300000000003</v>
      </c>
      <c r="M279">
        <f t="shared" si="14"/>
        <v>5832.79</v>
      </c>
      <c r="N279" t="s">
        <v>33</v>
      </c>
      <c r="O279" t="s">
        <v>29</v>
      </c>
      <c r="P279" t="s">
        <v>54</v>
      </c>
      <c r="Q279" t="s">
        <v>22</v>
      </c>
    </row>
    <row r="280" spans="1:17" x14ac:dyDescent="0.3">
      <c r="A280" t="s">
        <v>341</v>
      </c>
      <c r="B280" s="1">
        <v>45699</v>
      </c>
      <c r="C280" t="s">
        <v>52</v>
      </c>
      <c r="D280" t="s">
        <v>25</v>
      </c>
      <c r="E280" t="s">
        <v>17</v>
      </c>
      <c r="F280" t="s">
        <v>32</v>
      </c>
      <c r="G280">
        <v>4</v>
      </c>
      <c r="H280">
        <v>2582.39</v>
      </c>
      <c r="I280">
        <v>0.16</v>
      </c>
      <c r="J280">
        <v>8676.83</v>
      </c>
      <c r="K280">
        <f t="shared" si="12"/>
        <v>10329.56</v>
      </c>
      <c r="L280">
        <f t="shared" si="13"/>
        <v>1652.7299999999996</v>
      </c>
      <c r="M280">
        <f t="shared" si="14"/>
        <v>8676.83</v>
      </c>
      <c r="N280" t="s">
        <v>58</v>
      </c>
      <c r="O280" t="s">
        <v>20</v>
      </c>
      <c r="P280" t="s">
        <v>21</v>
      </c>
      <c r="Q280" t="s">
        <v>22</v>
      </c>
    </row>
    <row r="281" spans="1:17" x14ac:dyDescent="0.3">
      <c r="A281" t="s">
        <v>342</v>
      </c>
      <c r="B281" s="1">
        <v>45798</v>
      </c>
      <c r="C281" t="s">
        <v>36</v>
      </c>
      <c r="D281" t="s">
        <v>43</v>
      </c>
      <c r="E281" t="s">
        <v>49</v>
      </c>
      <c r="F281" t="s">
        <v>56</v>
      </c>
      <c r="G281">
        <v>2</v>
      </c>
      <c r="H281">
        <v>1459.59</v>
      </c>
      <c r="I281">
        <v>0.08</v>
      </c>
      <c r="J281">
        <v>2685.65</v>
      </c>
      <c r="K281">
        <f t="shared" si="12"/>
        <v>2919.18</v>
      </c>
      <c r="L281">
        <f t="shared" si="13"/>
        <v>233.52999999999975</v>
      </c>
      <c r="M281">
        <f t="shared" si="14"/>
        <v>2685.65</v>
      </c>
      <c r="N281" t="s">
        <v>33</v>
      </c>
      <c r="O281" t="s">
        <v>29</v>
      </c>
      <c r="P281" t="s">
        <v>21</v>
      </c>
      <c r="Q281" t="s">
        <v>59</v>
      </c>
    </row>
    <row r="282" spans="1:17" x14ac:dyDescent="0.3">
      <c r="A282" t="s">
        <v>343</v>
      </c>
      <c r="B282" s="1">
        <v>45720</v>
      </c>
      <c r="C282" t="s">
        <v>48</v>
      </c>
      <c r="D282" t="s">
        <v>16</v>
      </c>
      <c r="E282" t="s">
        <v>61</v>
      </c>
      <c r="F282" t="s">
        <v>66</v>
      </c>
      <c r="G282">
        <v>1</v>
      </c>
      <c r="H282">
        <v>1619.83</v>
      </c>
      <c r="I282">
        <v>0.11</v>
      </c>
      <c r="J282">
        <v>1441.65</v>
      </c>
      <c r="K282">
        <f t="shared" si="12"/>
        <v>1619.83</v>
      </c>
      <c r="L282">
        <f t="shared" si="13"/>
        <v>178.17999999999984</v>
      </c>
      <c r="M282">
        <f t="shared" si="14"/>
        <v>1441.65</v>
      </c>
      <c r="N282" t="s">
        <v>33</v>
      </c>
      <c r="O282" t="s">
        <v>29</v>
      </c>
      <c r="P282" t="s">
        <v>54</v>
      </c>
      <c r="Q282" t="s">
        <v>22</v>
      </c>
    </row>
    <row r="283" spans="1:17" x14ac:dyDescent="0.3">
      <c r="A283" t="s">
        <v>344</v>
      </c>
      <c r="B283" s="1">
        <v>45737</v>
      </c>
      <c r="C283" t="s">
        <v>48</v>
      </c>
      <c r="D283" t="s">
        <v>43</v>
      </c>
      <c r="E283" t="s">
        <v>49</v>
      </c>
      <c r="F283" t="s">
        <v>56</v>
      </c>
      <c r="G283">
        <v>1</v>
      </c>
      <c r="H283">
        <v>1615.52</v>
      </c>
      <c r="I283">
        <v>0.19</v>
      </c>
      <c r="J283">
        <v>1308.57</v>
      </c>
      <c r="K283">
        <f t="shared" si="12"/>
        <v>1615.52</v>
      </c>
      <c r="L283">
        <f t="shared" si="13"/>
        <v>306.95000000000005</v>
      </c>
      <c r="M283">
        <f t="shared" si="14"/>
        <v>1308.57</v>
      </c>
      <c r="N283" t="s">
        <v>33</v>
      </c>
      <c r="O283" t="s">
        <v>29</v>
      </c>
      <c r="P283" t="s">
        <v>21</v>
      </c>
      <c r="Q283" t="s">
        <v>22</v>
      </c>
    </row>
    <row r="284" spans="1:17" x14ac:dyDescent="0.3">
      <c r="A284" t="s">
        <v>345</v>
      </c>
      <c r="B284" s="1">
        <v>45790</v>
      </c>
      <c r="C284" t="s">
        <v>52</v>
      </c>
      <c r="D284" t="s">
        <v>43</v>
      </c>
      <c r="E284" t="s">
        <v>61</v>
      </c>
      <c r="F284" t="s">
        <v>62</v>
      </c>
      <c r="G284">
        <v>5</v>
      </c>
      <c r="H284">
        <v>2634.39</v>
      </c>
      <c r="I284">
        <v>0.21</v>
      </c>
      <c r="J284">
        <v>10405.84</v>
      </c>
      <c r="K284">
        <f t="shared" si="12"/>
        <v>13171.949999999999</v>
      </c>
      <c r="L284">
        <f t="shared" si="13"/>
        <v>2766.1099999999988</v>
      </c>
      <c r="M284">
        <f t="shared" si="14"/>
        <v>10405.84</v>
      </c>
      <c r="N284" t="s">
        <v>41</v>
      </c>
      <c r="O284" t="s">
        <v>34</v>
      </c>
      <c r="P284" t="s">
        <v>30</v>
      </c>
      <c r="Q284" t="s">
        <v>22</v>
      </c>
    </row>
    <row r="285" spans="1:17" x14ac:dyDescent="0.3">
      <c r="A285" t="s">
        <v>346</v>
      </c>
      <c r="B285" s="1">
        <v>45786</v>
      </c>
      <c r="C285" t="s">
        <v>24</v>
      </c>
      <c r="D285" t="s">
        <v>16</v>
      </c>
      <c r="E285" t="s">
        <v>99</v>
      </c>
      <c r="F285" t="s">
        <v>120</v>
      </c>
      <c r="G285">
        <v>3</v>
      </c>
      <c r="H285">
        <v>2666.89</v>
      </c>
      <c r="I285">
        <v>7.0000000000000007E-2</v>
      </c>
      <c r="J285">
        <v>7440.62</v>
      </c>
      <c r="K285">
        <f t="shared" si="12"/>
        <v>8000.67</v>
      </c>
      <c r="L285">
        <f t="shared" si="13"/>
        <v>560.05000000000018</v>
      </c>
      <c r="M285">
        <f t="shared" si="14"/>
        <v>7440.62</v>
      </c>
      <c r="N285" t="s">
        <v>46</v>
      </c>
      <c r="O285" t="s">
        <v>34</v>
      </c>
      <c r="P285" t="s">
        <v>21</v>
      </c>
      <c r="Q285" t="s">
        <v>22</v>
      </c>
    </row>
    <row r="286" spans="1:17" x14ac:dyDescent="0.3">
      <c r="A286" t="s">
        <v>347</v>
      </c>
      <c r="B286" s="1">
        <v>45732</v>
      </c>
      <c r="C286" t="s">
        <v>24</v>
      </c>
      <c r="D286" t="s">
        <v>16</v>
      </c>
      <c r="E286" t="s">
        <v>27</v>
      </c>
      <c r="F286" t="s">
        <v>28</v>
      </c>
      <c r="G286">
        <v>2</v>
      </c>
      <c r="H286">
        <v>1901.67</v>
      </c>
      <c r="I286">
        <v>0.06</v>
      </c>
      <c r="J286">
        <v>3575.14</v>
      </c>
      <c r="K286">
        <f t="shared" si="12"/>
        <v>3803.34</v>
      </c>
      <c r="L286">
        <f t="shared" si="13"/>
        <v>228.20000000000027</v>
      </c>
      <c r="M286">
        <f t="shared" si="14"/>
        <v>3575.14</v>
      </c>
      <c r="N286" t="s">
        <v>41</v>
      </c>
      <c r="O286" t="s">
        <v>29</v>
      </c>
      <c r="P286" t="s">
        <v>54</v>
      </c>
      <c r="Q286" t="s">
        <v>22</v>
      </c>
    </row>
    <row r="287" spans="1:17" x14ac:dyDescent="0.3">
      <c r="A287" t="s">
        <v>348</v>
      </c>
      <c r="B287" s="1">
        <v>45745</v>
      </c>
      <c r="C287" t="s">
        <v>24</v>
      </c>
      <c r="D287" t="s">
        <v>43</v>
      </c>
      <c r="E287" t="s">
        <v>27</v>
      </c>
      <c r="F287" t="s">
        <v>79</v>
      </c>
      <c r="G287">
        <v>1</v>
      </c>
      <c r="H287">
        <v>2411.65</v>
      </c>
      <c r="I287">
        <v>0.1</v>
      </c>
      <c r="J287">
        <v>2170.4899999999998</v>
      </c>
      <c r="K287">
        <f t="shared" si="12"/>
        <v>2411.65</v>
      </c>
      <c r="L287">
        <f t="shared" si="13"/>
        <v>241.16000000000031</v>
      </c>
      <c r="M287">
        <f t="shared" si="14"/>
        <v>2170.4899999999998</v>
      </c>
      <c r="N287" t="s">
        <v>58</v>
      </c>
      <c r="O287" t="s">
        <v>20</v>
      </c>
      <c r="P287" t="s">
        <v>54</v>
      </c>
      <c r="Q287" t="s">
        <v>37</v>
      </c>
    </row>
    <row r="288" spans="1:17" x14ac:dyDescent="0.3">
      <c r="A288" t="s">
        <v>349</v>
      </c>
      <c r="B288" s="1">
        <v>45834</v>
      </c>
      <c r="C288" t="s">
        <v>52</v>
      </c>
      <c r="D288" t="s">
        <v>39</v>
      </c>
      <c r="E288" t="s">
        <v>17</v>
      </c>
      <c r="F288" t="s">
        <v>40</v>
      </c>
      <c r="G288">
        <v>4</v>
      </c>
      <c r="H288">
        <v>4587.6899999999996</v>
      </c>
      <c r="I288">
        <v>0.08</v>
      </c>
      <c r="J288">
        <v>16882.7</v>
      </c>
      <c r="K288">
        <f t="shared" si="12"/>
        <v>18350.759999999998</v>
      </c>
      <c r="L288">
        <f t="shared" si="13"/>
        <v>1468.0599999999977</v>
      </c>
      <c r="M288">
        <f t="shared" si="14"/>
        <v>16882.7</v>
      </c>
      <c r="N288" t="s">
        <v>46</v>
      </c>
      <c r="O288" t="s">
        <v>20</v>
      </c>
      <c r="P288" t="s">
        <v>54</v>
      </c>
      <c r="Q288" t="s">
        <v>22</v>
      </c>
    </row>
    <row r="289" spans="1:17" x14ac:dyDescent="0.3">
      <c r="A289" t="s">
        <v>350</v>
      </c>
      <c r="B289" s="1">
        <v>45760</v>
      </c>
      <c r="C289" t="s">
        <v>52</v>
      </c>
      <c r="D289" t="s">
        <v>39</v>
      </c>
      <c r="E289" t="s">
        <v>17</v>
      </c>
      <c r="F289" t="s">
        <v>44</v>
      </c>
      <c r="G289">
        <v>4</v>
      </c>
      <c r="H289">
        <v>437.74</v>
      </c>
      <c r="I289">
        <v>0.12</v>
      </c>
      <c r="J289">
        <v>1540.84</v>
      </c>
      <c r="K289">
        <f t="shared" si="12"/>
        <v>1750.96</v>
      </c>
      <c r="L289">
        <f t="shared" si="13"/>
        <v>210.12000000000012</v>
      </c>
      <c r="M289">
        <f t="shared" si="14"/>
        <v>1540.84</v>
      </c>
      <c r="N289" t="s">
        <v>33</v>
      </c>
      <c r="O289" t="s">
        <v>20</v>
      </c>
      <c r="P289" t="s">
        <v>30</v>
      </c>
      <c r="Q289" t="s">
        <v>22</v>
      </c>
    </row>
    <row r="290" spans="1:17" x14ac:dyDescent="0.3">
      <c r="A290" t="s">
        <v>351</v>
      </c>
      <c r="B290" s="1">
        <v>45747</v>
      </c>
      <c r="C290" t="s">
        <v>24</v>
      </c>
      <c r="D290" t="s">
        <v>43</v>
      </c>
      <c r="E290" t="s">
        <v>27</v>
      </c>
      <c r="F290" t="s">
        <v>87</v>
      </c>
      <c r="G290">
        <v>3</v>
      </c>
      <c r="H290">
        <v>2862.65</v>
      </c>
      <c r="I290">
        <v>0.08</v>
      </c>
      <c r="J290">
        <v>7900.91</v>
      </c>
      <c r="K290">
        <f t="shared" si="12"/>
        <v>8587.9500000000007</v>
      </c>
      <c r="L290">
        <f t="shared" si="13"/>
        <v>687.04000000000087</v>
      </c>
      <c r="M290">
        <f t="shared" si="14"/>
        <v>7900.91</v>
      </c>
      <c r="N290" t="s">
        <v>46</v>
      </c>
      <c r="O290" t="s">
        <v>20</v>
      </c>
      <c r="P290" t="s">
        <v>21</v>
      </c>
      <c r="Q290" t="s">
        <v>22</v>
      </c>
    </row>
    <row r="291" spans="1:17" x14ac:dyDescent="0.3">
      <c r="A291" t="s">
        <v>352</v>
      </c>
      <c r="B291" s="1">
        <v>45683</v>
      </c>
      <c r="C291" t="s">
        <v>52</v>
      </c>
      <c r="D291" t="s">
        <v>39</v>
      </c>
      <c r="E291" t="s">
        <v>27</v>
      </c>
      <c r="F291" t="s">
        <v>87</v>
      </c>
      <c r="G291">
        <v>2</v>
      </c>
      <c r="H291">
        <v>131.25</v>
      </c>
      <c r="I291">
        <v>0.1</v>
      </c>
      <c r="J291">
        <v>236.25</v>
      </c>
      <c r="K291">
        <f t="shared" si="12"/>
        <v>262.5</v>
      </c>
      <c r="L291">
        <f t="shared" si="13"/>
        <v>26.25</v>
      </c>
      <c r="M291">
        <f t="shared" si="14"/>
        <v>236.25</v>
      </c>
      <c r="N291" t="s">
        <v>33</v>
      </c>
      <c r="O291" t="s">
        <v>20</v>
      </c>
      <c r="P291" t="s">
        <v>54</v>
      </c>
      <c r="Q291" t="s">
        <v>22</v>
      </c>
    </row>
    <row r="292" spans="1:17" x14ac:dyDescent="0.3">
      <c r="A292" t="s">
        <v>353</v>
      </c>
      <c r="B292" s="1">
        <v>45708</v>
      </c>
      <c r="C292" t="s">
        <v>24</v>
      </c>
      <c r="D292" t="s">
        <v>25</v>
      </c>
      <c r="E292" t="s">
        <v>17</v>
      </c>
      <c r="F292" t="s">
        <v>32</v>
      </c>
      <c r="G292">
        <v>3</v>
      </c>
      <c r="H292">
        <v>609.35</v>
      </c>
      <c r="I292">
        <v>0.13</v>
      </c>
      <c r="J292">
        <v>1590.4</v>
      </c>
      <c r="K292">
        <f t="shared" si="12"/>
        <v>1828.0500000000002</v>
      </c>
      <c r="L292">
        <f t="shared" si="13"/>
        <v>237.65000000000009</v>
      </c>
      <c r="M292">
        <f t="shared" si="14"/>
        <v>1590.4</v>
      </c>
      <c r="N292" t="s">
        <v>41</v>
      </c>
      <c r="O292" t="s">
        <v>29</v>
      </c>
      <c r="P292" t="s">
        <v>54</v>
      </c>
      <c r="Q292" t="s">
        <v>22</v>
      </c>
    </row>
    <row r="293" spans="1:17" x14ac:dyDescent="0.3">
      <c r="A293" t="s">
        <v>354</v>
      </c>
      <c r="B293" s="1">
        <v>45703</v>
      </c>
      <c r="C293" t="s">
        <v>15</v>
      </c>
      <c r="D293" t="s">
        <v>39</v>
      </c>
      <c r="E293" t="s">
        <v>17</v>
      </c>
      <c r="F293" t="s">
        <v>44</v>
      </c>
      <c r="G293">
        <v>2</v>
      </c>
      <c r="H293">
        <v>4496.71</v>
      </c>
      <c r="I293">
        <v>0.13</v>
      </c>
      <c r="J293">
        <v>7824.28</v>
      </c>
      <c r="K293">
        <f t="shared" si="12"/>
        <v>8993.42</v>
      </c>
      <c r="L293">
        <f t="shared" si="13"/>
        <v>1169.1400000000003</v>
      </c>
      <c r="M293">
        <f t="shared" si="14"/>
        <v>7824.28</v>
      </c>
      <c r="N293" t="s">
        <v>58</v>
      </c>
      <c r="O293" t="s">
        <v>20</v>
      </c>
      <c r="P293" t="s">
        <v>21</v>
      </c>
      <c r="Q293" t="s">
        <v>22</v>
      </c>
    </row>
    <row r="294" spans="1:17" x14ac:dyDescent="0.3">
      <c r="A294" t="s">
        <v>355</v>
      </c>
      <c r="B294" s="1">
        <v>45672</v>
      </c>
      <c r="C294" t="s">
        <v>36</v>
      </c>
      <c r="D294" t="s">
        <v>43</v>
      </c>
      <c r="E294" t="s">
        <v>17</v>
      </c>
      <c r="F294" t="s">
        <v>18</v>
      </c>
      <c r="G294">
        <v>4</v>
      </c>
      <c r="H294">
        <v>466.67</v>
      </c>
      <c r="I294">
        <v>0.14000000000000001</v>
      </c>
      <c r="J294">
        <v>1605.34</v>
      </c>
      <c r="K294">
        <f t="shared" si="12"/>
        <v>1866.68</v>
      </c>
      <c r="L294">
        <f t="shared" si="13"/>
        <v>261.34000000000015</v>
      </c>
      <c r="M294">
        <f t="shared" si="14"/>
        <v>1605.34</v>
      </c>
      <c r="N294" t="s">
        <v>19</v>
      </c>
      <c r="O294" t="s">
        <v>29</v>
      </c>
      <c r="P294" t="s">
        <v>30</v>
      </c>
      <c r="Q294" t="s">
        <v>22</v>
      </c>
    </row>
    <row r="295" spans="1:17" x14ac:dyDescent="0.3">
      <c r="A295" t="s">
        <v>356</v>
      </c>
      <c r="B295" s="1">
        <v>45725</v>
      </c>
      <c r="C295" t="s">
        <v>48</v>
      </c>
      <c r="D295" t="s">
        <v>43</v>
      </c>
      <c r="E295" t="s">
        <v>99</v>
      </c>
      <c r="F295" t="s">
        <v>111</v>
      </c>
      <c r="G295">
        <v>4</v>
      </c>
      <c r="H295">
        <v>1432.58</v>
      </c>
      <c r="I295">
        <v>0.02</v>
      </c>
      <c r="J295">
        <v>5615.71</v>
      </c>
      <c r="K295">
        <f t="shared" si="12"/>
        <v>5730.32</v>
      </c>
      <c r="L295">
        <f t="shared" si="13"/>
        <v>114.60999999999967</v>
      </c>
      <c r="M295">
        <f t="shared" si="14"/>
        <v>5615.71</v>
      </c>
      <c r="N295" t="s">
        <v>46</v>
      </c>
      <c r="O295" t="s">
        <v>34</v>
      </c>
      <c r="P295" t="s">
        <v>54</v>
      </c>
      <c r="Q295" t="s">
        <v>88</v>
      </c>
    </row>
    <row r="296" spans="1:17" x14ac:dyDescent="0.3">
      <c r="A296" t="s">
        <v>357</v>
      </c>
      <c r="B296" s="1">
        <v>45664</v>
      </c>
      <c r="C296" t="s">
        <v>52</v>
      </c>
      <c r="D296" t="s">
        <v>39</v>
      </c>
      <c r="E296" t="s">
        <v>27</v>
      </c>
      <c r="F296" t="s">
        <v>79</v>
      </c>
      <c r="G296">
        <v>4</v>
      </c>
      <c r="H296">
        <v>2383.67</v>
      </c>
      <c r="I296">
        <v>0.1</v>
      </c>
      <c r="J296">
        <v>8581.2099999999991</v>
      </c>
      <c r="K296">
        <f t="shared" si="12"/>
        <v>9534.68</v>
      </c>
      <c r="L296">
        <f t="shared" si="13"/>
        <v>953.47000000000116</v>
      </c>
      <c r="M296">
        <f t="shared" si="14"/>
        <v>8581.2099999999991</v>
      </c>
      <c r="N296" t="s">
        <v>58</v>
      </c>
      <c r="O296" t="s">
        <v>20</v>
      </c>
      <c r="P296" t="s">
        <v>21</v>
      </c>
      <c r="Q296" t="s">
        <v>59</v>
      </c>
    </row>
    <row r="297" spans="1:17" x14ac:dyDescent="0.3">
      <c r="A297" t="s">
        <v>358</v>
      </c>
      <c r="B297" s="1">
        <v>45774</v>
      </c>
      <c r="C297" t="s">
        <v>15</v>
      </c>
      <c r="D297" t="s">
        <v>16</v>
      </c>
      <c r="E297" t="s">
        <v>61</v>
      </c>
      <c r="F297" t="s">
        <v>92</v>
      </c>
      <c r="G297">
        <v>1</v>
      </c>
      <c r="H297">
        <v>543.05999999999995</v>
      </c>
      <c r="I297">
        <v>0.2</v>
      </c>
      <c r="J297">
        <v>434.45</v>
      </c>
      <c r="K297">
        <f t="shared" si="12"/>
        <v>543.05999999999995</v>
      </c>
      <c r="L297">
        <f t="shared" si="13"/>
        <v>108.60999999999996</v>
      </c>
      <c r="M297">
        <f t="shared" si="14"/>
        <v>434.45</v>
      </c>
      <c r="N297" t="s">
        <v>41</v>
      </c>
      <c r="O297" t="s">
        <v>34</v>
      </c>
      <c r="P297" t="s">
        <v>30</v>
      </c>
      <c r="Q297" t="s">
        <v>22</v>
      </c>
    </row>
    <row r="298" spans="1:17" x14ac:dyDescent="0.3">
      <c r="A298" t="s">
        <v>359</v>
      </c>
      <c r="B298" s="1">
        <v>45767</v>
      </c>
      <c r="C298" t="s">
        <v>24</v>
      </c>
      <c r="D298" t="s">
        <v>43</v>
      </c>
      <c r="E298" t="s">
        <v>99</v>
      </c>
      <c r="F298" t="s">
        <v>100</v>
      </c>
      <c r="G298">
        <v>4</v>
      </c>
      <c r="H298">
        <v>2615.9499999999998</v>
      </c>
      <c r="I298">
        <v>0.17</v>
      </c>
      <c r="J298">
        <v>8684.9500000000007</v>
      </c>
      <c r="K298">
        <f t="shared" si="12"/>
        <v>10463.799999999999</v>
      </c>
      <c r="L298">
        <f t="shared" si="13"/>
        <v>1778.8499999999985</v>
      </c>
      <c r="M298">
        <f t="shared" si="14"/>
        <v>8684.9500000000007</v>
      </c>
      <c r="N298" t="s">
        <v>19</v>
      </c>
      <c r="O298" t="s">
        <v>34</v>
      </c>
      <c r="P298" t="s">
        <v>30</v>
      </c>
      <c r="Q298" t="s">
        <v>22</v>
      </c>
    </row>
    <row r="299" spans="1:17" x14ac:dyDescent="0.3">
      <c r="A299" t="s">
        <v>360</v>
      </c>
      <c r="B299" s="1">
        <v>45704</v>
      </c>
      <c r="C299" t="s">
        <v>36</v>
      </c>
      <c r="D299" t="s">
        <v>16</v>
      </c>
      <c r="E299" t="s">
        <v>49</v>
      </c>
      <c r="F299" t="s">
        <v>50</v>
      </c>
      <c r="G299">
        <v>1</v>
      </c>
      <c r="H299">
        <v>2364.0100000000002</v>
      </c>
      <c r="I299">
        <v>0.2</v>
      </c>
      <c r="J299">
        <v>1891.21</v>
      </c>
      <c r="K299">
        <f t="shared" si="12"/>
        <v>2364.0100000000002</v>
      </c>
      <c r="L299">
        <f t="shared" si="13"/>
        <v>472.80000000000018</v>
      </c>
      <c r="M299">
        <f t="shared" si="14"/>
        <v>1891.21</v>
      </c>
      <c r="N299" t="s">
        <v>33</v>
      </c>
      <c r="O299" t="s">
        <v>20</v>
      </c>
      <c r="P299" t="s">
        <v>54</v>
      </c>
      <c r="Q299" t="s">
        <v>22</v>
      </c>
    </row>
    <row r="300" spans="1:17" x14ac:dyDescent="0.3">
      <c r="A300" t="s">
        <v>361</v>
      </c>
      <c r="B300" s="1">
        <v>45774</v>
      </c>
      <c r="C300" t="s">
        <v>52</v>
      </c>
      <c r="D300" t="s">
        <v>16</v>
      </c>
      <c r="E300" t="s">
        <v>61</v>
      </c>
      <c r="F300" t="s">
        <v>75</v>
      </c>
      <c r="G300">
        <v>1</v>
      </c>
      <c r="H300">
        <v>2953.39</v>
      </c>
      <c r="I300">
        <v>0.06</v>
      </c>
      <c r="J300">
        <v>2776.19</v>
      </c>
      <c r="K300">
        <f t="shared" si="12"/>
        <v>2953.39</v>
      </c>
      <c r="L300">
        <f t="shared" si="13"/>
        <v>177.19999999999982</v>
      </c>
      <c r="M300">
        <f t="shared" si="14"/>
        <v>2776.19</v>
      </c>
      <c r="N300" t="s">
        <v>41</v>
      </c>
      <c r="O300" t="s">
        <v>34</v>
      </c>
      <c r="P300" t="s">
        <v>54</v>
      </c>
      <c r="Q300" t="s">
        <v>59</v>
      </c>
    </row>
    <row r="301" spans="1:17" x14ac:dyDescent="0.3">
      <c r="A301" t="s">
        <v>362</v>
      </c>
      <c r="B301" s="1">
        <v>45702</v>
      </c>
      <c r="C301" t="s">
        <v>52</v>
      </c>
      <c r="D301" t="s">
        <v>25</v>
      </c>
      <c r="E301" t="s">
        <v>61</v>
      </c>
      <c r="F301" t="s">
        <v>92</v>
      </c>
      <c r="G301">
        <v>1</v>
      </c>
      <c r="H301">
        <v>309.20999999999998</v>
      </c>
      <c r="I301">
        <v>0.12</v>
      </c>
      <c r="J301">
        <v>272.10000000000002</v>
      </c>
      <c r="K301">
        <f t="shared" si="12"/>
        <v>309.20999999999998</v>
      </c>
      <c r="L301">
        <f t="shared" si="13"/>
        <v>37.109999999999957</v>
      </c>
      <c r="M301">
        <f t="shared" si="14"/>
        <v>272.10000000000002</v>
      </c>
      <c r="N301" t="s">
        <v>58</v>
      </c>
      <c r="O301" t="s">
        <v>34</v>
      </c>
      <c r="P301" t="s">
        <v>54</v>
      </c>
      <c r="Q301" t="s">
        <v>88</v>
      </c>
    </row>
    <row r="302" spans="1:17" x14ac:dyDescent="0.3">
      <c r="A302" t="s">
        <v>363</v>
      </c>
      <c r="B302" s="1">
        <v>45661</v>
      </c>
      <c r="C302" t="s">
        <v>24</v>
      </c>
      <c r="D302" t="s">
        <v>39</v>
      </c>
      <c r="E302" t="s">
        <v>49</v>
      </c>
      <c r="F302" t="s">
        <v>50</v>
      </c>
      <c r="G302">
        <v>4</v>
      </c>
      <c r="H302">
        <v>946.76</v>
      </c>
      <c r="I302">
        <v>0.05</v>
      </c>
      <c r="J302">
        <v>3597.69</v>
      </c>
      <c r="K302">
        <f t="shared" si="12"/>
        <v>3787.04</v>
      </c>
      <c r="L302">
        <f t="shared" si="13"/>
        <v>189.34999999999991</v>
      </c>
      <c r="M302">
        <f t="shared" si="14"/>
        <v>3597.69</v>
      </c>
      <c r="N302" t="s">
        <v>41</v>
      </c>
      <c r="O302" t="s">
        <v>29</v>
      </c>
      <c r="P302" t="s">
        <v>54</v>
      </c>
      <c r="Q302" t="s">
        <v>22</v>
      </c>
    </row>
    <row r="303" spans="1:17" x14ac:dyDescent="0.3">
      <c r="A303" t="s">
        <v>364</v>
      </c>
      <c r="B303" s="1">
        <v>45673</v>
      </c>
      <c r="C303" t="s">
        <v>36</v>
      </c>
      <c r="D303" t="s">
        <v>25</v>
      </c>
      <c r="E303" t="s">
        <v>61</v>
      </c>
      <c r="F303" t="s">
        <v>62</v>
      </c>
      <c r="G303">
        <v>2</v>
      </c>
      <c r="H303">
        <v>3271.66</v>
      </c>
      <c r="I303">
        <v>0.12</v>
      </c>
      <c r="J303">
        <v>5758.12</v>
      </c>
      <c r="K303">
        <f t="shared" si="12"/>
        <v>6543.32</v>
      </c>
      <c r="L303">
        <f t="shared" si="13"/>
        <v>785.19999999999982</v>
      </c>
      <c r="M303">
        <f t="shared" si="14"/>
        <v>5758.12</v>
      </c>
      <c r="N303" t="s">
        <v>33</v>
      </c>
      <c r="O303" t="s">
        <v>29</v>
      </c>
      <c r="P303" t="s">
        <v>21</v>
      </c>
      <c r="Q303" t="s">
        <v>22</v>
      </c>
    </row>
    <row r="304" spans="1:17" x14ac:dyDescent="0.3">
      <c r="A304" t="s">
        <v>365</v>
      </c>
      <c r="B304" s="1">
        <v>45797</v>
      </c>
      <c r="C304" t="s">
        <v>52</v>
      </c>
      <c r="D304" t="s">
        <v>16</v>
      </c>
      <c r="E304" t="s">
        <v>99</v>
      </c>
      <c r="F304" t="s">
        <v>115</v>
      </c>
      <c r="G304">
        <v>5</v>
      </c>
      <c r="H304">
        <v>1320.82</v>
      </c>
      <c r="I304">
        <v>0.25</v>
      </c>
      <c r="J304">
        <v>4953.07</v>
      </c>
      <c r="K304">
        <f t="shared" si="12"/>
        <v>6604.0999999999995</v>
      </c>
      <c r="L304">
        <f t="shared" si="13"/>
        <v>1651.0299999999997</v>
      </c>
      <c r="M304">
        <f t="shared" si="14"/>
        <v>4953.07</v>
      </c>
      <c r="N304" t="s">
        <v>41</v>
      </c>
      <c r="O304" t="s">
        <v>20</v>
      </c>
      <c r="P304" t="s">
        <v>21</v>
      </c>
      <c r="Q304" t="s">
        <v>59</v>
      </c>
    </row>
    <row r="305" spans="1:17" x14ac:dyDescent="0.3">
      <c r="A305" t="s">
        <v>366</v>
      </c>
      <c r="B305" s="1">
        <v>45782</v>
      </c>
      <c r="C305" t="s">
        <v>36</v>
      </c>
      <c r="D305" t="s">
        <v>16</v>
      </c>
      <c r="E305" t="s">
        <v>99</v>
      </c>
      <c r="F305" t="s">
        <v>115</v>
      </c>
      <c r="G305">
        <v>5</v>
      </c>
      <c r="H305">
        <v>2561.73</v>
      </c>
      <c r="I305">
        <v>0.1</v>
      </c>
      <c r="J305">
        <v>11527.78</v>
      </c>
      <c r="K305">
        <f t="shared" si="12"/>
        <v>12808.65</v>
      </c>
      <c r="L305">
        <f t="shared" si="13"/>
        <v>1280.869999999999</v>
      </c>
      <c r="M305">
        <f t="shared" si="14"/>
        <v>11527.78</v>
      </c>
      <c r="N305" t="s">
        <v>41</v>
      </c>
      <c r="O305" t="s">
        <v>34</v>
      </c>
      <c r="P305" t="s">
        <v>54</v>
      </c>
      <c r="Q305" t="s">
        <v>22</v>
      </c>
    </row>
    <row r="306" spans="1:17" x14ac:dyDescent="0.3">
      <c r="A306" t="s">
        <v>367</v>
      </c>
      <c r="B306" s="1">
        <v>45671</v>
      </c>
      <c r="C306" t="s">
        <v>15</v>
      </c>
      <c r="D306" t="s">
        <v>43</v>
      </c>
      <c r="E306" t="s">
        <v>61</v>
      </c>
      <c r="F306" t="s">
        <v>62</v>
      </c>
      <c r="G306">
        <v>5</v>
      </c>
      <c r="H306">
        <v>1851.42</v>
      </c>
      <c r="I306">
        <v>0.15</v>
      </c>
      <c r="J306">
        <v>7868.53</v>
      </c>
      <c r="K306">
        <f t="shared" si="12"/>
        <v>9257.1</v>
      </c>
      <c r="L306">
        <f t="shared" si="13"/>
        <v>1388.5700000000006</v>
      </c>
      <c r="M306">
        <f t="shared" si="14"/>
        <v>7868.53</v>
      </c>
      <c r="N306" t="s">
        <v>58</v>
      </c>
      <c r="O306" t="s">
        <v>34</v>
      </c>
      <c r="P306" t="s">
        <v>54</v>
      </c>
      <c r="Q306" t="s">
        <v>22</v>
      </c>
    </row>
    <row r="307" spans="1:17" x14ac:dyDescent="0.3">
      <c r="A307" t="s">
        <v>368</v>
      </c>
      <c r="B307" s="1">
        <v>45704</v>
      </c>
      <c r="C307" t="s">
        <v>36</v>
      </c>
      <c r="D307" t="s">
        <v>43</v>
      </c>
      <c r="E307" t="s">
        <v>61</v>
      </c>
      <c r="F307" t="s">
        <v>66</v>
      </c>
      <c r="G307">
        <v>5</v>
      </c>
      <c r="H307">
        <v>4247.87</v>
      </c>
      <c r="I307">
        <v>0.2</v>
      </c>
      <c r="J307">
        <v>16991.48</v>
      </c>
      <c r="K307">
        <f t="shared" si="12"/>
        <v>21239.35</v>
      </c>
      <c r="L307">
        <f t="shared" si="13"/>
        <v>4247.869999999999</v>
      </c>
      <c r="M307">
        <f t="shared" si="14"/>
        <v>16991.48</v>
      </c>
      <c r="N307" t="s">
        <v>58</v>
      </c>
      <c r="O307" t="s">
        <v>20</v>
      </c>
      <c r="P307" t="s">
        <v>30</v>
      </c>
      <c r="Q307" t="s">
        <v>22</v>
      </c>
    </row>
    <row r="308" spans="1:17" x14ac:dyDescent="0.3">
      <c r="A308" t="s">
        <v>369</v>
      </c>
      <c r="B308" s="1">
        <v>45673</v>
      </c>
      <c r="C308" t="s">
        <v>15</v>
      </c>
      <c r="D308" t="s">
        <v>43</v>
      </c>
      <c r="E308" t="s">
        <v>27</v>
      </c>
      <c r="F308" t="s">
        <v>28</v>
      </c>
      <c r="G308">
        <v>3</v>
      </c>
      <c r="H308">
        <v>4743.04</v>
      </c>
      <c r="I308">
        <v>0.14000000000000001</v>
      </c>
      <c r="J308">
        <v>12237.04</v>
      </c>
      <c r="K308">
        <f t="shared" si="12"/>
        <v>14229.119999999999</v>
      </c>
      <c r="L308">
        <f t="shared" si="13"/>
        <v>1992.0799999999981</v>
      </c>
      <c r="M308">
        <f t="shared" si="14"/>
        <v>12237.04</v>
      </c>
      <c r="N308" t="s">
        <v>33</v>
      </c>
      <c r="O308" t="s">
        <v>20</v>
      </c>
      <c r="P308" t="s">
        <v>21</v>
      </c>
      <c r="Q308" t="s">
        <v>88</v>
      </c>
    </row>
    <row r="309" spans="1:17" x14ac:dyDescent="0.3">
      <c r="A309" t="s">
        <v>370</v>
      </c>
      <c r="B309" s="1">
        <v>45835</v>
      </c>
      <c r="C309" t="s">
        <v>52</v>
      </c>
      <c r="D309" t="s">
        <v>25</v>
      </c>
      <c r="E309" t="s">
        <v>49</v>
      </c>
      <c r="F309" t="s">
        <v>53</v>
      </c>
      <c r="G309">
        <v>1</v>
      </c>
      <c r="H309">
        <v>375.22</v>
      </c>
      <c r="I309">
        <v>0.15</v>
      </c>
      <c r="J309">
        <v>318.94</v>
      </c>
      <c r="K309">
        <f t="shared" si="12"/>
        <v>375.22</v>
      </c>
      <c r="L309">
        <f t="shared" si="13"/>
        <v>56.28000000000003</v>
      </c>
      <c r="M309">
        <f t="shared" si="14"/>
        <v>318.94</v>
      </c>
      <c r="N309" t="s">
        <v>41</v>
      </c>
      <c r="O309" t="s">
        <v>20</v>
      </c>
      <c r="P309" t="s">
        <v>54</v>
      </c>
      <c r="Q309" t="s">
        <v>22</v>
      </c>
    </row>
    <row r="310" spans="1:17" x14ac:dyDescent="0.3">
      <c r="A310" t="s">
        <v>371</v>
      </c>
      <c r="B310" s="1">
        <v>45666</v>
      </c>
      <c r="C310" t="s">
        <v>52</v>
      </c>
      <c r="D310" t="s">
        <v>16</v>
      </c>
      <c r="E310" t="s">
        <v>27</v>
      </c>
      <c r="F310" t="s">
        <v>68</v>
      </c>
      <c r="G310">
        <v>2</v>
      </c>
      <c r="H310">
        <v>4602.03</v>
      </c>
      <c r="I310">
        <v>0.21</v>
      </c>
      <c r="J310">
        <v>7271.21</v>
      </c>
      <c r="K310">
        <f t="shared" si="12"/>
        <v>9204.06</v>
      </c>
      <c r="L310">
        <f t="shared" si="13"/>
        <v>1932.8499999999995</v>
      </c>
      <c r="M310">
        <f t="shared" si="14"/>
        <v>7271.21</v>
      </c>
      <c r="N310" t="s">
        <v>46</v>
      </c>
      <c r="O310" t="s">
        <v>29</v>
      </c>
      <c r="P310" t="s">
        <v>30</v>
      </c>
      <c r="Q310" t="s">
        <v>22</v>
      </c>
    </row>
    <row r="311" spans="1:17" x14ac:dyDescent="0.3">
      <c r="A311" t="s">
        <v>372</v>
      </c>
      <c r="B311" s="1">
        <v>45826</v>
      </c>
      <c r="C311" t="s">
        <v>24</v>
      </c>
      <c r="D311" t="s">
        <v>16</v>
      </c>
      <c r="E311" t="s">
        <v>27</v>
      </c>
      <c r="F311" t="s">
        <v>68</v>
      </c>
      <c r="G311">
        <v>1</v>
      </c>
      <c r="H311">
        <v>1930.59</v>
      </c>
      <c r="I311">
        <v>0.24</v>
      </c>
      <c r="J311">
        <v>1467.25</v>
      </c>
      <c r="K311">
        <f t="shared" si="12"/>
        <v>1930.59</v>
      </c>
      <c r="L311">
        <f t="shared" si="13"/>
        <v>463.33999999999992</v>
      </c>
      <c r="M311">
        <f t="shared" si="14"/>
        <v>1467.25</v>
      </c>
      <c r="N311" t="s">
        <v>33</v>
      </c>
      <c r="O311" t="s">
        <v>34</v>
      </c>
      <c r="P311" t="s">
        <v>30</v>
      </c>
      <c r="Q311" t="s">
        <v>22</v>
      </c>
    </row>
    <row r="312" spans="1:17" x14ac:dyDescent="0.3">
      <c r="A312" t="s">
        <v>373</v>
      </c>
      <c r="B312" s="1">
        <v>45724</v>
      </c>
      <c r="C312" t="s">
        <v>52</v>
      </c>
      <c r="D312" t="s">
        <v>39</v>
      </c>
      <c r="E312" t="s">
        <v>99</v>
      </c>
      <c r="F312" t="s">
        <v>100</v>
      </c>
      <c r="G312">
        <v>4</v>
      </c>
      <c r="H312">
        <v>3280.98</v>
      </c>
      <c r="I312">
        <v>0.04</v>
      </c>
      <c r="J312">
        <v>12598.96</v>
      </c>
      <c r="K312">
        <f t="shared" si="12"/>
        <v>13123.92</v>
      </c>
      <c r="L312">
        <f t="shared" si="13"/>
        <v>524.96000000000095</v>
      </c>
      <c r="M312">
        <f t="shared" si="14"/>
        <v>12598.96</v>
      </c>
      <c r="N312" t="s">
        <v>41</v>
      </c>
      <c r="O312" t="s">
        <v>29</v>
      </c>
      <c r="P312" t="s">
        <v>21</v>
      </c>
      <c r="Q312" t="s">
        <v>22</v>
      </c>
    </row>
    <row r="313" spans="1:17" x14ac:dyDescent="0.3">
      <c r="A313" t="s">
        <v>374</v>
      </c>
      <c r="B313" s="1">
        <v>45673</v>
      </c>
      <c r="C313" t="s">
        <v>48</v>
      </c>
      <c r="D313" t="s">
        <v>25</v>
      </c>
      <c r="E313" t="s">
        <v>27</v>
      </c>
      <c r="F313" t="s">
        <v>68</v>
      </c>
      <c r="G313">
        <v>3</v>
      </c>
      <c r="H313">
        <v>724.01</v>
      </c>
      <c r="I313">
        <v>0.18</v>
      </c>
      <c r="J313">
        <v>1781.06</v>
      </c>
      <c r="K313">
        <f t="shared" si="12"/>
        <v>2172.0299999999997</v>
      </c>
      <c r="L313">
        <f t="shared" si="13"/>
        <v>390.9699999999998</v>
      </c>
      <c r="M313">
        <f t="shared" si="14"/>
        <v>1781.06</v>
      </c>
      <c r="N313" t="s">
        <v>46</v>
      </c>
      <c r="O313" t="s">
        <v>29</v>
      </c>
      <c r="P313" t="s">
        <v>21</v>
      </c>
      <c r="Q313" t="s">
        <v>37</v>
      </c>
    </row>
    <row r="314" spans="1:17" x14ac:dyDescent="0.3">
      <c r="A314" t="s">
        <v>375</v>
      </c>
      <c r="B314" s="1">
        <v>45759</v>
      </c>
      <c r="C314" t="s">
        <v>52</v>
      </c>
      <c r="D314" t="s">
        <v>43</v>
      </c>
      <c r="E314" t="s">
        <v>27</v>
      </c>
      <c r="F314" t="s">
        <v>79</v>
      </c>
      <c r="G314">
        <v>5</v>
      </c>
      <c r="H314">
        <v>1182.3900000000001</v>
      </c>
      <c r="I314">
        <v>0.14000000000000001</v>
      </c>
      <c r="J314">
        <v>5084.28</v>
      </c>
      <c r="K314">
        <f t="shared" si="12"/>
        <v>5911.9500000000007</v>
      </c>
      <c r="L314">
        <f t="shared" si="13"/>
        <v>827.67000000000098</v>
      </c>
      <c r="M314">
        <f t="shared" si="14"/>
        <v>5084.28</v>
      </c>
      <c r="N314" t="s">
        <v>33</v>
      </c>
      <c r="O314" t="s">
        <v>34</v>
      </c>
      <c r="P314" t="s">
        <v>30</v>
      </c>
      <c r="Q314" t="s">
        <v>22</v>
      </c>
    </row>
    <row r="315" spans="1:17" x14ac:dyDescent="0.3">
      <c r="A315" t="s">
        <v>376</v>
      </c>
      <c r="B315" s="1">
        <v>45706</v>
      </c>
      <c r="C315" t="s">
        <v>15</v>
      </c>
      <c r="D315" t="s">
        <v>39</v>
      </c>
      <c r="E315" t="s">
        <v>17</v>
      </c>
      <c r="F315" t="s">
        <v>44</v>
      </c>
      <c r="G315">
        <v>1</v>
      </c>
      <c r="H315">
        <v>4126.1400000000003</v>
      </c>
      <c r="I315">
        <v>0.17</v>
      </c>
      <c r="J315">
        <v>3424.7</v>
      </c>
      <c r="K315">
        <f t="shared" si="12"/>
        <v>4126.1400000000003</v>
      </c>
      <c r="L315">
        <f t="shared" si="13"/>
        <v>701.44000000000051</v>
      </c>
      <c r="M315">
        <f t="shared" si="14"/>
        <v>3424.7</v>
      </c>
      <c r="N315" t="s">
        <v>46</v>
      </c>
      <c r="O315" t="s">
        <v>20</v>
      </c>
      <c r="P315" t="s">
        <v>21</v>
      </c>
      <c r="Q315" t="s">
        <v>22</v>
      </c>
    </row>
    <row r="316" spans="1:17" x14ac:dyDescent="0.3">
      <c r="A316" t="s">
        <v>377</v>
      </c>
      <c r="B316" s="1">
        <v>45714</v>
      </c>
      <c r="C316" t="s">
        <v>52</v>
      </c>
      <c r="D316" t="s">
        <v>25</v>
      </c>
      <c r="E316" t="s">
        <v>99</v>
      </c>
      <c r="F316" t="s">
        <v>100</v>
      </c>
      <c r="G316">
        <v>3</v>
      </c>
      <c r="H316">
        <v>3956.4</v>
      </c>
      <c r="I316">
        <v>0.18</v>
      </c>
      <c r="J316">
        <v>9732.74</v>
      </c>
      <c r="K316">
        <f t="shared" si="12"/>
        <v>11869.2</v>
      </c>
      <c r="L316">
        <f t="shared" si="13"/>
        <v>2136.4600000000009</v>
      </c>
      <c r="M316">
        <f t="shared" si="14"/>
        <v>9732.74</v>
      </c>
      <c r="N316" t="s">
        <v>58</v>
      </c>
      <c r="O316" t="s">
        <v>34</v>
      </c>
      <c r="P316" t="s">
        <v>54</v>
      </c>
      <c r="Q316" t="s">
        <v>22</v>
      </c>
    </row>
    <row r="317" spans="1:17" x14ac:dyDescent="0.3">
      <c r="A317" t="s">
        <v>378</v>
      </c>
      <c r="B317" s="1">
        <v>45789</v>
      </c>
      <c r="C317" t="s">
        <v>48</v>
      </c>
      <c r="D317" t="s">
        <v>43</v>
      </c>
      <c r="E317" t="s">
        <v>49</v>
      </c>
      <c r="F317" t="s">
        <v>73</v>
      </c>
      <c r="G317">
        <v>3</v>
      </c>
      <c r="H317">
        <v>2775.52</v>
      </c>
      <c r="I317">
        <v>0.03</v>
      </c>
      <c r="J317">
        <v>8076.76</v>
      </c>
      <c r="K317">
        <f t="shared" si="12"/>
        <v>8326.56</v>
      </c>
      <c r="L317">
        <f t="shared" si="13"/>
        <v>249.79999999999927</v>
      </c>
      <c r="M317">
        <f t="shared" si="14"/>
        <v>8076.76</v>
      </c>
      <c r="N317" t="s">
        <v>41</v>
      </c>
      <c r="O317" t="s">
        <v>34</v>
      </c>
      <c r="P317" t="s">
        <v>30</v>
      </c>
      <c r="Q317" t="s">
        <v>22</v>
      </c>
    </row>
    <row r="318" spans="1:17" x14ac:dyDescent="0.3">
      <c r="A318" t="s">
        <v>379</v>
      </c>
      <c r="B318" s="1">
        <v>45754</v>
      </c>
      <c r="C318" t="s">
        <v>15</v>
      </c>
      <c r="D318" t="s">
        <v>25</v>
      </c>
      <c r="E318" t="s">
        <v>17</v>
      </c>
      <c r="F318" t="s">
        <v>18</v>
      </c>
      <c r="G318">
        <v>3</v>
      </c>
      <c r="H318">
        <v>4763.1400000000003</v>
      </c>
      <c r="I318">
        <v>0.02</v>
      </c>
      <c r="J318">
        <v>14003.63</v>
      </c>
      <c r="K318">
        <f t="shared" si="12"/>
        <v>14289.420000000002</v>
      </c>
      <c r="L318">
        <f t="shared" si="13"/>
        <v>285.79000000000269</v>
      </c>
      <c r="M318">
        <f t="shared" si="14"/>
        <v>14003.63</v>
      </c>
      <c r="N318" t="s">
        <v>58</v>
      </c>
      <c r="O318" t="s">
        <v>34</v>
      </c>
      <c r="P318" t="s">
        <v>54</v>
      </c>
      <c r="Q318" t="s">
        <v>22</v>
      </c>
    </row>
    <row r="319" spans="1:17" x14ac:dyDescent="0.3">
      <c r="A319" t="s">
        <v>380</v>
      </c>
      <c r="B319" s="1">
        <v>45701</v>
      </c>
      <c r="C319" t="s">
        <v>15</v>
      </c>
      <c r="D319" t="s">
        <v>43</v>
      </c>
      <c r="E319" t="s">
        <v>17</v>
      </c>
      <c r="F319" t="s">
        <v>18</v>
      </c>
      <c r="G319">
        <v>4</v>
      </c>
      <c r="H319">
        <v>3552.07</v>
      </c>
      <c r="I319">
        <v>0.11</v>
      </c>
      <c r="J319">
        <v>12645.37</v>
      </c>
      <c r="K319">
        <f t="shared" si="12"/>
        <v>14208.28</v>
      </c>
      <c r="L319">
        <f t="shared" si="13"/>
        <v>1562.9099999999999</v>
      </c>
      <c r="M319">
        <f t="shared" si="14"/>
        <v>12645.37</v>
      </c>
      <c r="N319" t="s">
        <v>33</v>
      </c>
      <c r="O319" t="s">
        <v>29</v>
      </c>
      <c r="P319" t="s">
        <v>21</v>
      </c>
      <c r="Q319" t="s">
        <v>22</v>
      </c>
    </row>
    <row r="320" spans="1:17" x14ac:dyDescent="0.3">
      <c r="A320" t="s">
        <v>381</v>
      </c>
      <c r="B320" s="1">
        <v>45764</v>
      </c>
      <c r="C320" t="s">
        <v>24</v>
      </c>
      <c r="D320" t="s">
        <v>39</v>
      </c>
      <c r="E320" t="s">
        <v>49</v>
      </c>
      <c r="F320" t="s">
        <v>73</v>
      </c>
      <c r="G320">
        <v>2</v>
      </c>
      <c r="H320">
        <v>4874.55</v>
      </c>
      <c r="I320">
        <v>0.1</v>
      </c>
      <c r="J320">
        <v>8774.19</v>
      </c>
      <c r="K320">
        <f t="shared" si="12"/>
        <v>9749.1</v>
      </c>
      <c r="L320">
        <f t="shared" si="13"/>
        <v>974.90999999999985</v>
      </c>
      <c r="M320">
        <f t="shared" si="14"/>
        <v>8774.19</v>
      </c>
      <c r="N320" t="s">
        <v>58</v>
      </c>
      <c r="O320" t="s">
        <v>34</v>
      </c>
      <c r="P320" t="s">
        <v>21</v>
      </c>
      <c r="Q320" t="s">
        <v>22</v>
      </c>
    </row>
    <row r="321" spans="1:17" x14ac:dyDescent="0.3">
      <c r="A321" t="s">
        <v>382</v>
      </c>
      <c r="B321" s="1">
        <v>45685</v>
      </c>
      <c r="C321" t="s">
        <v>24</v>
      </c>
      <c r="D321" t="s">
        <v>39</v>
      </c>
      <c r="E321" t="s">
        <v>99</v>
      </c>
      <c r="F321" t="s">
        <v>100</v>
      </c>
      <c r="G321">
        <v>5</v>
      </c>
      <c r="H321">
        <v>2793.35</v>
      </c>
      <c r="I321">
        <v>0.12</v>
      </c>
      <c r="J321">
        <v>12290.74</v>
      </c>
      <c r="K321">
        <f t="shared" si="12"/>
        <v>13966.75</v>
      </c>
      <c r="L321">
        <f t="shared" si="13"/>
        <v>1676.0100000000002</v>
      </c>
      <c r="M321">
        <f t="shared" si="14"/>
        <v>12290.74</v>
      </c>
      <c r="N321" t="s">
        <v>58</v>
      </c>
      <c r="O321" t="s">
        <v>34</v>
      </c>
      <c r="P321" t="s">
        <v>54</v>
      </c>
      <c r="Q321" t="s">
        <v>22</v>
      </c>
    </row>
    <row r="322" spans="1:17" x14ac:dyDescent="0.3">
      <c r="A322" t="s">
        <v>383</v>
      </c>
      <c r="B322" s="1">
        <v>45800</v>
      </c>
      <c r="C322" t="s">
        <v>36</v>
      </c>
      <c r="D322" t="s">
        <v>16</v>
      </c>
      <c r="E322" t="s">
        <v>17</v>
      </c>
      <c r="F322" t="s">
        <v>32</v>
      </c>
      <c r="G322">
        <v>1</v>
      </c>
      <c r="H322">
        <v>226.1</v>
      </c>
      <c r="I322">
        <v>0.04</v>
      </c>
      <c r="J322">
        <v>217.06</v>
      </c>
      <c r="K322">
        <f t="shared" si="12"/>
        <v>226.1</v>
      </c>
      <c r="L322">
        <f t="shared" si="13"/>
        <v>9.039999999999992</v>
      </c>
      <c r="M322">
        <f t="shared" si="14"/>
        <v>217.06</v>
      </c>
      <c r="N322" t="s">
        <v>41</v>
      </c>
      <c r="O322" t="s">
        <v>20</v>
      </c>
      <c r="P322" t="s">
        <v>30</v>
      </c>
      <c r="Q322" t="s">
        <v>22</v>
      </c>
    </row>
    <row r="323" spans="1:17" x14ac:dyDescent="0.3">
      <c r="A323" t="s">
        <v>384</v>
      </c>
      <c r="B323" s="1">
        <v>45841</v>
      </c>
      <c r="C323" t="s">
        <v>48</v>
      </c>
      <c r="D323" t="s">
        <v>39</v>
      </c>
      <c r="E323" t="s">
        <v>17</v>
      </c>
      <c r="F323" t="s">
        <v>32</v>
      </c>
      <c r="G323">
        <v>3</v>
      </c>
      <c r="H323">
        <v>546.57000000000005</v>
      </c>
      <c r="I323">
        <v>0.14000000000000001</v>
      </c>
      <c r="J323">
        <v>1410.15</v>
      </c>
      <c r="K323">
        <f t="shared" ref="K323:K386" si="15">G323*H323</f>
        <v>1639.71</v>
      </c>
      <c r="L323">
        <f t="shared" ref="L323:L386" si="16">K323-J323</f>
        <v>229.55999999999995</v>
      </c>
      <c r="M323">
        <f t="shared" ref="M323:M386" si="17">K323-L323</f>
        <v>1410.15</v>
      </c>
      <c r="N323" t="s">
        <v>41</v>
      </c>
      <c r="O323" t="s">
        <v>34</v>
      </c>
      <c r="P323" t="s">
        <v>54</v>
      </c>
      <c r="Q323" t="s">
        <v>37</v>
      </c>
    </row>
    <row r="324" spans="1:17" x14ac:dyDescent="0.3">
      <c r="A324" t="s">
        <v>385</v>
      </c>
      <c r="B324" s="1">
        <v>45831</v>
      </c>
      <c r="C324" t="s">
        <v>48</v>
      </c>
      <c r="D324" t="s">
        <v>16</v>
      </c>
      <c r="E324" t="s">
        <v>99</v>
      </c>
      <c r="F324" t="s">
        <v>100</v>
      </c>
      <c r="G324">
        <v>4</v>
      </c>
      <c r="H324">
        <v>2378.7800000000002</v>
      </c>
      <c r="I324">
        <v>0.06</v>
      </c>
      <c r="J324">
        <v>8944.2099999999991</v>
      </c>
      <c r="K324">
        <f t="shared" si="15"/>
        <v>9515.1200000000008</v>
      </c>
      <c r="L324">
        <f t="shared" si="16"/>
        <v>570.91000000000167</v>
      </c>
      <c r="M324">
        <f t="shared" si="17"/>
        <v>8944.2099999999991</v>
      </c>
      <c r="N324" t="s">
        <v>58</v>
      </c>
      <c r="O324" t="s">
        <v>34</v>
      </c>
      <c r="P324" t="s">
        <v>30</v>
      </c>
      <c r="Q324" t="s">
        <v>22</v>
      </c>
    </row>
    <row r="325" spans="1:17" x14ac:dyDescent="0.3">
      <c r="A325" t="s">
        <v>386</v>
      </c>
      <c r="B325" s="1">
        <v>45770</v>
      </c>
      <c r="C325" t="s">
        <v>15</v>
      </c>
      <c r="D325" t="s">
        <v>25</v>
      </c>
      <c r="E325" t="s">
        <v>17</v>
      </c>
      <c r="F325" t="s">
        <v>18</v>
      </c>
      <c r="G325">
        <v>5</v>
      </c>
      <c r="H325">
        <v>1214.81</v>
      </c>
      <c r="I325">
        <v>0.02</v>
      </c>
      <c r="J325">
        <v>5952.57</v>
      </c>
      <c r="K325">
        <f t="shared" si="15"/>
        <v>6074.0499999999993</v>
      </c>
      <c r="L325">
        <f t="shared" si="16"/>
        <v>121.47999999999956</v>
      </c>
      <c r="M325">
        <f t="shared" si="17"/>
        <v>5952.57</v>
      </c>
      <c r="N325" t="s">
        <v>33</v>
      </c>
      <c r="O325" t="s">
        <v>34</v>
      </c>
      <c r="P325" t="s">
        <v>30</v>
      </c>
      <c r="Q325" t="s">
        <v>59</v>
      </c>
    </row>
    <row r="326" spans="1:17" x14ac:dyDescent="0.3">
      <c r="A326" t="s">
        <v>387</v>
      </c>
      <c r="B326" s="1">
        <v>45771</v>
      </c>
      <c r="C326" t="s">
        <v>48</v>
      </c>
      <c r="D326" t="s">
        <v>43</v>
      </c>
      <c r="E326" t="s">
        <v>49</v>
      </c>
      <c r="F326" t="s">
        <v>73</v>
      </c>
      <c r="G326">
        <v>4</v>
      </c>
      <c r="H326">
        <v>4523.6099999999997</v>
      </c>
      <c r="I326">
        <v>0.18</v>
      </c>
      <c r="J326">
        <v>14837.44</v>
      </c>
      <c r="K326">
        <f t="shared" si="15"/>
        <v>18094.439999999999</v>
      </c>
      <c r="L326">
        <f t="shared" si="16"/>
        <v>3256.9999999999982</v>
      </c>
      <c r="M326">
        <f t="shared" si="17"/>
        <v>14837.44</v>
      </c>
      <c r="N326" t="s">
        <v>46</v>
      </c>
      <c r="O326" t="s">
        <v>20</v>
      </c>
      <c r="P326" t="s">
        <v>21</v>
      </c>
      <c r="Q326" t="s">
        <v>22</v>
      </c>
    </row>
    <row r="327" spans="1:17" x14ac:dyDescent="0.3">
      <c r="A327" t="s">
        <v>388</v>
      </c>
      <c r="B327" s="1">
        <v>45751</v>
      </c>
      <c r="C327" t="s">
        <v>52</v>
      </c>
      <c r="D327" t="s">
        <v>25</v>
      </c>
      <c r="E327" t="s">
        <v>49</v>
      </c>
      <c r="F327" t="s">
        <v>73</v>
      </c>
      <c r="G327">
        <v>2</v>
      </c>
      <c r="H327">
        <v>309.11</v>
      </c>
      <c r="I327">
        <v>0.02</v>
      </c>
      <c r="J327">
        <v>605.86</v>
      </c>
      <c r="K327">
        <f t="shared" si="15"/>
        <v>618.22</v>
      </c>
      <c r="L327">
        <f t="shared" si="16"/>
        <v>12.360000000000014</v>
      </c>
      <c r="M327">
        <f t="shared" si="17"/>
        <v>605.86</v>
      </c>
      <c r="N327" t="s">
        <v>19</v>
      </c>
      <c r="O327" t="s">
        <v>20</v>
      </c>
      <c r="P327" t="s">
        <v>21</v>
      </c>
      <c r="Q327" t="s">
        <v>22</v>
      </c>
    </row>
    <row r="328" spans="1:17" x14ac:dyDescent="0.3">
      <c r="A328" t="s">
        <v>389</v>
      </c>
      <c r="B328" s="1">
        <v>45707</v>
      </c>
      <c r="C328" t="s">
        <v>15</v>
      </c>
      <c r="D328" t="s">
        <v>25</v>
      </c>
      <c r="E328" t="s">
        <v>61</v>
      </c>
      <c r="F328" t="s">
        <v>66</v>
      </c>
      <c r="G328">
        <v>4</v>
      </c>
      <c r="H328">
        <v>2826.18</v>
      </c>
      <c r="I328">
        <v>0.14000000000000001</v>
      </c>
      <c r="J328">
        <v>9722.06</v>
      </c>
      <c r="K328">
        <f t="shared" si="15"/>
        <v>11304.72</v>
      </c>
      <c r="L328">
        <f t="shared" si="16"/>
        <v>1582.6599999999999</v>
      </c>
      <c r="M328">
        <f t="shared" si="17"/>
        <v>9722.06</v>
      </c>
      <c r="N328" t="s">
        <v>58</v>
      </c>
      <c r="O328" t="s">
        <v>20</v>
      </c>
      <c r="P328" t="s">
        <v>30</v>
      </c>
      <c r="Q328" t="s">
        <v>37</v>
      </c>
    </row>
    <row r="329" spans="1:17" x14ac:dyDescent="0.3">
      <c r="A329" t="s">
        <v>390</v>
      </c>
      <c r="B329" s="1">
        <v>45812</v>
      </c>
      <c r="C329" t="s">
        <v>24</v>
      </c>
      <c r="D329" t="s">
        <v>16</v>
      </c>
      <c r="E329" t="s">
        <v>17</v>
      </c>
      <c r="F329" t="s">
        <v>40</v>
      </c>
      <c r="G329">
        <v>2</v>
      </c>
      <c r="H329">
        <v>2876.31</v>
      </c>
      <c r="I329">
        <v>0.15</v>
      </c>
      <c r="J329">
        <v>4889.7299999999996</v>
      </c>
      <c r="K329">
        <f t="shared" si="15"/>
        <v>5752.62</v>
      </c>
      <c r="L329">
        <f t="shared" si="16"/>
        <v>862.89000000000033</v>
      </c>
      <c r="M329">
        <f t="shared" si="17"/>
        <v>4889.7299999999996</v>
      </c>
      <c r="N329" t="s">
        <v>41</v>
      </c>
      <c r="O329" t="s">
        <v>20</v>
      </c>
      <c r="P329" t="s">
        <v>54</v>
      </c>
      <c r="Q329" t="s">
        <v>22</v>
      </c>
    </row>
    <row r="330" spans="1:17" x14ac:dyDescent="0.3">
      <c r="A330" t="s">
        <v>391</v>
      </c>
      <c r="B330" s="1">
        <v>45751</v>
      </c>
      <c r="C330" t="s">
        <v>36</v>
      </c>
      <c r="D330" t="s">
        <v>25</v>
      </c>
      <c r="E330" t="s">
        <v>17</v>
      </c>
      <c r="F330" t="s">
        <v>32</v>
      </c>
      <c r="G330">
        <v>3</v>
      </c>
      <c r="H330">
        <v>1976.91</v>
      </c>
      <c r="I330">
        <v>0.12</v>
      </c>
      <c r="J330">
        <v>5219.04</v>
      </c>
      <c r="K330">
        <f t="shared" si="15"/>
        <v>5930.7300000000005</v>
      </c>
      <c r="L330">
        <f t="shared" si="16"/>
        <v>711.69000000000051</v>
      </c>
      <c r="M330">
        <f t="shared" si="17"/>
        <v>5219.04</v>
      </c>
      <c r="N330" t="s">
        <v>46</v>
      </c>
      <c r="O330" t="s">
        <v>34</v>
      </c>
      <c r="P330" t="s">
        <v>21</v>
      </c>
      <c r="Q330" t="s">
        <v>22</v>
      </c>
    </row>
    <row r="331" spans="1:17" x14ac:dyDescent="0.3">
      <c r="A331" t="s">
        <v>392</v>
      </c>
      <c r="B331" s="1">
        <v>45816</v>
      </c>
      <c r="C331" t="s">
        <v>52</v>
      </c>
      <c r="D331" t="s">
        <v>43</v>
      </c>
      <c r="E331" t="s">
        <v>99</v>
      </c>
      <c r="F331" t="s">
        <v>115</v>
      </c>
      <c r="G331">
        <v>4</v>
      </c>
      <c r="H331">
        <v>290.02999999999997</v>
      </c>
      <c r="I331">
        <v>0.22</v>
      </c>
      <c r="J331">
        <v>904.89</v>
      </c>
      <c r="K331">
        <f t="shared" si="15"/>
        <v>1160.1199999999999</v>
      </c>
      <c r="L331">
        <f t="shared" si="16"/>
        <v>255.2299999999999</v>
      </c>
      <c r="M331">
        <f t="shared" si="17"/>
        <v>904.89</v>
      </c>
      <c r="N331" t="s">
        <v>33</v>
      </c>
      <c r="O331" t="s">
        <v>29</v>
      </c>
      <c r="P331" t="s">
        <v>30</v>
      </c>
      <c r="Q331" t="s">
        <v>22</v>
      </c>
    </row>
    <row r="332" spans="1:17" x14ac:dyDescent="0.3">
      <c r="A332" t="s">
        <v>393</v>
      </c>
      <c r="B332" s="1">
        <v>45739</v>
      </c>
      <c r="C332" t="s">
        <v>15</v>
      </c>
      <c r="D332" t="s">
        <v>16</v>
      </c>
      <c r="E332" t="s">
        <v>49</v>
      </c>
      <c r="F332" t="s">
        <v>53</v>
      </c>
      <c r="G332">
        <v>3</v>
      </c>
      <c r="H332">
        <v>1623.65</v>
      </c>
      <c r="I332">
        <v>0.21</v>
      </c>
      <c r="J332">
        <v>3848.05</v>
      </c>
      <c r="K332">
        <f t="shared" si="15"/>
        <v>4870.9500000000007</v>
      </c>
      <c r="L332">
        <f t="shared" si="16"/>
        <v>1022.9000000000005</v>
      </c>
      <c r="M332">
        <f t="shared" si="17"/>
        <v>3848.05</v>
      </c>
      <c r="N332" t="s">
        <v>58</v>
      </c>
      <c r="O332" t="s">
        <v>34</v>
      </c>
      <c r="P332" t="s">
        <v>21</v>
      </c>
      <c r="Q332" t="s">
        <v>59</v>
      </c>
    </row>
    <row r="333" spans="1:17" x14ac:dyDescent="0.3">
      <c r="A333" t="s">
        <v>394</v>
      </c>
      <c r="B333" s="1">
        <v>45696</v>
      </c>
      <c r="C333" t="s">
        <v>15</v>
      </c>
      <c r="D333" t="s">
        <v>43</v>
      </c>
      <c r="E333" t="s">
        <v>61</v>
      </c>
      <c r="F333" t="s">
        <v>75</v>
      </c>
      <c r="G333">
        <v>3</v>
      </c>
      <c r="H333">
        <v>3671.12</v>
      </c>
      <c r="I333">
        <v>0.15</v>
      </c>
      <c r="J333">
        <v>9361.36</v>
      </c>
      <c r="K333">
        <f t="shared" si="15"/>
        <v>11013.36</v>
      </c>
      <c r="L333">
        <f t="shared" si="16"/>
        <v>1652</v>
      </c>
      <c r="M333">
        <f t="shared" si="17"/>
        <v>9361.36</v>
      </c>
      <c r="N333" t="s">
        <v>41</v>
      </c>
      <c r="O333" t="s">
        <v>34</v>
      </c>
      <c r="P333" t="s">
        <v>54</v>
      </c>
      <c r="Q333" t="s">
        <v>22</v>
      </c>
    </row>
    <row r="334" spans="1:17" x14ac:dyDescent="0.3">
      <c r="A334" t="s">
        <v>395</v>
      </c>
      <c r="B334" s="1">
        <v>45678</v>
      </c>
      <c r="C334" t="s">
        <v>36</v>
      </c>
      <c r="D334" t="s">
        <v>25</v>
      </c>
      <c r="E334" t="s">
        <v>49</v>
      </c>
      <c r="F334" t="s">
        <v>50</v>
      </c>
      <c r="G334">
        <v>5</v>
      </c>
      <c r="H334">
        <v>3978.3</v>
      </c>
      <c r="I334">
        <v>0.02</v>
      </c>
      <c r="J334">
        <v>19493.669999999998</v>
      </c>
      <c r="K334">
        <f t="shared" si="15"/>
        <v>19891.5</v>
      </c>
      <c r="L334">
        <f t="shared" si="16"/>
        <v>397.83000000000175</v>
      </c>
      <c r="M334">
        <f t="shared" si="17"/>
        <v>19493.669999999998</v>
      </c>
      <c r="N334" t="s">
        <v>46</v>
      </c>
      <c r="O334" t="s">
        <v>20</v>
      </c>
      <c r="P334" t="s">
        <v>21</v>
      </c>
      <c r="Q334" t="s">
        <v>22</v>
      </c>
    </row>
    <row r="335" spans="1:17" x14ac:dyDescent="0.3">
      <c r="A335" t="s">
        <v>396</v>
      </c>
      <c r="B335" s="1">
        <v>45678</v>
      </c>
      <c r="C335" t="s">
        <v>52</v>
      </c>
      <c r="D335" t="s">
        <v>43</v>
      </c>
      <c r="E335" t="s">
        <v>27</v>
      </c>
      <c r="F335" t="s">
        <v>79</v>
      </c>
      <c r="G335">
        <v>1</v>
      </c>
      <c r="H335">
        <v>1322.5</v>
      </c>
      <c r="I335">
        <v>0.11</v>
      </c>
      <c r="J335">
        <v>1177.03</v>
      </c>
      <c r="K335">
        <f t="shared" si="15"/>
        <v>1322.5</v>
      </c>
      <c r="L335">
        <f t="shared" si="16"/>
        <v>145.47000000000003</v>
      </c>
      <c r="M335">
        <f t="shared" si="17"/>
        <v>1177.03</v>
      </c>
      <c r="N335" t="s">
        <v>19</v>
      </c>
      <c r="O335" t="s">
        <v>20</v>
      </c>
      <c r="P335" t="s">
        <v>30</v>
      </c>
      <c r="Q335" t="s">
        <v>22</v>
      </c>
    </row>
    <row r="336" spans="1:17" x14ac:dyDescent="0.3">
      <c r="A336" t="s">
        <v>397</v>
      </c>
      <c r="B336" s="1">
        <v>45787</v>
      </c>
      <c r="C336" t="s">
        <v>24</v>
      </c>
      <c r="D336" t="s">
        <v>39</v>
      </c>
      <c r="E336" t="s">
        <v>49</v>
      </c>
      <c r="F336" t="s">
        <v>50</v>
      </c>
      <c r="G336">
        <v>3</v>
      </c>
      <c r="H336">
        <v>2495.06</v>
      </c>
      <c r="I336">
        <v>0.11</v>
      </c>
      <c r="J336">
        <v>6661.81</v>
      </c>
      <c r="K336">
        <f t="shared" si="15"/>
        <v>7485.18</v>
      </c>
      <c r="L336">
        <f t="shared" si="16"/>
        <v>823.36999999999989</v>
      </c>
      <c r="M336">
        <f t="shared" si="17"/>
        <v>6661.81</v>
      </c>
      <c r="N336" t="s">
        <v>58</v>
      </c>
      <c r="O336" t="s">
        <v>20</v>
      </c>
      <c r="P336" t="s">
        <v>30</v>
      </c>
      <c r="Q336" t="s">
        <v>22</v>
      </c>
    </row>
    <row r="337" spans="1:17" x14ac:dyDescent="0.3">
      <c r="A337" t="s">
        <v>398</v>
      </c>
      <c r="B337" s="1">
        <v>45743</v>
      </c>
      <c r="C337" t="s">
        <v>15</v>
      </c>
      <c r="D337" t="s">
        <v>43</v>
      </c>
      <c r="E337" t="s">
        <v>99</v>
      </c>
      <c r="F337" t="s">
        <v>120</v>
      </c>
      <c r="G337">
        <v>1</v>
      </c>
      <c r="H337">
        <v>898.25</v>
      </c>
      <c r="I337">
        <v>0.14000000000000001</v>
      </c>
      <c r="J337">
        <v>772.5</v>
      </c>
      <c r="K337">
        <f t="shared" si="15"/>
        <v>898.25</v>
      </c>
      <c r="L337">
        <f t="shared" si="16"/>
        <v>125.75</v>
      </c>
      <c r="M337">
        <f t="shared" si="17"/>
        <v>772.5</v>
      </c>
      <c r="N337" t="s">
        <v>58</v>
      </c>
      <c r="O337" t="s">
        <v>34</v>
      </c>
      <c r="P337" t="s">
        <v>54</v>
      </c>
      <c r="Q337" t="s">
        <v>22</v>
      </c>
    </row>
    <row r="338" spans="1:17" x14ac:dyDescent="0.3">
      <c r="A338" t="s">
        <v>399</v>
      </c>
      <c r="B338" s="1">
        <v>45728</v>
      </c>
      <c r="C338" t="s">
        <v>48</v>
      </c>
      <c r="D338" t="s">
        <v>16</v>
      </c>
      <c r="E338" t="s">
        <v>61</v>
      </c>
      <c r="F338" t="s">
        <v>66</v>
      </c>
      <c r="G338">
        <v>1</v>
      </c>
      <c r="H338">
        <v>2423.08</v>
      </c>
      <c r="I338">
        <v>0.03</v>
      </c>
      <c r="J338">
        <v>2350.39</v>
      </c>
      <c r="K338">
        <f t="shared" si="15"/>
        <v>2423.08</v>
      </c>
      <c r="L338">
        <f t="shared" si="16"/>
        <v>72.690000000000055</v>
      </c>
      <c r="M338">
        <f t="shared" si="17"/>
        <v>2350.39</v>
      </c>
      <c r="N338" t="s">
        <v>33</v>
      </c>
      <c r="O338" t="s">
        <v>20</v>
      </c>
      <c r="P338" t="s">
        <v>54</v>
      </c>
      <c r="Q338" t="s">
        <v>22</v>
      </c>
    </row>
    <row r="339" spans="1:17" x14ac:dyDescent="0.3">
      <c r="A339" t="s">
        <v>400</v>
      </c>
      <c r="B339" s="1">
        <v>45742</v>
      </c>
      <c r="C339" t="s">
        <v>15</v>
      </c>
      <c r="D339" t="s">
        <v>25</v>
      </c>
      <c r="E339" t="s">
        <v>27</v>
      </c>
      <c r="F339" t="s">
        <v>28</v>
      </c>
      <c r="G339">
        <v>3</v>
      </c>
      <c r="H339">
        <v>2349.09</v>
      </c>
      <c r="I339">
        <v>0.05</v>
      </c>
      <c r="J339">
        <v>6694.91</v>
      </c>
      <c r="K339">
        <f t="shared" si="15"/>
        <v>7047.27</v>
      </c>
      <c r="L339">
        <f t="shared" si="16"/>
        <v>352.36000000000058</v>
      </c>
      <c r="M339">
        <f t="shared" si="17"/>
        <v>6694.91</v>
      </c>
      <c r="N339" t="s">
        <v>41</v>
      </c>
      <c r="O339" t="s">
        <v>34</v>
      </c>
      <c r="P339" t="s">
        <v>30</v>
      </c>
      <c r="Q339" t="s">
        <v>22</v>
      </c>
    </row>
    <row r="340" spans="1:17" x14ac:dyDescent="0.3">
      <c r="A340" t="s">
        <v>401</v>
      </c>
      <c r="B340" s="1">
        <v>45739</v>
      </c>
      <c r="C340" t="s">
        <v>36</v>
      </c>
      <c r="D340" t="s">
        <v>39</v>
      </c>
      <c r="E340" t="s">
        <v>17</v>
      </c>
      <c r="F340" t="s">
        <v>32</v>
      </c>
      <c r="G340">
        <v>3</v>
      </c>
      <c r="H340">
        <v>1562.53</v>
      </c>
      <c r="I340">
        <v>0.03</v>
      </c>
      <c r="J340">
        <v>4546.96</v>
      </c>
      <c r="K340">
        <f t="shared" si="15"/>
        <v>4687.59</v>
      </c>
      <c r="L340">
        <f t="shared" si="16"/>
        <v>140.63000000000011</v>
      </c>
      <c r="M340">
        <f t="shared" si="17"/>
        <v>4546.96</v>
      </c>
      <c r="N340" t="s">
        <v>33</v>
      </c>
      <c r="O340" t="s">
        <v>29</v>
      </c>
      <c r="P340" t="s">
        <v>54</v>
      </c>
      <c r="Q340" t="s">
        <v>59</v>
      </c>
    </row>
    <row r="341" spans="1:17" x14ac:dyDescent="0.3">
      <c r="A341" t="s">
        <v>402</v>
      </c>
      <c r="B341" s="1">
        <v>45750</v>
      </c>
      <c r="C341" t="s">
        <v>15</v>
      </c>
      <c r="D341" t="s">
        <v>25</v>
      </c>
      <c r="E341" t="s">
        <v>99</v>
      </c>
      <c r="F341" t="s">
        <v>111</v>
      </c>
      <c r="G341">
        <v>2</v>
      </c>
      <c r="H341">
        <v>2634.74</v>
      </c>
      <c r="I341">
        <v>0.06</v>
      </c>
      <c r="J341">
        <v>4953.3100000000004</v>
      </c>
      <c r="K341">
        <f t="shared" si="15"/>
        <v>5269.48</v>
      </c>
      <c r="L341">
        <f t="shared" si="16"/>
        <v>316.16999999999916</v>
      </c>
      <c r="M341">
        <f t="shared" si="17"/>
        <v>4953.3100000000004</v>
      </c>
      <c r="N341" t="s">
        <v>46</v>
      </c>
      <c r="O341" t="s">
        <v>20</v>
      </c>
      <c r="P341" t="s">
        <v>54</v>
      </c>
      <c r="Q341" t="s">
        <v>22</v>
      </c>
    </row>
    <row r="342" spans="1:17" x14ac:dyDescent="0.3">
      <c r="A342" t="s">
        <v>403</v>
      </c>
      <c r="B342" s="1">
        <v>45827</v>
      </c>
      <c r="C342" t="s">
        <v>48</v>
      </c>
      <c r="D342" t="s">
        <v>43</v>
      </c>
      <c r="E342" t="s">
        <v>61</v>
      </c>
      <c r="F342" t="s">
        <v>62</v>
      </c>
      <c r="G342">
        <v>4</v>
      </c>
      <c r="H342">
        <v>2082.5300000000002</v>
      </c>
      <c r="I342">
        <v>0.18</v>
      </c>
      <c r="J342">
        <v>6830.7</v>
      </c>
      <c r="K342">
        <f t="shared" si="15"/>
        <v>8330.1200000000008</v>
      </c>
      <c r="L342">
        <f t="shared" si="16"/>
        <v>1499.420000000001</v>
      </c>
      <c r="M342">
        <f t="shared" si="17"/>
        <v>6830.7</v>
      </c>
      <c r="N342" t="s">
        <v>46</v>
      </c>
      <c r="O342" t="s">
        <v>34</v>
      </c>
      <c r="P342" t="s">
        <v>21</v>
      </c>
      <c r="Q342" t="s">
        <v>22</v>
      </c>
    </row>
    <row r="343" spans="1:17" x14ac:dyDescent="0.3">
      <c r="A343" t="s">
        <v>404</v>
      </c>
      <c r="B343" s="1">
        <v>45801</v>
      </c>
      <c r="C343" t="s">
        <v>15</v>
      </c>
      <c r="D343" t="s">
        <v>39</v>
      </c>
      <c r="E343" t="s">
        <v>61</v>
      </c>
      <c r="F343" t="s">
        <v>92</v>
      </c>
      <c r="G343">
        <v>2</v>
      </c>
      <c r="H343">
        <v>4219.13</v>
      </c>
      <c r="I343">
        <v>0.22</v>
      </c>
      <c r="J343">
        <v>6581.84</v>
      </c>
      <c r="K343">
        <f t="shared" si="15"/>
        <v>8438.26</v>
      </c>
      <c r="L343">
        <f t="shared" si="16"/>
        <v>1856.42</v>
      </c>
      <c r="M343">
        <f t="shared" si="17"/>
        <v>6581.84</v>
      </c>
      <c r="N343" t="s">
        <v>33</v>
      </c>
      <c r="O343" t="s">
        <v>34</v>
      </c>
      <c r="P343" t="s">
        <v>54</v>
      </c>
      <c r="Q343" t="s">
        <v>22</v>
      </c>
    </row>
    <row r="344" spans="1:17" x14ac:dyDescent="0.3">
      <c r="A344" t="s">
        <v>405</v>
      </c>
      <c r="B344" s="1">
        <v>45670</v>
      </c>
      <c r="C344" t="s">
        <v>36</v>
      </c>
      <c r="D344" t="s">
        <v>39</v>
      </c>
      <c r="E344" t="s">
        <v>61</v>
      </c>
      <c r="F344" t="s">
        <v>66</v>
      </c>
      <c r="G344">
        <v>3</v>
      </c>
      <c r="H344">
        <v>3306.73</v>
      </c>
      <c r="I344">
        <v>0.06</v>
      </c>
      <c r="J344">
        <v>9324.98</v>
      </c>
      <c r="K344">
        <f t="shared" si="15"/>
        <v>9920.19</v>
      </c>
      <c r="L344">
        <f t="shared" si="16"/>
        <v>595.21000000000095</v>
      </c>
      <c r="M344">
        <f t="shared" si="17"/>
        <v>9324.98</v>
      </c>
      <c r="N344" t="s">
        <v>19</v>
      </c>
      <c r="O344" t="s">
        <v>29</v>
      </c>
      <c r="P344" t="s">
        <v>54</v>
      </c>
      <c r="Q344" t="s">
        <v>22</v>
      </c>
    </row>
    <row r="345" spans="1:17" x14ac:dyDescent="0.3">
      <c r="A345" t="s">
        <v>406</v>
      </c>
      <c r="B345" s="1">
        <v>45790</v>
      </c>
      <c r="C345" t="s">
        <v>15</v>
      </c>
      <c r="D345" t="s">
        <v>16</v>
      </c>
      <c r="E345" t="s">
        <v>99</v>
      </c>
      <c r="F345" t="s">
        <v>111</v>
      </c>
      <c r="G345">
        <v>4</v>
      </c>
      <c r="H345">
        <v>4270.95</v>
      </c>
      <c r="I345">
        <v>0.12</v>
      </c>
      <c r="J345">
        <v>15033.74</v>
      </c>
      <c r="K345">
        <f t="shared" si="15"/>
        <v>17083.8</v>
      </c>
      <c r="L345">
        <f t="shared" si="16"/>
        <v>2050.0599999999995</v>
      </c>
      <c r="M345">
        <f t="shared" si="17"/>
        <v>15033.74</v>
      </c>
      <c r="N345" t="s">
        <v>33</v>
      </c>
      <c r="O345" t="s">
        <v>34</v>
      </c>
      <c r="P345" t="s">
        <v>21</v>
      </c>
      <c r="Q345" t="s">
        <v>22</v>
      </c>
    </row>
    <row r="346" spans="1:17" x14ac:dyDescent="0.3">
      <c r="A346" t="s">
        <v>407</v>
      </c>
      <c r="B346" s="1">
        <v>45786</v>
      </c>
      <c r="C346" t="s">
        <v>48</v>
      </c>
      <c r="D346" t="s">
        <v>43</v>
      </c>
      <c r="E346" t="s">
        <v>61</v>
      </c>
      <c r="F346" t="s">
        <v>62</v>
      </c>
      <c r="G346">
        <v>4</v>
      </c>
      <c r="H346">
        <v>364.9</v>
      </c>
      <c r="I346">
        <v>0.21</v>
      </c>
      <c r="J346">
        <v>1153.08</v>
      </c>
      <c r="K346">
        <f t="shared" si="15"/>
        <v>1459.6</v>
      </c>
      <c r="L346">
        <f t="shared" si="16"/>
        <v>306.52</v>
      </c>
      <c r="M346">
        <f t="shared" si="17"/>
        <v>1153.08</v>
      </c>
      <c r="N346" t="s">
        <v>33</v>
      </c>
      <c r="O346" t="s">
        <v>34</v>
      </c>
      <c r="P346" t="s">
        <v>54</v>
      </c>
      <c r="Q346" t="s">
        <v>22</v>
      </c>
    </row>
    <row r="347" spans="1:17" x14ac:dyDescent="0.3">
      <c r="A347" t="s">
        <v>408</v>
      </c>
      <c r="B347" s="1">
        <v>45785</v>
      </c>
      <c r="C347" t="s">
        <v>52</v>
      </c>
      <c r="D347" t="s">
        <v>43</v>
      </c>
      <c r="E347" t="s">
        <v>27</v>
      </c>
      <c r="F347" t="s">
        <v>87</v>
      </c>
      <c r="G347">
        <v>2</v>
      </c>
      <c r="H347">
        <v>3916.81</v>
      </c>
      <c r="I347">
        <v>0.12</v>
      </c>
      <c r="J347">
        <v>6893.59</v>
      </c>
      <c r="K347">
        <f t="shared" si="15"/>
        <v>7833.62</v>
      </c>
      <c r="L347">
        <f t="shared" si="16"/>
        <v>940.02999999999975</v>
      </c>
      <c r="M347">
        <f t="shared" si="17"/>
        <v>6893.59</v>
      </c>
      <c r="N347" t="s">
        <v>46</v>
      </c>
      <c r="O347" t="s">
        <v>29</v>
      </c>
      <c r="P347" t="s">
        <v>21</v>
      </c>
      <c r="Q347" t="s">
        <v>22</v>
      </c>
    </row>
    <row r="348" spans="1:17" x14ac:dyDescent="0.3">
      <c r="A348" t="s">
        <v>409</v>
      </c>
      <c r="B348" s="1">
        <v>45679</v>
      </c>
      <c r="C348" t="s">
        <v>48</v>
      </c>
      <c r="D348" t="s">
        <v>43</v>
      </c>
      <c r="E348" t="s">
        <v>17</v>
      </c>
      <c r="F348" t="s">
        <v>18</v>
      </c>
      <c r="G348">
        <v>2</v>
      </c>
      <c r="H348">
        <v>2923.77</v>
      </c>
      <c r="I348">
        <v>0.04</v>
      </c>
      <c r="J348">
        <v>5613.64</v>
      </c>
      <c r="K348">
        <f t="shared" si="15"/>
        <v>5847.54</v>
      </c>
      <c r="L348">
        <f t="shared" si="16"/>
        <v>233.89999999999964</v>
      </c>
      <c r="M348">
        <f t="shared" si="17"/>
        <v>5613.64</v>
      </c>
      <c r="N348" t="s">
        <v>46</v>
      </c>
      <c r="O348" t="s">
        <v>20</v>
      </c>
      <c r="P348" t="s">
        <v>54</v>
      </c>
      <c r="Q348" t="s">
        <v>22</v>
      </c>
    </row>
    <row r="349" spans="1:17" x14ac:dyDescent="0.3">
      <c r="A349" t="s">
        <v>410</v>
      </c>
      <c r="B349" s="1">
        <v>45671</v>
      </c>
      <c r="C349" t="s">
        <v>48</v>
      </c>
      <c r="D349" t="s">
        <v>16</v>
      </c>
      <c r="E349" t="s">
        <v>49</v>
      </c>
      <c r="F349" t="s">
        <v>50</v>
      </c>
      <c r="G349">
        <v>1</v>
      </c>
      <c r="H349">
        <v>284.85000000000002</v>
      </c>
      <c r="I349">
        <v>0.05</v>
      </c>
      <c r="J349">
        <v>270.61</v>
      </c>
      <c r="K349">
        <f t="shared" si="15"/>
        <v>284.85000000000002</v>
      </c>
      <c r="L349">
        <f t="shared" si="16"/>
        <v>14.240000000000009</v>
      </c>
      <c r="M349">
        <f t="shared" si="17"/>
        <v>270.61</v>
      </c>
      <c r="N349" t="s">
        <v>41</v>
      </c>
      <c r="O349" t="s">
        <v>34</v>
      </c>
      <c r="P349" t="s">
        <v>30</v>
      </c>
      <c r="Q349" t="s">
        <v>37</v>
      </c>
    </row>
    <row r="350" spans="1:17" x14ac:dyDescent="0.3">
      <c r="A350" t="s">
        <v>411</v>
      </c>
      <c r="B350" s="1">
        <v>45738</v>
      </c>
      <c r="C350" t="s">
        <v>24</v>
      </c>
      <c r="D350" t="s">
        <v>43</v>
      </c>
      <c r="E350" t="s">
        <v>27</v>
      </c>
      <c r="F350" t="s">
        <v>68</v>
      </c>
      <c r="G350">
        <v>2</v>
      </c>
      <c r="H350">
        <v>1208.7</v>
      </c>
      <c r="I350">
        <v>0.22</v>
      </c>
      <c r="J350">
        <v>1885.57</v>
      </c>
      <c r="K350">
        <f t="shared" si="15"/>
        <v>2417.4</v>
      </c>
      <c r="L350">
        <f t="shared" si="16"/>
        <v>531.83000000000015</v>
      </c>
      <c r="M350">
        <f t="shared" si="17"/>
        <v>1885.57</v>
      </c>
      <c r="N350" t="s">
        <v>58</v>
      </c>
      <c r="O350" t="s">
        <v>29</v>
      </c>
      <c r="P350" t="s">
        <v>30</v>
      </c>
      <c r="Q350" t="s">
        <v>22</v>
      </c>
    </row>
    <row r="351" spans="1:17" x14ac:dyDescent="0.3">
      <c r="A351" t="s">
        <v>412</v>
      </c>
      <c r="B351" s="1">
        <v>45801</v>
      </c>
      <c r="C351" t="s">
        <v>52</v>
      </c>
      <c r="D351" t="s">
        <v>39</v>
      </c>
      <c r="E351" t="s">
        <v>27</v>
      </c>
      <c r="F351" t="s">
        <v>28</v>
      </c>
      <c r="G351">
        <v>3</v>
      </c>
      <c r="H351">
        <v>4747.47</v>
      </c>
      <c r="I351">
        <v>0.11</v>
      </c>
      <c r="J351">
        <v>12675.74</v>
      </c>
      <c r="K351">
        <f t="shared" si="15"/>
        <v>14242.41</v>
      </c>
      <c r="L351">
        <f t="shared" si="16"/>
        <v>1566.67</v>
      </c>
      <c r="M351">
        <f t="shared" si="17"/>
        <v>12675.74</v>
      </c>
      <c r="N351" t="s">
        <v>58</v>
      </c>
      <c r="O351" t="s">
        <v>20</v>
      </c>
      <c r="P351" t="s">
        <v>21</v>
      </c>
      <c r="Q351" t="s">
        <v>22</v>
      </c>
    </row>
    <row r="352" spans="1:17" x14ac:dyDescent="0.3">
      <c r="A352" t="s">
        <v>413</v>
      </c>
      <c r="B352" s="1">
        <v>45725</v>
      </c>
      <c r="C352" t="s">
        <v>48</v>
      </c>
      <c r="D352" t="s">
        <v>16</v>
      </c>
      <c r="E352" t="s">
        <v>61</v>
      </c>
      <c r="F352" t="s">
        <v>66</v>
      </c>
      <c r="G352">
        <v>2</v>
      </c>
      <c r="H352">
        <v>4745.6099999999997</v>
      </c>
      <c r="I352">
        <v>0.23</v>
      </c>
      <c r="J352">
        <v>7308.24</v>
      </c>
      <c r="K352">
        <f t="shared" si="15"/>
        <v>9491.2199999999993</v>
      </c>
      <c r="L352">
        <f t="shared" si="16"/>
        <v>2182.9799999999996</v>
      </c>
      <c r="M352">
        <f t="shared" si="17"/>
        <v>7308.24</v>
      </c>
      <c r="N352" t="s">
        <v>46</v>
      </c>
      <c r="O352" t="s">
        <v>20</v>
      </c>
      <c r="P352" t="s">
        <v>30</v>
      </c>
      <c r="Q352" t="s">
        <v>22</v>
      </c>
    </row>
    <row r="353" spans="1:17" x14ac:dyDescent="0.3">
      <c r="A353" t="s">
        <v>414</v>
      </c>
      <c r="B353" s="1">
        <v>45815</v>
      </c>
      <c r="C353" t="s">
        <v>24</v>
      </c>
      <c r="D353" t="s">
        <v>25</v>
      </c>
      <c r="E353" t="s">
        <v>61</v>
      </c>
      <c r="F353" t="s">
        <v>75</v>
      </c>
      <c r="G353">
        <v>2</v>
      </c>
      <c r="H353">
        <v>703.49</v>
      </c>
      <c r="I353">
        <v>0.18</v>
      </c>
      <c r="J353">
        <v>1153.72</v>
      </c>
      <c r="K353">
        <f t="shared" si="15"/>
        <v>1406.98</v>
      </c>
      <c r="L353">
        <f t="shared" si="16"/>
        <v>253.26</v>
      </c>
      <c r="M353">
        <f t="shared" si="17"/>
        <v>1153.72</v>
      </c>
      <c r="N353" t="s">
        <v>33</v>
      </c>
      <c r="O353" t="s">
        <v>29</v>
      </c>
      <c r="P353" t="s">
        <v>54</v>
      </c>
      <c r="Q353" t="s">
        <v>37</v>
      </c>
    </row>
    <row r="354" spans="1:17" x14ac:dyDescent="0.3">
      <c r="A354" t="s">
        <v>415</v>
      </c>
      <c r="B354" s="1">
        <v>45827</v>
      </c>
      <c r="C354" t="s">
        <v>36</v>
      </c>
      <c r="D354" t="s">
        <v>16</v>
      </c>
      <c r="E354" t="s">
        <v>99</v>
      </c>
      <c r="F354" t="s">
        <v>120</v>
      </c>
      <c r="G354">
        <v>1</v>
      </c>
      <c r="H354">
        <v>3302.48</v>
      </c>
      <c r="I354">
        <v>0</v>
      </c>
      <c r="J354">
        <v>3302.48</v>
      </c>
      <c r="K354">
        <f t="shared" si="15"/>
        <v>3302.48</v>
      </c>
      <c r="L354">
        <f t="shared" si="16"/>
        <v>0</v>
      </c>
      <c r="M354">
        <f t="shared" si="17"/>
        <v>3302.48</v>
      </c>
      <c r="N354" t="s">
        <v>58</v>
      </c>
      <c r="O354" t="s">
        <v>29</v>
      </c>
      <c r="P354" t="s">
        <v>21</v>
      </c>
      <c r="Q354" t="s">
        <v>22</v>
      </c>
    </row>
    <row r="355" spans="1:17" x14ac:dyDescent="0.3">
      <c r="A355" t="s">
        <v>416</v>
      </c>
      <c r="B355" s="1">
        <v>45681</v>
      </c>
      <c r="C355" t="s">
        <v>36</v>
      </c>
      <c r="D355" t="s">
        <v>39</v>
      </c>
      <c r="E355" t="s">
        <v>49</v>
      </c>
      <c r="F355" t="s">
        <v>56</v>
      </c>
      <c r="G355">
        <v>2</v>
      </c>
      <c r="H355">
        <v>1106.93</v>
      </c>
      <c r="I355">
        <v>0.17</v>
      </c>
      <c r="J355">
        <v>1837.5</v>
      </c>
      <c r="K355">
        <f t="shared" si="15"/>
        <v>2213.86</v>
      </c>
      <c r="L355">
        <f t="shared" si="16"/>
        <v>376.36000000000013</v>
      </c>
      <c r="M355">
        <f t="shared" si="17"/>
        <v>1837.5</v>
      </c>
      <c r="N355" t="s">
        <v>46</v>
      </c>
      <c r="O355" t="s">
        <v>34</v>
      </c>
      <c r="P355" t="s">
        <v>54</v>
      </c>
      <c r="Q355" t="s">
        <v>22</v>
      </c>
    </row>
    <row r="356" spans="1:17" x14ac:dyDescent="0.3">
      <c r="A356" t="s">
        <v>417</v>
      </c>
      <c r="B356" s="1">
        <v>45708</v>
      </c>
      <c r="C356" t="s">
        <v>36</v>
      </c>
      <c r="D356" t="s">
        <v>16</v>
      </c>
      <c r="E356" t="s">
        <v>17</v>
      </c>
      <c r="F356" t="s">
        <v>32</v>
      </c>
      <c r="G356">
        <v>2</v>
      </c>
      <c r="H356">
        <v>2152.25</v>
      </c>
      <c r="I356">
        <v>0.22</v>
      </c>
      <c r="J356">
        <v>3357.51</v>
      </c>
      <c r="K356">
        <f t="shared" si="15"/>
        <v>4304.5</v>
      </c>
      <c r="L356">
        <f t="shared" si="16"/>
        <v>946.98999999999978</v>
      </c>
      <c r="M356">
        <f t="shared" si="17"/>
        <v>3357.51</v>
      </c>
      <c r="N356" t="s">
        <v>33</v>
      </c>
      <c r="O356" t="s">
        <v>29</v>
      </c>
      <c r="P356" t="s">
        <v>21</v>
      </c>
      <c r="Q356" t="s">
        <v>22</v>
      </c>
    </row>
    <row r="357" spans="1:17" x14ac:dyDescent="0.3">
      <c r="A357" t="s">
        <v>418</v>
      </c>
      <c r="B357" s="1">
        <v>45697</v>
      </c>
      <c r="C357" t="s">
        <v>52</v>
      </c>
      <c r="D357" t="s">
        <v>25</v>
      </c>
      <c r="E357" t="s">
        <v>17</v>
      </c>
      <c r="F357" t="s">
        <v>40</v>
      </c>
      <c r="G357">
        <v>3</v>
      </c>
      <c r="H357">
        <v>4174.34</v>
      </c>
      <c r="I357">
        <v>0.24</v>
      </c>
      <c r="J357">
        <v>9517.5</v>
      </c>
      <c r="K357">
        <f t="shared" si="15"/>
        <v>12523.02</v>
      </c>
      <c r="L357">
        <f t="shared" si="16"/>
        <v>3005.5200000000004</v>
      </c>
      <c r="M357">
        <f t="shared" si="17"/>
        <v>9517.5</v>
      </c>
      <c r="N357" t="s">
        <v>33</v>
      </c>
      <c r="O357" t="s">
        <v>20</v>
      </c>
      <c r="P357" t="s">
        <v>30</v>
      </c>
      <c r="Q357" t="s">
        <v>22</v>
      </c>
    </row>
    <row r="358" spans="1:17" x14ac:dyDescent="0.3">
      <c r="A358" t="s">
        <v>419</v>
      </c>
      <c r="B358" s="1">
        <v>45696</v>
      </c>
      <c r="C358" t="s">
        <v>52</v>
      </c>
      <c r="D358" t="s">
        <v>25</v>
      </c>
      <c r="E358" t="s">
        <v>17</v>
      </c>
      <c r="F358" t="s">
        <v>40</v>
      </c>
      <c r="G358">
        <v>2</v>
      </c>
      <c r="H358">
        <v>113.42</v>
      </c>
      <c r="I358">
        <v>0.17</v>
      </c>
      <c r="J358">
        <v>188.28</v>
      </c>
      <c r="K358">
        <f t="shared" si="15"/>
        <v>226.84</v>
      </c>
      <c r="L358">
        <f t="shared" si="16"/>
        <v>38.56</v>
      </c>
      <c r="M358">
        <f t="shared" si="17"/>
        <v>188.28</v>
      </c>
      <c r="N358" t="s">
        <v>41</v>
      </c>
      <c r="O358" t="s">
        <v>34</v>
      </c>
      <c r="P358" t="s">
        <v>54</v>
      </c>
      <c r="Q358" t="s">
        <v>22</v>
      </c>
    </row>
    <row r="359" spans="1:17" x14ac:dyDescent="0.3">
      <c r="A359" t="s">
        <v>420</v>
      </c>
      <c r="B359" s="1">
        <v>45764</v>
      </c>
      <c r="C359" t="s">
        <v>24</v>
      </c>
      <c r="D359" t="s">
        <v>25</v>
      </c>
      <c r="E359" t="s">
        <v>17</v>
      </c>
      <c r="F359" t="s">
        <v>18</v>
      </c>
      <c r="G359">
        <v>2</v>
      </c>
      <c r="H359">
        <v>2338.08</v>
      </c>
      <c r="I359">
        <v>0.24</v>
      </c>
      <c r="J359">
        <v>3553.88</v>
      </c>
      <c r="K359">
        <f t="shared" si="15"/>
        <v>4676.16</v>
      </c>
      <c r="L359">
        <f t="shared" si="16"/>
        <v>1122.2799999999997</v>
      </c>
      <c r="M359">
        <f t="shared" si="17"/>
        <v>3553.88</v>
      </c>
      <c r="N359" t="s">
        <v>46</v>
      </c>
      <c r="O359" t="s">
        <v>29</v>
      </c>
      <c r="P359" t="s">
        <v>30</v>
      </c>
      <c r="Q359" t="s">
        <v>22</v>
      </c>
    </row>
    <row r="360" spans="1:17" x14ac:dyDescent="0.3">
      <c r="A360" t="s">
        <v>421</v>
      </c>
      <c r="B360" s="1">
        <v>45747</v>
      </c>
      <c r="C360" t="s">
        <v>15</v>
      </c>
      <c r="D360" t="s">
        <v>16</v>
      </c>
      <c r="E360" t="s">
        <v>61</v>
      </c>
      <c r="F360" t="s">
        <v>62</v>
      </c>
      <c r="G360">
        <v>3</v>
      </c>
      <c r="H360">
        <v>2187.38</v>
      </c>
      <c r="I360">
        <v>0.03</v>
      </c>
      <c r="J360">
        <v>6365.28</v>
      </c>
      <c r="K360">
        <f t="shared" si="15"/>
        <v>6562.14</v>
      </c>
      <c r="L360">
        <f t="shared" si="16"/>
        <v>196.86000000000058</v>
      </c>
      <c r="M360">
        <f t="shared" si="17"/>
        <v>6365.28</v>
      </c>
      <c r="N360" t="s">
        <v>46</v>
      </c>
      <c r="O360" t="s">
        <v>29</v>
      </c>
      <c r="P360" t="s">
        <v>54</v>
      </c>
      <c r="Q360" t="s">
        <v>37</v>
      </c>
    </row>
    <row r="361" spans="1:17" x14ac:dyDescent="0.3">
      <c r="A361" t="s">
        <v>422</v>
      </c>
      <c r="B361" s="1">
        <v>45687</v>
      </c>
      <c r="C361" t="s">
        <v>15</v>
      </c>
      <c r="D361" t="s">
        <v>43</v>
      </c>
      <c r="E361" t="s">
        <v>61</v>
      </c>
      <c r="F361" t="s">
        <v>66</v>
      </c>
      <c r="G361">
        <v>3</v>
      </c>
      <c r="H361">
        <v>4404.53</v>
      </c>
      <c r="I361">
        <v>0.02</v>
      </c>
      <c r="J361">
        <v>12949.32</v>
      </c>
      <c r="K361">
        <f t="shared" si="15"/>
        <v>13213.59</v>
      </c>
      <c r="L361">
        <f t="shared" si="16"/>
        <v>264.27000000000044</v>
      </c>
      <c r="M361">
        <f t="shared" si="17"/>
        <v>12949.32</v>
      </c>
      <c r="N361" t="s">
        <v>41</v>
      </c>
      <c r="O361" t="s">
        <v>29</v>
      </c>
      <c r="P361" t="s">
        <v>30</v>
      </c>
      <c r="Q361" t="s">
        <v>22</v>
      </c>
    </row>
    <row r="362" spans="1:17" x14ac:dyDescent="0.3">
      <c r="A362" t="s">
        <v>423</v>
      </c>
      <c r="B362" s="1">
        <v>45741</v>
      </c>
      <c r="C362" t="s">
        <v>15</v>
      </c>
      <c r="D362" t="s">
        <v>16</v>
      </c>
      <c r="E362" t="s">
        <v>49</v>
      </c>
      <c r="F362" t="s">
        <v>50</v>
      </c>
      <c r="G362">
        <v>4</v>
      </c>
      <c r="H362">
        <v>4019.51</v>
      </c>
      <c r="I362">
        <v>0.16</v>
      </c>
      <c r="J362">
        <v>13505.55</v>
      </c>
      <c r="K362">
        <f t="shared" si="15"/>
        <v>16078.04</v>
      </c>
      <c r="L362">
        <f t="shared" si="16"/>
        <v>2572.4900000000016</v>
      </c>
      <c r="M362">
        <f t="shared" si="17"/>
        <v>13505.55</v>
      </c>
      <c r="N362" t="s">
        <v>41</v>
      </c>
      <c r="O362" t="s">
        <v>29</v>
      </c>
      <c r="P362" t="s">
        <v>54</v>
      </c>
      <c r="Q362" t="s">
        <v>22</v>
      </c>
    </row>
    <row r="363" spans="1:17" x14ac:dyDescent="0.3">
      <c r="A363" t="s">
        <v>424</v>
      </c>
      <c r="B363" s="1">
        <v>45695</v>
      </c>
      <c r="C363" t="s">
        <v>24</v>
      </c>
      <c r="D363" t="s">
        <v>25</v>
      </c>
      <c r="E363" t="s">
        <v>17</v>
      </c>
      <c r="F363" t="s">
        <v>44</v>
      </c>
      <c r="G363">
        <v>4</v>
      </c>
      <c r="H363">
        <v>4031.1</v>
      </c>
      <c r="I363">
        <v>0.17</v>
      </c>
      <c r="J363">
        <v>13383.25</v>
      </c>
      <c r="K363">
        <f t="shared" si="15"/>
        <v>16124.4</v>
      </c>
      <c r="L363">
        <f t="shared" si="16"/>
        <v>2741.1499999999996</v>
      </c>
      <c r="M363">
        <f t="shared" si="17"/>
        <v>13383.25</v>
      </c>
      <c r="N363" t="s">
        <v>41</v>
      </c>
      <c r="O363" t="s">
        <v>29</v>
      </c>
      <c r="P363" t="s">
        <v>54</v>
      </c>
      <c r="Q363" t="s">
        <v>88</v>
      </c>
    </row>
    <row r="364" spans="1:17" x14ac:dyDescent="0.3">
      <c r="A364" t="s">
        <v>425</v>
      </c>
      <c r="B364" s="1">
        <v>45714</v>
      </c>
      <c r="C364" t="s">
        <v>52</v>
      </c>
      <c r="D364" t="s">
        <v>39</v>
      </c>
      <c r="E364" t="s">
        <v>27</v>
      </c>
      <c r="F364" t="s">
        <v>79</v>
      </c>
      <c r="G364">
        <v>1</v>
      </c>
      <c r="H364">
        <v>4449.21</v>
      </c>
      <c r="I364">
        <v>0.11</v>
      </c>
      <c r="J364">
        <v>3959.8</v>
      </c>
      <c r="K364">
        <f t="shared" si="15"/>
        <v>4449.21</v>
      </c>
      <c r="L364">
        <f t="shared" si="16"/>
        <v>489.40999999999985</v>
      </c>
      <c r="M364">
        <f t="shared" si="17"/>
        <v>3959.8</v>
      </c>
      <c r="N364" t="s">
        <v>41</v>
      </c>
      <c r="O364" t="s">
        <v>34</v>
      </c>
      <c r="P364" t="s">
        <v>54</v>
      </c>
      <c r="Q364" t="s">
        <v>22</v>
      </c>
    </row>
    <row r="365" spans="1:17" x14ac:dyDescent="0.3">
      <c r="A365" t="s">
        <v>426</v>
      </c>
      <c r="B365" s="1">
        <v>45749</v>
      </c>
      <c r="C365" t="s">
        <v>15</v>
      </c>
      <c r="D365" t="s">
        <v>25</v>
      </c>
      <c r="E365" t="s">
        <v>17</v>
      </c>
      <c r="F365" t="s">
        <v>44</v>
      </c>
      <c r="G365">
        <v>5</v>
      </c>
      <c r="H365">
        <v>566.69000000000005</v>
      </c>
      <c r="I365">
        <v>0.17</v>
      </c>
      <c r="J365">
        <v>2351.7600000000002</v>
      </c>
      <c r="K365">
        <f t="shared" si="15"/>
        <v>2833.4500000000003</v>
      </c>
      <c r="L365">
        <f t="shared" si="16"/>
        <v>481.69000000000005</v>
      </c>
      <c r="M365">
        <f t="shared" si="17"/>
        <v>2351.7600000000002</v>
      </c>
      <c r="N365" t="s">
        <v>33</v>
      </c>
      <c r="O365" t="s">
        <v>29</v>
      </c>
      <c r="P365" t="s">
        <v>54</v>
      </c>
      <c r="Q365" t="s">
        <v>22</v>
      </c>
    </row>
    <row r="366" spans="1:17" x14ac:dyDescent="0.3">
      <c r="A366" t="s">
        <v>427</v>
      </c>
      <c r="B366" s="1">
        <v>45708</v>
      </c>
      <c r="C366" t="s">
        <v>36</v>
      </c>
      <c r="D366" t="s">
        <v>25</v>
      </c>
      <c r="E366" t="s">
        <v>49</v>
      </c>
      <c r="F366" t="s">
        <v>73</v>
      </c>
      <c r="G366">
        <v>1</v>
      </c>
      <c r="H366">
        <v>3252.65</v>
      </c>
      <c r="I366">
        <v>0.04</v>
      </c>
      <c r="J366">
        <v>3122.54</v>
      </c>
      <c r="K366">
        <f t="shared" si="15"/>
        <v>3252.65</v>
      </c>
      <c r="L366">
        <f t="shared" si="16"/>
        <v>130.11000000000013</v>
      </c>
      <c r="M366">
        <f t="shared" si="17"/>
        <v>3122.54</v>
      </c>
      <c r="N366" t="s">
        <v>33</v>
      </c>
      <c r="O366" t="s">
        <v>20</v>
      </c>
      <c r="P366" t="s">
        <v>30</v>
      </c>
      <c r="Q366" t="s">
        <v>37</v>
      </c>
    </row>
    <row r="367" spans="1:17" x14ac:dyDescent="0.3">
      <c r="A367" t="s">
        <v>428</v>
      </c>
      <c r="B367" s="1">
        <v>45829</v>
      </c>
      <c r="C367" t="s">
        <v>15</v>
      </c>
      <c r="D367" t="s">
        <v>25</v>
      </c>
      <c r="E367" t="s">
        <v>17</v>
      </c>
      <c r="F367" t="s">
        <v>40</v>
      </c>
      <c r="G367">
        <v>3</v>
      </c>
      <c r="H367">
        <v>346.72</v>
      </c>
      <c r="I367">
        <v>0.06</v>
      </c>
      <c r="J367">
        <v>977.75</v>
      </c>
      <c r="K367">
        <f t="shared" si="15"/>
        <v>1040.1600000000001</v>
      </c>
      <c r="L367">
        <f t="shared" si="16"/>
        <v>62.410000000000082</v>
      </c>
      <c r="M367">
        <f t="shared" si="17"/>
        <v>977.75</v>
      </c>
      <c r="N367" t="s">
        <v>19</v>
      </c>
      <c r="O367" t="s">
        <v>34</v>
      </c>
      <c r="P367" t="s">
        <v>21</v>
      </c>
      <c r="Q367" t="s">
        <v>22</v>
      </c>
    </row>
    <row r="368" spans="1:17" x14ac:dyDescent="0.3">
      <c r="A368" t="s">
        <v>429</v>
      </c>
      <c r="B368" s="1">
        <v>45839</v>
      </c>
      <c r="C368" t="s">
        <v>48</v>
      </c>
      <c r="D368" t="s">
        <v>16</v>
      </c>
      <c r="E368" t="s">
        <v>61</v>
      </c>
      <c r="F368" t="s">
        <v>62</v>
      </c>
      <c r="G368">
        <v>4</v>
      </c>
      <c r="H368">
        <v>531.29999999999995</v>
      </c>
      <c r="I368">
        <v>0.12</v>
      </c>
      <c r="J368">
        <v>1870.18</v>
      </c>
      <c r="K368">
        <f t="shared" si="15"/>
        <v>2125.1999999999998</v>
      </c>
      <c r="L368">
        <f t="shared" si="16"/>
        <v>255.01999999999975</v>
      </c>
      <c r="M368">
        <f t="shared" si="17"/>
        <v>1870.18</v>
      </c>
      <c r="N368" t="s">
        <v>41</v>
      </c>
      <c r="O368" t="s">
        <v>29</v>
      </c>
      <c r="P368" t="s">
        <v>30</v>
      </c>
      <c r="Q368" t="s">
        <v>59</v>
      </c>
    </row>
    <row r="369" spans="1:17" x14ac:dyDescent="0.3">
      <c r="A369" t="s">
        <v>430</v>
      </c>
      <c r="B369" s="1">
        <v>45674</v>
      </c>
      <c r="C369" t="s">
        <v>48</v>
      </c>
      <c r="D369" t="s">
        <v>39</v>
      </c>
      <c r="E369" t="s">
        <v>17</v>
      </c>
      <c r="F369" t="s">
        <v>18</v>
      </c>
      <c r="G369">
        <v>5</v>
      </c>
      <c r="H369">
        <v>2790.58</v>
      </c>
      <c r="I369">
        <v>0.21</v>
      </c>
      <c r="J369">
        <v>11022.79</v>
      </c>
      <c r="K369">
        <f t="shared" si="15"/>
        <v>13952.9</v>
      </c>
      <c r="L369">
        <f t="shared" si="16"/>
        <v>2930.1099999999988</v>
      </c>
      <c r="M369">
        <f t="shared" si="17"/>
        <v>11022.79</v>
      </c>
      <c r="N369" t="s">
        <v>41</v>
      </c>
      <c r="O369" t="s">
        <v>20</v>
      </c>
      <c r="P369" t="s">
        <v>21</v>
      </c>
      <c r="Q369" t="s">
        <v>37</v>
      </c>
    </row>
    <row r="370" spans="1:17" x14ac:dyDescent="0.3">
      <c r="A370" t="s">
        <v>431</v>
      </c>
      <c r="B370" s="1">
        <v>45746</v>
      </c>
      <c r="C370" t="s">
        <v>48</v>
      </c>
      <c r="D370" t="s">
        <v>25</v>
      </c>
      <c r="E370" t="s">
        <v>27</v>
      </c>
      <c r="F370" t="s">
        <v>68</v>
      </c>
      <c r="G370">
        <v>1</v>
      </c>
      <c r="H370">
        <v>4101.28</v>
      </c>
      <c r="I370">
        <v>0.21</v>
      </c>
      <c r="J370">
        <v>3240.01</v>
      </c>
      <c r="K370">
        <f t="shared" si="15"/>
        <v>4101.28</v>
      </c>
      <c r="L370">
        <f t="shared" si="16"/>
        <v>861.26999999999953</v>
      </c>
      <c r="M370">
        <f t="shared" si="17"/>
        <v>3240.01</v>
      </c>
      <c r="N370" t="s">
        <v>46</v>
      </c>
      <c r="O370" t="s">
        <v>34</v>
      </c>
      <c r="P370" t="s">
        <v>30</v>
      </c>
      <c r="Q370" t="s">
        <v>22</v>
      </c>
    </row>
    <row r="371" spans="1:17" x14ac:dyDescent="0.3">
      <c r="A371" t="s">
        <v>432</v>
      </c>
      <c r="B371" s="1">
        <v>45816</v>
      </c>
      <c r="C371" t="s">
        <v>24</v>
      </c>
      <c r="D371" t="s">
        <v>39</v>
      </c>
      <c r="E371" t="s">
        <v>99</v>
      </c>
      <c r="F371" t="s">
        <v>115</v>
      </c>
      <c r="G371">
        <v>2</v>
      </c>
      <c r="H371">
        <v>110.77</v>
      </c>
      <c r="I371">
        <v>0.09</v>
      </c>
      <c r="J371">
        <v>201.6</v>
      </c>
      <c r="K371">
        <f t="shared" si="15"/>
        <v>221.54</v>
      </c>
      <c r="L371">
        <f t="shared" si="16"/>
        <v>19.939999999999998</v>
      </c>
      <c r="M371">
        <f t="shared" si="17"/>
        <v>201.6</v>
      </c>
      <c r="N371" t="s">
        <v>58</v>
      </c>
      <c r="O371" t="s">
        <v>29</v>
      </c>
      <c r="P371" t="s">
        <v>21</v>
      </c>
      <c r="Q371" t="s">
        <v>22</v>
      </c>
    </row>
    <row r="372" spans="1:17" x14ac:dyDescent="0.3">
      <c r="A372" t="s">
        <v>433</v>
      </c>
      <c r="B372" s="1">
        <v>45827</v>
      </c>
      <c r="C372" t="s">
        <v>24</v>
      </c>
      <c r="D372" t="s">
        <v>16</v>
      </c>
      <c r="E372" t="s">
        <v>99</v>
      </c>
      <c r="F372" t="s">
        <v>120</v>
      </c>
      <c r="G372">
        <v>2</v>
      </c>
      <c r="H372">
        <v>4127.01</v>
      </c>
      <c r="I372">
        <v>0.19</v>
      </c>
      <c r="J372">
        <v>6685.76</v>
      </c>
      <c r="K372">
        <f t="shared" si="15"/>
        <v>8254.02</v>
      </c>
      <c r="L372">
        <f t="shared" si="16"/>
        <v>1568.2600000000002</v>
      </c>
      <c r="M372">
        <f t="shared" si="17"/>
        <v>6685.76</v>
      </c>
      <c r="N372" t="s">
        <v>19</v>
      </c>
      <c r="O372" t="s">
        <v>34</v>
      </c>
      <c r="P372" t="s">
        <v>30</v>
      </c>
      <c r="Q372" t="s">
        <v>22</v>
      </c>
    </row>
    <row r="373" spans="1:17" x14ac:dyDescent="0.3">
      <c r="A373" t="s">
        <v>434</v>
      </c>
      <c r="B373" s="1">
        <v>45826</v>
      </c>
      <c r="C373" t="s">
        <v>24</v>
      </c>
      <c r="D373" t="s">
        <v>16</v>
      </c>
      <c r="E373" t="s">
        <v>61</v>
      </c>
      <c r="F373" t="s">
        <v>75</v>
      </c>
      <c r="G373">
        <v>4</v>
      </c>
      <c r="H373">
        <v>4140.32</v>
      </c>
      <c r="I373">
        <v>0.05</v>
      </c>
      <c r="J373">
        <v>15733.22</v>
      </c>
      <c r="K373">
        <f t="shared" si="15"/>
        <v>16561.28</v>
      </c>
      <c r="L373">
        <f t="shared" si="16"/>
        <v>828.05999999999949</v>
      </c>
      <c r="M373">
        <f t="shared" si="17"/>
        <v>15733.22</v>
      </c>
      <c r="N373" t="s">
        <v>41</v>
      </c>
      <c r="O373" t="s">
        <v>20</v>
      </c>
      <c r="P373" t="s">
        <v>30</v>
      </c>
      <c r="Q373" t="s">
        <v>88</v>
      </c>
    </row>
    <row r="374" spans="1:17" x14ac:dyDescent="0.3">
      <c r="A374" t="s">
        <v>435</v>
      </c>
      <c r="B374" s="1">
        <v>45766</v>
      </c>
      <c r="C374" t="s">
        <v>48</v>
      </c>
      <c r="D374" t="s">
        <v>16</v>
      </c>
      <c r="E374" t="s">
        <v>17</v>
      </c>
      <c r="F374" t="s">
        <v>18</v>
      </c>
      <c r="G374">
        <v>5</v>
      </c>
      <c r="H374">
        <v>4785.33</v>
      </c>
      <c r="I374">
        <v>0.03</v>
      </c>
      <c r="J374">
        <v>23208.85</v>
      </c>
      <c r="K374">
        <f t="shared" si="15"/>
        <v>23926.65</v>
      </c>
      <c r="L374">
        <f t="shared" si="16"/>
        <v>717.80000000000291</v>
      </c>
      <c r="M374">
        <f t="shared" si="17"/>
        <v>23208.85</v>
      </c>
      <c r="N374" t="s">
        <v>41</v>
      </c>
      <c r="O374" t="s">
        <v>29</v>
      </c>
      <c r="P374" t="s">
        <v>30</v>
      </c>
      <c r="Q374" t="s">
        <v>22</v>
      </c>
    </row>
    <row r="375" spans="1:17" x14ac:dyDescent="0.3">
      <c r="A375" t="s">
        <v>436</v>
      </c>
      <c r="B375" s="1">
        <v>45679</v>
      </c>
      <c r="C375" t="s">
        <v>36</v>
      </c>
      <c r="D375" t="s">
        <v>16</v>
      </c>
      <c r="E375" t="s">
        <v>17</v>
      </c>
      <c r="F375" t="s">
        <v>40</v>
      </c>
      <c r="G375">
        <v>2</v>
      </c>
      <c r="H375">
        <v>3489.91</v>
      </c>
      <c r="I375">
        <v>0.04</v>
      </c>
      <c r="J375">
        <v>6700.63</v>
      </c>
      <c r="K375">
        <f t="shared" si="15"/>
        <v>6979.82</v>
      </c>
      <c r="L375">
        <f t="shared" si="16"/>
        <v>279.1899999999996</v>
      </c>
      <c r="M375">
        <f t="shared" si="17"/>
        <v>6700.63</v>
      </c>
      <c r="N375" t="s">
        <v>41</v>
      </c>
      <c r="O375" t="s">
        <v>29</v>
      </c>
      <c r="P375" t="s">
        <v>54</v>
      </c>
      <c r="Q375" t="s">
        <v>22</v>
      </c>
    </row>
    <row r="376" spans="1:17" x14ac:dyDescent="0.3">
      <c r="A376" t="s">
        <v>437</v>
      </c>
      <c r="B376" s="1">
        <v>45669</v>
      </c>
      <c r="C376" t="s">
        <v>36</v>
      </c>
      <c r="D376" t="s">
        <v>25</v>
      </c>
      <c r="E376" t="s">
        <v>27</v>
      </c>
      <c r="F376" t="s">
        <v>28</v>
      </c>
      <c r="G376">
        <v>5</v>
      </c>
      <c r="H376">
        <v>4587.96</v>
      </c>
      <c r="I376">
        <v>0.19</v>
      </c>
      <c r="J376">
        <v>18581.240000000002</v>
      </c>
      <c r="K376">
        <f t="shared" si="15"/>
        <v>22939.8</v>
      </c>
      <c r="L376">
        <f t="shared" si="16"/>
        <v>4358.5599999999977</v>
      </c>
      <c r="M376">
        <f t="shared" si="17"/>
        <v>18581.240000000002</v>
      </c>
      <c r="N376" t="s">
        <v>41</v>
      </c>
      <c r="O376" t="s">
        <v>34</v>
      </c>
      <c r="P376" t="s">
        <v>30</v>
      </c>
      <c r="Q376" t="s">
        <v>59</v>
      </c>
    </row>
    <row r="377" spans="1:17" x14ac:dyDescent="0.3">
      <c r="A377" t="s">
        <v>438</v>
      </c>
      <c r="B377" s="1">
        <v>45786</v>
      </c>
      <c r="C377" t="s">
        <v>52</v>
      </c>
      <c r="D377" t="s">
        <v>39</v>
      </c>
      <c r="E377" t="s">
        <v>99</v>
      </c>
      <c r="F377" t="s">
        <v>115</v>
      </c>
      <c r="G377">
        <v>5</v>
      </c>
      <c r="H377">
        <v>3530.07</v>
      </c>
      <c r="I377">
        <v>0.19</v>
      </c>
      <c r="J377">
        <v>14296.78</v>
      </c>
      <c r="K377">
        <f t="shared" si="15"/>
        <v>17650.350000000002</v>
      </c>
      <c r="L377">
        <f t="shared" si="16"/>
        <v>3353.5700000000015</v>
      </c>
      <c r="M377">
        <f t="shared" si="17"/>
        <v>14296.78</v>
      </c>
      <c r="N377" t="s">
        <v>19</v>
      </c>
      <c r="O377" t="s">
        <v>34</v>
      </c>
      <c r="P377" t="s">
        <v>30</v>
      </c>
      <c r="Q377" t="s">
        <v>22</v>
      </c>
    </row>
    <row r="378" spans="1:17" x14ac:dyDescent="0.3">
      <c r="A378" t="s">
        <v>439</v>
      </c>
      <c r="B378" s="1">
        <v>45764</v>
      </c>
      <c r="C378" t="s">
        <v>52</v>
      </c>
      <c r="D378" t="s">
        <v>43</v>
      </c>
      <c r="E378" t="s">
        <v>27</v>
      </c>
      <c r="F378" t="s">
        <v>68</v>
      </c>
      <c r="G378">
        <v>3</v>
      </c>
      <c r="H378">
        <v>3464.4</v>
      </c>
      <c r="I378">
        <v>0.23</v>
      </c>
      <c r="J378">
        <v>8002.76</v>
      </c>
      <c r="K378">
        <f t="shared" si="15"/>
        <v>10393.200000000001</v>
      </c>
      <c r="L378">
        <f t="shared" si="16"/>
        <v>2390.4400000000005</v>
      </c>
      <c r="M378">
        <f t="shared" si="17"/>
        <v>8002.76</v>
      </c>
      <c r="N378" t="s">
        <v>19</v>
      </c>
      <c r="O378" t="s">
        <v>29</v>
      </c>
      <c r="P378" t="s">
        <v>54</v>
      </c>
      <c r="Q378" t="s">
        <v>22</v>
      </c>
    </row>
    <row r="379" spans="1:17" x14ac:dyDescent="0.3">
      <c r="A379" t="s">
        <v>440</v>
      </c>
      <c r="B379" s="1">
        <v>45822</v>
      </c>
      <c r="C379" t="s">
        <v>15</v>
      </c>
      <c r="D379" t="s">
        <v>39</v>
      </c>
      <c r="E379" t="s">
        <v>99</v>
      </c>
      <c r="F379" t="s">
        <v>120</v>
      </c>
      <c r="G379">
        <v>5</v>
      </c>
      <c r="H379">
        <v>2896.13</v>
      </c>
      <c r="I379">
        <v>0.17</v>
      </c>
      <c r="J379">
        <v>12018.94</v>
      </c>
      <c r="K379">
        <f t="shared" si="15"/>
        <v>14480.650000000001</v>
      </c>
      <c r="L379">
        <f t="shared" si="16"/>
        <v>2461.7100000000009</v>
      </c>
      <c r="M379">
        <f t="shared" si="17"/>
        <v>12018.94</v>
      </c>
      <c r="N379" t="s">
        <v>33</v>
      </c>
      <c r="O379" t="s">
        <v>34</v>
      </c>
      <c r="P379" t="s">
        <v>30</v>
      </c>
      <c r="Q379" t="s">
        <v>37</v>
      </c>
    </row>
    <row r="380" spans="1:17" x14ac:dyDescent="0.3">
      <c r="A380" t="s">
        <v>441</v>
      </c>
      <c r="B380" s="1">
        <v>45662</v>
      </c>
      <c r="C380" t="s">
        <v>36</v>
      </c>
      <c r="D380" t="s">
        <v>39</v>
      </c>
      <c r="E380" t="s">
        <v>49</v>
      </c>
      <c r="F380" t="s">
        <v>56</v>
      </c>
      <c r="G380">
        <v>4</v>
      </c>
      <c r="H380">
        <v>812.1</v>
      </c>
      <c r="I380">
        <v>0.17</v>
      </c>
      <c r="J380">
        <v>2696.17</v>
      </c>
      <c r="K380">
        <f t="shared" si="15"/>
        <v>3248.4</v>
      </c>
      <c r="L380">
        <f t="shared" si="16"/>
        <v>552.23</v>
      </c>
      <c r="M380">
        <f t="shared" si="17"/>
        <v>2696.17</v>
      </c>
      <c r="N380" t="s">
        <v>58</v>
      </c>
      <c r="O380" t="s">
        <v>20</v>
      </c>
      <c r="P380" t="s">
        <v>54</v>
      </c>
      <c r="Q380" t="s">
        <v>88</v>
      </c>
    </row>
    <row r="381" spans="1:17" x14ac:dyDescent="0.3">
      <c r="A381" t="s">
        <v>442</v>
      </c>
      <c r="B381" s="1">
        <v>45678</v>
      </c>
      <c r="C381" t="s">
        <v>15</v>
      </c>
      <c r="D381" t="s">
        <v>25</v>
      </c>
      <c r="E381" t="s">
        <v>61</v>
      </c>
      <c r="F381" t="s">
        <v>66</v>
      </c>
      <c r="G381">
        <v>3</v>
      </c>
      <c r="H381">
        <v>1099.5999999999999</v>
      </c>
      <c r="I381">
        <v>0.14000000000000001</v>
      </c>
      <c r="J381">
        <v>2836.97</v>
      </c>
      <c r="K381">
        <f t="shared" si="15"/>
        <v>3298.7999999999997</v>
      </c>
      <c r="L381">
        <f t="shared" si="16"/>
        <v>461.82999999999993</v>
      </c>
      <c r="M381">
        <f t="shared" si="17"/>
        <v>2836.97</v>
      </c>
      <c r="N381" t="s">
        <v>19</v>
      </c>
      <c r="O381" t="s">
        <v>20</v>
      </c>
      <c r="P381" t="s">
        <v>30</v>
      </c>
      <c r="Q381" t="s">
        <v>22</v>
      </c>
    </row>
    <row r="382" spans="1:17" x14ac:dyDescent="0.3">
      <c r="A382" t="s">
        <v>443</v>
      </c>
      <c r="B382" s="1">
        <v>45839</v>
      </c>
      <c r="C382" t="s">
        <v>36</v>
      </c>
      <c r="D382" t="s">
        <v>16</v>
      </c>
      <c r="E382" t="s">
        <v>27</v>
      </c>
      <c r="F382" t="s">
        <v>68</v>
      </c>
      <c r="G382">
        <v>5</v>
      </c>
      <c r="H382">
        <v>3943.11</v>
      </c>
      <c r="I382">
        <v>0.2</v>
      </c>
      <c r="J382">
        <v>15772.44</v>
      </c>
      <c r="K382">
        <f t="shared" si="15"/>
        <v>19715.55</v>
      </c>
      <c r="L382">
        <f t="shared" si="16"/>
        <v>3943.1099999999988</v>
      </c>
      <c r="M382">
        <f t="shared" si="17"/>
        <v>15772.44</v>
      </c>
      <c r="N382" t="s">
        <v>41</v>
      </c>
      <c r="O382" t="s">
        <v>20</v>
      </c>
      <c r="P382" t="s">
        <v>30</v>
      </c>
      <c r="Q382" t="s">
        <v>37</v>
      </c>
    </row>
    <row r="383" spans="1:17" x14ac:dyDescent="0.3">
      <c r="A383" t="s">
        <v>444</v>
      </c>
      <c r="B383" s="1">
        <v>45806</v>
      </c>
      <c r="C383" t="s">
        <v>15</v>
      </c>
      <c r="D383" t="s">
        <v>43</v>
      </c>
      <c r="E383" t="s">
        <v>49</v>
      </c>
      <c r="F383" t="s">
        <v>50</v>
      </c>
      <c r="G383">
        <v>1</v>
      </c>
      <c r="H383">
        <v>3743.98</v>
      </c>
      <c r="I383">
        <v>0.05</v>
      </c>
      <c r="J383">
        <v>3556.78</v>
      </c>
      <c r="K383">
        <f t="shared" si="15"/>
        <v>3743.98</v>
      </c>
      <c r="L383">
        <f t="shared" si="16"/>
        <v>187.19999999999982</v>
      </c>
      <c r="M383">
        <f t="shared" si="17"/>
        <v>3556.78</v>
      </c>
      <c r="N383" t="s">
        <v>33</v>
      </c>
      <c r="O383" t="s">
        <v>20</v>
      </c>
      <c r="P383" t="s">
        <v>30</v>
      </c>
      <c r="Q383" t="s">
        <v>37</v>
      </c>
    </row>
    <row r="384" spans="1:17" x14ac:dyDescent="0.3">
      <c r="A384" t="s">
        <v>445</v>
      </c>
      <c r="B384" s="1">
        <v>45824</v>
      </c>
      <c r="C384" t="s">
        <v>52</v>
      </c>
      <c r="D384" t="s">
        <v>16</v>
      </c>
      <c r="E384" t="s">
        <v>99</v>
      </c>
      <c r="F384" t="s">
        <v>100</v>
      </c>
      <c r="G384">
        <v>2</v>
      </c>
      <c r="H384">
        <v>4918.92</v>
      </c>
      <c r="I384">
        <v>0.02</v>
      </c>
      <c r="J384">
        <v>9641.08</v>
      </c>
      <c r="K384">
        <f t="shared" si="15"/>
        <v>9837.84</v>
      </c>
      <c r="L384">
        <f t="shared" si="16"/>
        <v>196.76000000000022</v>
      </c>
      <c r="M384">
        <f t="shared" si="17"/>
        <v>9641.08</v>
      </c>
      <c r="N384" t="s">
        <v>46</v>
      </c>
      <c r="O384" t="s">
        <v>34</v>
      </c>
      <c r="P384" t="s">
        <v>54</v>
      </c>
      <c r="Q384" t="s">
        <v>22</v>
      </c>
    </row>
    <row r="385" spans="1:17" x14ac:dyDescent="0.3">
      <c r="A385" t="s">
        <v>446</v>
      </c>
      <c r="B385" s="1">
        <v>45705</v>
      </c>
      <c r="C385" t="s">
        <v>36</v>
      </c>
      <c r="D385" t="s">
        <v>25</v>
      </c>
      <c r="E385" t="s">
        <v>49</v>
      </c>
      <c r="F385" t="s">
        <v>53</v>
      </c>
      <c r="G385">
        <v>2</v>
      </c>
      <c r="H385">
        <v>2961.53</v>
      </c>
      <c r="I385">
        <v>0.06</v>
      </c>
      <c r="J385">
        <v>5567.68</v>
      </c>
      <c r="K385">
        <f t="shared" si="15"/>
        <v>5923.06</v>
      </c>
      <c r="L385">
        <f t="shared" si="16"/>
        <v>355.38000000000011</v>
      </c>
      <c r="M385">
        <f t="shared" si="17"/>
        <v>5567.68</v>
      </c>
      <c r="N385" t="s">
        <v>46</v>
      </c>
      <c r="O385" t="s">
        <v>20</v>
      </c>
      <c r="P385" t="s">
        <v>30</v>
      </c>
      <c r="Q385" t="s">
        <v>22</v>
      </c>
    </row>
    <row r="386" spans="1:17" x14ac:dyDescent="0.3">
      <c r="A386" t="s">
        <v>447</v>
      </c>
      <c r="B386" s="1">
        <v>45692</v>
      </c>
      <c r="C386" t="s">
        <v>52</v>
      </c>
      <c r="D386" t="s">
        <v>39</v>
      </c>
      <c r="E386" t="s">
        <v>61</v>
      </c>
      <c r="F386" t="s">
        <v>62</v>
      </c>
      <c r="G386">
        <v>1</v>
      </c>
      <c r="H386">
        <v>3890.94</v>
      </c>
      <c r="I386">
        <v>0.16</v>
      </c>
      <c r="J386">
        <v>3268.39</v>
      </c>
      <c r="K386">
        <f t="shared" si="15"/>
        <v>3890.94</v>
      </c>
      <c r="L386">
        <f t="shared" si="16"/>
        <v>622.55000000000018</v>
      </c>
      <c r="M386">
        <f t="shared" si="17"/>
        <v>3268.39</v>
      </c>
      <c r="N386" t="s">
        <v>46</v>
      </c>
      <c r="O386" t="s">
        <v>29</v>
      </c>
      <c r="P386" t="s">
        <v>21</v>
      </c>
      <c r="Q386" t="s">
        <v>22</v>
      </c>
    </row>
    <row r="387" spans="1:17" x14ac:dyDescent="0.3">
      <c r="A387" t="s">
        <v>448</v>
      </c>
      <c r="B387" s="1">
        <v>45738</v>
      </c>
      <c r="C387" t="s">
        <v>24</v>
      </c>
      <c r="D387" t="s">
        <v>43</v>
      </c>
      <c r="E387" t="s">
        <v>27</v>
      </c>
      <c r="F387" t="s">
        <v>28</v>
      </c>
      <c r="G387">
        <v>2</v>
      </c>
      <c r="H387">
        <v>4789.24</v>
      </c>
      <c r="I387">
        <v>0.13</v>
      </c>
      <c r="J387">
        <v>8333.2800000000007</v>
      </c>
      <c r="K387">
        <f t="shared" ref="K387:K450" si="18">G387*H387</f>
        <v>9578.48</v>
      </c>
      <c r="L387">
        <f t="shared" ref="L387:L450" si="19">K387-J387</f>
        <v>1245.1999999999989</v>
      </c>
      <c r="M387">
        <f t="shared" ref="M387:M450" si="20">K387-L387</f>
        <v>8333.2800000000007</v>
      </c>
      <c r="N387" t="s">
        <v>46</v>
      </c>
      <c r="O387" t="s">
        <v>29</v>
      </c>
      <c r="P387" t="s">
        <v>21</v>
      </c>
      <c r="Q387" t="s">
        <v>22</v>
      </c>
    </row>
    <row r="388" spans="1:17" x14ac:dyDescent="0.3">
      <c r="A388" t="s">
        <v>449</v>
      </c>
      <c r="B388" s="1">
        <v>45754</v>
      </c>
      <c r="C388" t="s">
        <v>24</v>
      </c>
      <c r="D388" t="s">
        <v>43</v>
      </c>
      <c r="E388" t="s">
        <v>27</v>
      </c>
      <c r="F388" t="s">
        <v>87</v>
      </c>
      <c r="G388">
        <v>2</v>
      </c>
      <c r="H388">
        <v>3350.34</v>
      </c>
      <c r="I388">
        <v>0.08</v>
      </c>
      <c r="J388">
        <v>6164.63</v>
      </c>
      <c r="K388">
        <f t="shared" si="18"/>
        <v>6700.68</v>
      </c>
      <c r="L388">
        <f t="shared" si="19"/>
        <v>536.05000000000018</v>
      </c>
      <c r="M388">
        <f t="shared" si="20"/>
        <v>6164.63</v>
      </c>
      <c r="N388" t="s">
        <v>46</v>
      </c>
      <c r="O388" t="s">
        <v>20</v>
      </c>
      <c r="P388" t="s">
        <v>30</v>
      </c>
      <c r="Q388" t="s">
        <v>59</v>
      </c>
    </row>
    <row r="389" spans="1:17" x14ac:dyDescent="0.3">
      <c r="A389" t="s">
        <v>450</v>
      </c>
      <c r="B389" s="1">
        <v>45753</v>
      </c>
      <c r="C389" t="s">
        <v>36</v>
      </c>
      <c r="D389" t="s">
        <v>43</v>
      </c>
      <c r="E389" t="s">
        <v>27</v>
      </c>
      <c r="F389" t="s">
        <v>87</v>
      </c>
      <c r="G389">
        <v>3</v>
      </c>
      <c r="H389">
        <v>2283.77</v>
      </c>
      <c r="I389">
        <v>0.23</v>
      </c>
      <c r="J389">
        <v>5275.51</v>
      </c>
      <c r="K389">
        <f t="shared" si="18"/>
        <v>6851.3099999999995</v>
      </c>
      <c r="L389">
        <f t="shared" si="19"/>
        <v>1575.7999999999993</v>
      </c>
      <c r="M389">
        <f t="shared" si="20"/>
        <v>5275.51</v>
      </c>
      <c r="N389" t="s">
        <v>58</v>
      </c>
      <c r="O389" t="s">
        <v>20</v>
      </c>
      <c r="P389" t="s">
        <v>21</v>
      </c>
      <c r="Q389" t="s">
        <v>59</v>
      </c>
    </row>
    <row r="390" spans="1:17" x14ac:dyDescent="0.3">
      <c r="A390" t="s">
        <v>451</v>
      </c>
      <c r="B390" s="1">
        <v>45701</v>
      </c>
      <c r="C390" t="s">
        <v>24</v>
      </c>
      <c r="D390" t="s">
        <v>39</v>
      </c>
      <c r="E390" t="s">
        <v>99</v>
      </c>
      <c r="F390" t="s">
        <v>115</v>
      </c>
      <c r="G390">
        <v>5</v>
      </c>
      <c r="H390">
        <v>3647.48</v>
      </c>
      <c r="I390">
        <v>0.01</v>
      </c>
      <c r="J390">
        <v>18055.03</v>
      </c>
      <c r="K390">
        <f t="shared" si="18"/>
        <v>18237.400000000001</v>
      </c>
      <c r="L390">
        <f t="shared" si="19"/>
        <v>182.37000000000262</v>
      </c>
      <c r="M390">
        <f t="shared" si="20"/>
        <v>18055.03</v>
      </c>
      <c r="N390" t="s">
        <v>41</v>
      </c>
      <c r="O390" t="s">
        <v>34</v>
      </c>
      <c r="P390" t="s">
        <v>21</v>
      </c>
      <c r="Q390" t="s">
        <v>22</v>
      </c>
    </row>
    <row r="391" spans="1:17" x14ac:dyDescent="0.3">
      <c r="A391" t="s">
        <v>452</v>
      </c>
      <c r="B391" s="1">
        <v>45827</v>
      </c>
      <c r="C391" t="s">
        <v>48</v>
      </c>
      <c r="D391" t="s">
        <v>43</v>
      </c>
      <c r="E391" t="s">
        <v>27</v>
      </c>
      <c r="F391" t="s">
        <v>87</v>
      </c>
      <c r="G391">
        <v>2</v>
      </c>
      <c r="H391">
        <v>1669.53</v>
      </c>
      <c r="I391">
        <v>0.02</v>
      </c>
      <c r="J391">
        <v>3272.28</v>
      </c>
      <c r="K391">
        <f t="shared" si="18"/>
        <v>3339.06</v>
      </c>
      <c r="L391">
        <f t="shared" si="19"/>
        <v>66.779999999999745</v>
      </c>
      <c r="M391">
        <f t="shared" si="20"/>
        <v>3272.28</v>
      </c>
      <c r="N391" t="s">
        <v>58</v>
      </c>
      <c r="O391" t="s">
        <v>34</v>
      </c>
      <c r="P391" t="s">
        <v>54</v>
      </c>
      <c r="Q391" t="s">
        <v>59</v>
      </c>
    </row>
    <row r="392" spans="1:17" x14ac:dyDescent="0.3">
      <c r="A392" t="s">
        <v>453</v>
      </c>
      <c r="B392" s="1">
        <v>45737</v>
      </c>
      <c r="C392" t="s">
        <v>24</v>
      </c>
      <c r="D392" t="s">
        <v>43</v>
      </c>
      <c r="E392" t="s">
        <v>27</v>
      </c>
      <c r="F392" t="s">
        <v>79</v>
      </c>
      <c r="G392">
        <v>2</v>
      </c>
      <c r="H392">
        <v>4338.26</v>
      </c>
      <c r="I392">
        <v>0.11</v>
      </c>
      <c r="J392">
        <v>7722.1</v>
      </c>
      <c r="K392">
        <f t="shared" si="18"/>
        <v>8676.52</v>
      </c>
      <c r="L392">
        <f t="shared" si="19"/>
        <v>954.42000000000007</v>
      </c>
      <c r="M392">
        <f t="shared" si="20"/>
        <v>7722.1</v>
      </c>
      <c r="N392" t="s">
        <v>19</v>
      </c>
      <c r="O392" t="s">
        <v>29</v>
      </c>
      <c r="P392" t="s">
        <v>54</v>
      </c>
      <c r="Q392" t="s">
        <v>22</v>
      </c>
    </row>
    <row r="393" spans="1:17" x14ac:dyDescent="0.3">
      <c r="A393" t="s">
        <v>454</v>
      </c>
      <c r="B393" s="1">
        <v>45835</v>
      </c>
      <c r="C393" t="s">
        <v>52</v>
      </c>
      <c r="D393" t="s">
        <v>39</v>
      </c>
      <c r="E393" t="s">
        <v>49</v>
      </c>
      <c r="F393" t="s">
        <v>56</v>
      </c>
      <c r="G393">
        <v>3</v>
      </c>
      <c r="H393">
        <v>285.64</v>
      </c>
      <c r="I393">
        <v>0.02</v>
      </c>
      <c r="J393">
        <v>839.78</v>
      </c>
      <c r="K393">
        <f t="shared" si="18"/>
        <v>856.92</v>
      </c>
      <c r="L393">
        <f t="shared" si="19"/>
        <v>17.139999999999986</v>
      </c>
      <c r="M393">
        <f t="shared" si="20"/>
        <v>839.78</v>
      </c>
      <c r="N393" t="s">
        <v>58</v>
      </c>
      <c r="O393" t="s">
        <v>34</v>
      </c>
      <c r="P393" t="s">
        <v>54</v>
      </c>
      <c r="Q393" t="s">
        <v>22</v>
      </c>
    </row>
    <row r="394" spans="1:17" x14ac:dyDescent="0.3">
      <c r="A394" t="s">
        <v>455</v>
      </c>
      <c r="B394" s="1">
        <v>45671</v>
      </c>
      <c r="C394" t="s">
        <v>15</v>
      </c>
      <c r="D394" t="s">
        <v>25</v>
      </c>
      <c r="E394" t="s">
        <v>27</v>
      </c>
      <c r="F394" t="s">
        <v>68</v>
      </c>
      <c r="G394">
        <v>4</v>
      </c>
      <c r="H394">
        <v>3188.06</v>
      </c>
      <c r="I394">
        <v>0.11</v>
      </c>
      <c r="J394">
        <v>11349.49</v>
      </c>
      <c r="K394">
        <f t="shared" si="18"/>
        <v>12752.24</v>
      </c>
      <c r="L394">
        <f t="shared" si="19"/>
        <v>1402.75</v>
      </c>
      <c r="M394">
        <f t="shared" si="20"/>
        <v>11349.49</v>
      </c>
      <c r="N394" t="s">
        <v>41</v>
      </c>
      <c r="O394" t="s">
        <v>34</v>
      </c>
      <c r="P394" t="s">
        <v>54</v>
      </c>
      <c r="Q394" t="s">
        <v>22</v>
      </c>
    </row>
    <row r="395" spans="1:17" x14ac:dyDescent="0.3">
      <c r="A395" t="s">
        <v>456</v>
      </c>
      <c r="B395" s="1">
        <v>45691</v>
      </c>
      <c r="C395" t="s">
        <v>36</v>
      </c>
      <c r="D395" t="s">
        <v>16</v>
      </c>
      <c r="E395" t="s">
        <v>27</v>
      </c>
      <c r="F395" t="s">
        <v>79</v>
      </c>
      <c r="G395">
        <v>5</v>
      </c>
      <c r="H395">
        <v>323.02999999999997</v>
      </c>
      <c r="I395">
        <v>0.21</v>
      </c>
      <c r="J395">
        <v>1275.97</v>
      </c>
      <c r="K395">
        <f t="shared" si="18"/>
        <v>1615.1499999999999</v>
      </c>
      <c r="L395">
        <f t="shared" si="19"/>
        <v>339.17999999999984</v>
      </c>
      <c r="M395">
        <f t="shared" si="20"/>
        <v>1275.97</v>
      </c>
      <c r="N395" t="s">
        <v>58</v>
      </c>
      <c r="O395" t="s">
        <v>29</v>
      </c>
      <c r="P395" t="s">
        <v>30</v>
      </c>
      <c r="Q395" t="s">
        <v>22</v>
      </c>
    </row>
    <row r="396" spans="1:17" x14ac:dyDescent="0.3">
      <c r="A396" t="s">
        <v>457</v>
      </c>
      <c r="B396" s="1">
        <v>45733</v>
      </c>
      <c r="C396" t="s">
        <v>15</v>
      </c>
      <c r="D396" t="s">
        <v>43</v>
      </c>
      <c r="E396" t="s">
        <v>99</v>
      </c>
      <c r="F396" t="s">
        <v>120</v>
      </c>
      <c r="G396">
        <v>4</v>
      </c>
      <c r="H396">
        <v>4128.3999999999996</v>
      </c>
      <c r="I396">
        <v>0.01</v>
      </c>
      <c r="J396">
        <v>16348.46</v>
      </c>
      <c r="K396">
        <f t="shared" si="18"/>
        <v>16513.599999999999</v>
      </c>
      <c r="L396">
        <f t="shared" si="19"/>
        <v>165.13999999999942</v>
      </c>
      <c r="M396">
        <f t="shared" si="20"/>
        <v>16348.46</v>
      </c>
      <c r="N396" t="s">
        <v>41</v>
      </c>
      <c r="O396" t="s">
        <v>34</v>
      </c>
      <c r="P396" t="s">
        <v>54</v>
      </c>
      <c r="Q396" t="s">
        <v>22</v>
      </c>
    </row>
    <row r="397" spans="1:17" x14ac:dyDescent="0.3">
      <c r="A397" t="s">
        <v>458</v>
      </c>
      <c r="B397" s="1">
        <v>45660</v>
      </c>
      <c r="C397" t="s">
        <v>52</v>
      </c>
      <c r="D397" t="s">
        <v>43</v>
      </c>
      <c r="E397" t="s">
        <v>49</v>
      </c>
      <c r="F397" t="s">
        <v>53</v>
      </c>
      <c r="G397">
        <v>3</v>
      </c>
      <c r="H397">
        <v>4791.22</v>
      </c>
      <c r="I397">
        <v>0</v>
      </c>
      <c r="J397">
        <v>14373.66</v>
      </c>
      <c r="K397">
        <f t="shared" si="18"/>
        <v>14373.66</v>
      </c>
      <c r="L397">
        <f t="shared" si="19"/>
        <v>0</v>
      </c>
      <c r="M397">
        <f t="shared" si="20"/>
        <v>14373.66</v>
      </c>
      <c r="N397" t="s">
        <v>46</v>
      </c>
      <c r="O397" t="s">
        <v>29</v>
      </c>
      <c r="P397" t="s">
        <v>21</v>
      </c>
      <c r="Q397" t="s">
        <v>22</v>
      </c>
    </row>
    <row r="398" spans="1:17" x14ac:dyDescent="0.3">
      <c r="A398" t="s">
        <v>459</v>
      </c>
      <c r="B398" s="1">
        <v>45735</v>
      </c>
      <c r="C398" t="s">
        <v>36</v>
      </c>
      <c r="D398" t="s">
        <v>39</v>
      </c>
      <c r="E398" t="s">
        <v>17</v>
      </c>
      <c r="F398" t="s">
        <v>40</v>
      </c>
      <c r="G398">
        <v>3</v>
      </c>
      <c r="H398">
        <v>1129.26</v>
      </c>
      <c r="I398">
        <v>0.19</v>
      </c>
      <c r="J398">
        <v>2744.1</v>
      </c>
      <c r="K398">
        <f t="shared" si="18"/>
        <v>3387.7799999999997</v>
      </c>
      <c r="L398">
        <f t="shared" si="19"/>
        <v>643.67999999999984</v>
      </c>
      <c r="M398">
        <f t="shared" si="20"/>
        <v>2744.1</v>
      </c>
      <c r="N398" t="s">
        <v>33</v>
      </c>
      <c r="O398" t="s">
        <v>20</v>
      </c>
      <c r="P398" t="s">
        <v>21</v>
      </c>
      <c r="Q398" t="s">
        <v>22</v>
      </c>
    </row>
    <row r="399" spans="1:17" x14ac:dyDescent="0.3">
      <c r="A399" t="s">
        <v>460</v>
      </c>
      <c r="B399" s="1">
        <v>45711</v>
      </c>
      <c r="C399" t="s">
        <v>52</v>
      </c>
      <c r="D399" t="s">
        <v>16</v>
      </c>
      <c r="E399" t="s">
        <v>27</v>
      </c>
      <c r="F399" t="s">
        <v>68</v>
      </c>
      <c r="G399">
        <v>5</v>
      </c>
      <c r="H399">
        <v>4190.2700000000004</v>
      </c>
      <c r="I399">
        <v>0.05</v>
      </c>
      <c r="J399">
        <v>19903.78</v>
      </c>
      <c r="K399">
        <f t="shared" si="18"/>
        <v>20951.350000000002</v>
      </c>
      <c r="L399">
        <f t="shared" si="19"/>
        <v>1047.5700000000033</v>
      </c>
      <c r="M399">
        <f t="shared" si="20"/>
        <v>19903.78</v>
      </c>
      <c r="N399" t="s">
        <v>19</v>
      </c>
      <c r="O399" t="s">
        <v>20</v>
      </c>
      <c r="P399" t="s">
        <v>54</v>
      </c>
      <c r="Q399" t="s">
        <v>37</v>
      </c>
    </row>
    <row r="400" spans="1:17" x14ac:dyDescent="0.3">
      <c r="A400" t="s">
        <v>461</v>
      </c>
      <c r="B400" s="1">
        <v>45839</v>
      </c>
      <c r="C400" t="s">
        <v>36</v>
      </c>
      <c r="D400" t="s">
        <v>25</v>
      </c>
      <c r="E400" t="s">
        <v>27</v>
      </c>
      <c r="F400" t="s">
        <v>87</v>
      </c>
      <c r="G400">
        <v>1</v>
      </c>
      <c r="H400">
        <v>1328.37</v>
      </c>
      <c r="I400">
        <v>0.05</v>
      </c>
      <c r="J400">
        <v>1261.95</v>
      </c>
      <c r="K400">
        <f t="shared" si="18"/>
        <v>1328.37</v>
      </c>
      <c r="L400">
        <f t="shared" si="19"/>
        <v>66.419999999999845</v>
      </c>
      <c r="M400">
        <f t="shared" si="20"/>
        <v>1261.95</v>
      </c>
      <c r="N400" t="s">
        <v>58</v>
      </c>
      <c r="O400" t="s">
        <v>34</v>
      </c>
      <c r="P400" t="s">
        <v>21</v>
      </c>
      <c r="Q400" t="s">
        <v>59</v>
      </c>
    </row>
    <row r="401" spans="1:17" x14ac:dyDescent="0.3">
      <c r="A401" t="s">
        <v>462</v>
      </c>
      <c r="B401" s="1">
        <v>45812</v>
      </c>
      <c r="C401" t="s">
        <v>52</v>
      </c>
      <c r="D401" t="s">
        <v>25</v>
      </c>
      <c r="E401" t="s">
        <v>99</v>
      </c>
      <c r="F401" t="s">
        <v>100</v>
      </c>
      <c r="G401">
        <v>5</v>
      </c>
      <c r="H401">
        <v>442.06</v>
      </c>
      <c r="I401">
        <v>0.05</v>
      </c>
      <c r="J401">
        <v>2099.7800000000002</v>
      </c>
      <c r="K401">
        <f t="shared" si="18"/>
        <v>2210.3000000000002</v>
      </c>
      <c r="L401">
        <f t="shared" si="19"/>
        <v>110.51999999999998</v>
      </c>
      <c r="M401">
        <f t="shared" si="20"/>
        <v>2099.7800000000002</v>
      </c>
      <c r="N401" t="s">
        <v>58</v>
      </c>
      <c r="O401" t="s">
        <v>34</v>
      </c>
      <c r="P401" t="s">
        <v>30</v>
      </c>
      <c r="Q401" t="s">
        <v>22</v>
      </c>
    </row>
    <row r="402" spans="1:17" x14ac:dyDescent="0.3">
      <c r="A402" t="s">
        <v>463</v>
      </c>
      <c r="B402" s="1">
        <v>45812</v>
      </c>
      <c r="C402" t="s">
        <v>36</v>
      </c>
      <c r="D402" t="s">
        <v>43</v>
      </c>
      <c r="E402" t="s">
        <v>99</v>
      </c>
      <c r="F402" t="s">
        <v>100</v>
      </c>
      <c r="G402">
        <v>3</v>
      </c>
      <c r="H402">
        <v>4797.43</v>
      </c>
      <c r="I402">
        <v>0.04</v>
      </c>
      <c r="J402">
        <v>13816.6</v>
      </c>
      <c r="K402">
        <f t="shared" si="18"/>
        <v>14392.29</v>
      </c>
      <c r="L402">
        <f t="shared" si="19"/>
        <v>575.69000000000051</v>
      </c>
      <c r="M402">
        <f t="shared" si="20"/>
        <v>13816.6</v>
      </c>
      <c r="N402" t="s">
        <v>33</v>
      </c>
      <c r="O402" t="s">
        <v>34</v>
      </c>
      <c r="P402" t="s">
        <v>30</v>
      </c>
      <c r="Q402" t="s">
        <v>88</v>
      </c>
    </row>
    <row r="403" spans="1:17" x14ac:dyDescent="0.3">
      <c r="A403" t="s">
        <v>464</v>
      </c>
      <c r="B403" s="1">
        <v>45748</v>
      </c>
      <c r="C403" t="s">
        <v>15</v>
      </c>
      <c r="D403" t="s">
        <v>39</v>
      </c>
      <c r="E403" t="s">
        <v>49</v>
      </c>
      <c r="F403" t="s">
        <v>53</v>
      </c>
      <c r="G403">
        <v>3</v>
      </c>
      <c r="H403">
        <v>4401.6400000000003</v>
      </c>
      <c r="I403">
        <v>0.12</v>
      </c>
      <c r="J403">
        <v>11620.33</v>
      </c>
      <c r="K403">
        <f t="shared" si="18"/>
        <v>13204.920000000002</v>
      </c>
      <c r="L403">
        <f t="shared" si="19"/>
        <v>1584.590000000002</v>
      </c>
      <c r="M403">
        <f t="shared" si="20"/>
        <v>11620.33</v>
      </c>
      <c r="N403" t="s">
        <v>19</v>
      </c>
      <c r="O403" t="s">
        <v>29</v>
      </c>
      <c r="P403" t="s">
        <v>30</v>
      </c>
      <c r="Q403" t="s">
        <v>22</v>
      </c>
    </row>
    <row r="404" spans="1:17" x14ac:dyDescent="0.3">
      <c r="A404" t="s">
        <v>465</v>
      </c>
      <c r="B404" s="1">
        <v>45715</v>
      </c>
      <c r="C404" t="s">
        <v>36</v>
      </c>
      <c r="D404" t="s">
        <v>16</v>
      </c>
      <c r="E404" t="s">
        <v>17</v>
      </c>
      <c r="F404" t="s">
        <v>44</v>
      </c>
      <c r="G404">
        <v>2</v>
      </c>
      <c r="H404">
        <v>4467.3599999999997</v>
      </c>
      <c r="I404">
        <v>0.05</v>
      </c>
      <c r="J404">
        <v>8487.98</v>
      </c>
      <c r="K404">
        <f t="shared" si="18"/>
        <v>8934.7199999999993</v>
      </c>
      <c r="L404">
        <f t="shared" si="19"/>
        <v>446.73999999999978</v>
      </c>
      <c r="M404">
        <f t="shared" si="20"/>
        <v>8487.98</v>
      </c>
      <c r="N404" t="s">
        <v>58</v>
      </c>
      <c r="O404" t="s">
        <v>34</v>
      </c>
      <c r="P404" t="s">
        <v>21</v>
      </c>
      <c r="Q404" t="s">
        <v>22</v>
      </c>
    </row>
    <row r="405" spans="1:17" x14ac:dyDescent="0.3">
      <c r="A405" t="s">
        <v>466</v>
      </c>
      <c r="B405" s="1">
        <v>45742</v>
      </c>
      <c r="C405" t="s">
        <v>36</v>
      </c>
      <c r="D405" t="s">
        <v>25</v>
      </c>
      <c r="E405" t="s">
        <v>17</v>
      </c>
      <c r="F405" t="s">
        <v>18</v>
      </c>
      <c r="G405">
        <v>5</v>
      </c>
      <c r="H405">
        <v>1142.53</v>
      </c>
      <c r="I405">
        <v>0.01</v>
      </c>
      <c r="J405">
        <v>5655.52</v>
      </c>
      <c r="K405">
        <f t="shared" si="18"/>
        <v>5712.65</v>
      </c>
      <c r="L405">
        <f t="shared" si="19"/>
        <v>57.1299999999992</v>
      </c>
      <c r="M405">
        <f t="shared" si="20"/>
        <v>5655.52</v>
      </c>
      <c r="N405" t="s">
        <v>33</v>
      </c>
      <c r="O405" t="s">
        <v>34</v>
      </c>
      <c r="P405" t="s">
        <v>30</v>
      </c>
      <c r="Q405" t="s">
        <v>22</v>
      </c>
    </row>
    <row r="406" spans="1:17" x14ac:dyDescent="0.3">
      <c r="A406" t="s">
        <v>467</v>
      </c>
      <c r="B406" s="1">
        <v>45795</v>
      </c>
      <c r="C406" t="s">
        <v>48</v>
      </c>
      <c r="D406" t="s">
        <v>25</v>
      </c>
      <c r="E406" t="s">
        <v>61</v>
      </c>
      <c r="F406" t="s">
        <v>66</v>
      </c>
      <c r="G406">
        <v>3</v>
      </c>
      <c r="H406">
        <v>756.02</v>
      </c>
      <c r="I406">
        <v>0.13</v>
      </c>
      <c r="J406">
        <v>1973.21</v>
      </c>
      <c r="K406">
        <f t="shared" si="18"/>
        <v>2268.06</v>
      </c>
      <c r="L406">
        <f t="shared" si="19"/>
        <v>294.84999999999991</v>
      </c>
      <c r="M406">
        <f t="shared" si="20"/>
        <v>1973.21</v>
      </c>
      <c r="N406" t="s">
        <v>19</v>
      </c>
      <c r="O406" t="s">
        <v>29</v>
      </c>
      <c r="P406" t="s">
        <v>54</v>
      </c>
      <c r="Q406" t="s">
        <v>22</v>
      </c>
    </row>
    <row r="407" spans="1:17" x14ac:dyDescent="0.3">
      <c r="A407" t="s">
        <v>468</v>
      </c>
      <c r="B407" s="1">
        <v>45801</v>
      </c>
      <c r="C407" t="s">
        <v>36</v>
      </c>
      <c r="D407" t="s">
        <v>43</v>
      </c>
      <c r="E407" t="s">
        <v>17</v>
      </c>
      <c r="F407" t="s">
        <v>44</v>
      </c>
      <c r="G407">
        <v>2</v>
      </c>
      <c r="H407">
        <v>2286.48</v>
      </c>
      <c r="I407">
        <v>0.04</v>
      </c>
      <c r="J407">
        <v>4390.04</v>
      </c>
      <c r="K407">
        <f t="shared" si="18"/>
        <v>4572.96</v>
      </c>
      <c r="L407">
        <f t="shared" si="19"/>
        <v>182.92000000000007</v>
      </c>
      <c r="M407">
        <f t="shared" si="20"/>
        <v>4390.04</v>
      </c>
      <c r="N407" t="s">
        <v>19</v>
      </c>
      <c r="O407" t="s">
        <v>29</v>
      </c>
      <c r="P407" t="s">
        <v>21</v>
      </c>
      <c r="Q407" t="s">
        <v>22</v>
      </c>
    </row>
    <row r="408" spans="1:17" x14ac:dyDescent="0.3">
      <c r="A408" t="s">
        <v>469</v>
      </c>
      <c r="B408" s="1">
        <v>45812</v>
      </c>
      <c r="C408" t="s">
        <v>24</v>
      </c>
      <c r="D408" t="s">
        <v>43</v>
      </c>
      <c r="E408" t="s">
        <v>49</v>
      </c>
      <c r="F408" t="s">
        <v>53</v>
      </c>
      <c r="G408">
        <v>2</v>
      </c>
      <c r="H408">
        <v>408.02</v>
      </c>
      <c r="I408">
        <v>0.09</v>
      </c>
      <c r="J408">
        <v>742.6</v>
      </c>
      <c r="K408">
        <f t="shared" si="18"/>
        <v>816.04</v>
      </c>
      <c r="L408">
        <f t="shared" si="19"/>
        <v>73.439999999999941</v>
      </c>
      <c r="M408">
        <f t="shared" si="20"/>
        <v>742.6</v>
      </c>
      <c r="N408" t="s">
        <v>19</v>
      </c>
      <c r="O408" t="s">
        <v>34</v>
      </c>
      <c r="P408" t="s">
        <v>54</v>
      </c>
      <c r="Q408" t="s">
        <v>22</v>
      </c>
    </row>
    <row r="409" spans="1:17" x14ac:dyDescent="0.3">
      <c r="A409" t="s">
        <v>470</v>
      </c>
      <c r="B409" s="1">
        <v>45767</v>
      </c>
      <c r="C409" t="s">
        <v>48</v>
      </c>
      <c r="D409" t="s">
        <v>39</v>
      </c>
      <c r="E409" t="s">
        <v>99</v>
      </c>
      <c r="F409" t="s">
        <v>115</v>
      </c>
      <c r="G409">
        <v>1</v>
      </c>
      <c r="H409">
        <v>4904.8900000000003</v>
      </c>
      <c r="I409">
        <v>0.08</v>
      </c>
      <c r="J409">
        <v>4512.5</v>
      </c>
      <c r="K409">
        <f t="shared" si="18"/>
        <v>4904.8900000000003</v>
      </c>
      <c r="L409">
        <f t="shared" si="19"/>
        <v>392.39000000000033</v>
      </c>
      <c r="M409">
        <f t="shared" si="20"/>
        <v>4512.5</v>
      </c>
      <c r="N409" t="s">
        <v>41</v>
      </c>
      <c r="O409" t="s">
        <v>20</v>
      </c>
      <c r="P409" t="s">
        <v>21</v>
      </c>
      <c r="Q409" t="s">
        <v>88</v>
      </c>
    </row>
    <row r="410" spans="1:17" x14ac:dyDescent="0.3">
      <c r="A410" t="s">
        <v>471</v>
      </c>
      <c r="B410" s="1">
        <v>45788</v>
      </c>
      <c r="C410" t="s">
        <v>48</v>
      </c>
      <c r="D410" t="s">
        <v>39</v>
      </c>
      <c r="E410" t="s">
        <v>99</v>
      </c>
      <c r="F410" t="s">
        <v>100</v>
      </c>
      <c r="G410">
        <v>5</v>
      </c>
      <c r="H410">
        <v>3301.35</v>
      </c>
      <c r="I410">
        <v>0.21</v>
      </c>
      <c r="J410">
        <v>13040.33</v>
      </c>
      <c r="K410">
        <f t="shared" si="18"/>
        <v>16506.75</v>
      </c>
      <c r="L410">
        <f t="shared" si="19"/>
        <v>3466.42</v>
      </c>
      <c r="M410">
        <f t="shared" si="20"/>
        <v>13040.33</v>
      </c>
      <c r="N410" t="s">
        <v>41</v>
      </c>
      <c r="O410" t="s">
        <v>34</v>
      </c>
      <c r="P410" t="s">
        <v>21</v>
      </c>
      <c r="Q410" t="s">
        <v>22</v>
      </c>
    </row>
    <row r="411" spans="1:17" x14ac:dyDescent="0.3">
      <c r="A411" t="s">
        <v>472</v>
      </c>
      <c r="B411" s="1">
        <v>45799</v>
      </c>
      <c r="C411" t="s">
        <v>15</v>
      </c>
      <c r="D411" t="s">
        <v>25</v>
      </c>
      <c r="E411" t="s">
        <v>61</v>
      </c>
      <c r="F411" t="s">
        <v>92</v>
      </c>
      <c r="G411">
        <v>4</v>
      </c>
      <c r="H411">
        <v>4447.1400000000003</v>
      </c>
      <c r="I411">
        <v>0</v>
      </c>
      <c r="J411">
        <v>17788.560000000001</v>
      </c>
      <c r="K411">
        <f t="shared" si="18"/>
        <v>17788.560000000001</v>
      </c>
      <c r="L411">
        <f t="shared" si="19"/>
        <v>0</v>
      </c>
      <c r="M411">
        <f t="shared" si="20"/>
        <v>17788.560000000001</v>
      </c>
      <c r="N411" t="s">
        <v>46</v>
      </c>
      <c r="O411" t="s">
        <v>34</v>
      </c>
      <c r="P411" t="s">
        <v>54</v>
      </c>
      <c r="Q411" t="s">
        <v>22</v>
      </c>
    </row>
    <row r="412" spans="1:17" x14ac:dyDescent="0.3">
      <c r="A412" t="s">
        <v>473</v>
      </c>
      <c r="B412" s="1">
        <v>45754</v>
      </c>
      <c r="C412" t="s">
        <v>52</v>
      </c>
      <c r="D412" t="s">
        <v>43</v>
      </c>
      <c r="E412" t="s">
        <v>17</v>
      </c>
      <c r="F412" t="s">
        <v>32</v>
      </c>
      <c r="G412">
        <v>2</v>
      </c>
      <c r="H412">
        <v>1874.89</v>
      </c>
      <c r="I412">
        <v>0.18</v>
      </c>
      <c r="J412">
        <v>3074.82</v>
      </c>
      <c r="K412">
        <f t="shared" si="18"/>
        <v>3749.78</v>
      </c>
      <c r="L412">
        <f t="shared" si="19"/>
        <v>674.96</v>
      </c>
      <c r="M412">
        <f t="shared" si="20"/>
        <v>3074.82</v>
      </c>
      <c r="N412" t="s">
        <v>19</v>
      </c>
      <c r="O412" t="s">
        <v>20</v>
      </c>
      <c r="P412" t="s">
        <v>54</v>
      </c>
      <c r="Q412" t="s">
        <v>22</v>
      </c>
    </row>
    <row r="413" spans="1:17" x14ac:dyDescent="0.3">
      <c r="A413" t="s">
        <v>474</v>
      </c>
      <c r="B413" s="1">
        <v>45690</v>
      </c>
      <c r="C413" t="s">
        <v>48</v>
      </c>
      <c r="D413" t="s">
        <v>16</v>
      </c>
      <c r="E413" t="s">
        <v>99</v>
      </c>
      <c r="F413" t="s">
        <v>120</v>
      </c>
      <c r="G413">
        <v>2</v>
      </c>
      <c r="H413">
        <v>2994.88</v>
      </c>
      <c r="I413">
        <v>0.16</v>
      </c>
      <c r="J413">
        <v>5031.3999999999996</v>
      </c>
      <c r="K413">
        <f t="shared" si="18"/>
        <v>5989.76</v>
      </c>
      <c r="L413">
        <f t="shared" si="19"/>
        <v>958.36000000000058</v>
      </c>
      <c r="M413">
        <f t="shared" si="20"/>
        <v>5031.3999999999996</v>
      </c>
      <c r="N413" t="s">
        <v>41</v>
      </c>
      <c r="O413" t="s">
        <v>34</v>
      </c>
      <c r="P413" t="s">
        <v>30</v>
      </c>
      <c r="Q413" t="s">
        <v>22</v>
      </c>
    </row>
    <row r="414" spans="1:17" x14ac:dyDescent="0.3">
      <c r="A414" t="s">
        <v>475</v>
      </c>
      <c r="B414" s="1">
        <v>45696</v>
      </c>
      <c r="C414" t="s">
        <v>52</v>
      </c>
      <c r="D414" t="s">
        <v>25</v>
      </c>
      <c r="E414" t="s">
        <v>61</v>
      </c>
      <c r="F414" t="s">
        <v>75</v>
      </c>
      <c r="G414">
        <v>5</v>
      </c>
      <c r="H414">
        <v>819.64</v>
      </c>
      <c r="I414">
        <v>0.04</v>
      </c>
      <c r="J414">
        <v>3934.27</v>
      </c>
      <c r="K414">
        <f t="shared" si="18"/>
        <v>4098.2</v>
      </c>
      <c r="L414">
        <f t="shared" si="19"/>
        <v>163.92999999999984</v>
      </c>
      <c r="M414">
        <f t="shared" si="20"/>
        <v>3934.27</v>
      </c>
      <c r="N414" t="s">
        <v>33</v>
      </c>
      <c r="O414" t="s">
        <v>20</v>
      </c>
      <c r="P414" t="s">
        <v>54</v>
      </c>
      <c r="Q414" t="s">
        <v>22</v>
      </c>
    </row>
    <row r="415" spans="1:17" x14ac:dyDescent="0.3">
      <c r="A415" t="s">
        <v>476</v>
      </c>
      <c r="B415" s="1">
        <v>45717</v>
      </c>
      <c r="C415" t="s">
        <v>15</v>
      </c>
      <c r="D415" t="s">
        <v>43</v>
      </c>
      <c r="E415" t="s">
        <v>27</v>
      </c>
      <c r="F415" t="s">
        <v>79</v>
      </c>
      <c r="G415">
        <v>4</v>
      </c>
      <c r="H415">
        <v>3071.98</v>
      </c>
      <c r="I415">
        <v>0.12</v>
      </c>
      <c r="J415">
        <v>10813.37</v>
      </c>
      <c r="K415">
        <f t="shared" si="18"/>
        <v>12287.92</v>
      </c>
      <c r="L415">
        <f t="shared" si="19"/>
        <v>1474.5499999999993</v>
      </c>
      <c r="M415">
        <f t="shared" si="20"/>
        <v>10813.37</v>
      </c>
      <c r="N415" t="s">
        <v>58</v>
      </c>
      <c r="O415" t="s">
        <v>20</v>
      </c>
      <c r="P415" t="s">
        <v>30</v>
      </c>
      <c r="Q415" t="s">
        <v>22</v>
      </c>
    </row>
    <row r="416" spans="1:17" x14ac:dyDescent="0.3">
      <c r="A416" t="s">
        <v>477</v>
      </c>
      <c r="B416" s="1">
        <v>45702</v>
      </c>
      <c r="C416" t="s">
        <v>36</v>
      </c>
      <c r="D416" t="s">
        <v>25</v>
      </c>
      <c r="E416" t="s">
        <v>49</v>
      </c>
      <c r="F416" t="s">
        <v>73</v>
      </c>
      <c r="G416">
        <v>5</v>
      </c>
      <c r="H416">
        <v>1396.15</v>
      </c>
      <c r="I416">
        <v>0.18</v>
      </c>
      <c r="J416">
        <v>5724.22</v>
      </c>
      <c r="K416">
        <f t="shared" si="18"/>
        <v>6980.75</v>
      </c>
      <c r="L416">
        <f t="shared" si="19"/>
        <v>1256.5299999999997</v>
      </c>
      <c r="M416">
        <f t="shared" si="20"/>
        <v>5724.22</v>
      </c>
      <c r="N416" t="s">
        <v>19</v>
      </c>
      <c r="O416" t="s">
        <v>29</v>
      </c>
      <c r="P416" t="s">
        <v>30</v>
      </c>
      <c r="Q416" t="s">
        <v>22</v>
      </c>
    </row>
    <row r="417" spans="1:17" x14ac:dyDescent="0.3">
      <c r="A417" t="s">
        <v>478</v>
      </c>
      <c r="B417" s="1">
        <v>45671</v>
      </c>
      <c r="C417" t="s">
        <v>48</v>
      </c>
      <c r="D417" t="s">
        <v>25</v>
      </c>
      <c r="E417" t="s">
        <v>17</v>
      </c>
      <c r="F417" t="s">
        <v>44</v>
      </c>
      <c r="G417">
        <v>1</v>
      </c>
      <c r="H417">
        <v>181.16</v>
      </c>
      <c r="I417">
        <v>0.13</v>
      </c>
      <c r="J417">
        <v>157.61000000000001</v>
      </c>
      <c r="K417">
        <f t="shared" si="18"/>
        <v>181.16</v>
      </c>
      <c r="L417">
        <f t="shared" si="19"/>
        <v>23.549999999999983</v>
      </c>
      <c r="M417">
        <f t="shared" si="20"/>
        <v>157.61000000000001</v>
      </c>
      <c r="N417" t="s">
        <v>41</v>
      </c>
      <c r="O417" t="s">
        <v>20</v>
      </c>
      <c r="P417" t="s">
        <v>21</v>
      </c>
      <c r="Q417" t="s">
        <v>88</v>
      </c>
    </row>
    <row r="418" spans="1:17" x14ac:dyDescent="0.3">
      <c r="A418" t="s">
        <v>479</v>
      </c>
      <c r="B418" s="1">
        <v>45772</v>
      </c>
      <c r="C418" t="s">
        <v>52</v>
      </c>
      <c r="D418" t="s">
        <v>16</v>
      </c>
      <c r="E418" t="s">
        <v>27</v>
      </c>
      <c r="F418" t="s">
        <v>79</v>
      </c>
      <c r="G418">
        <v>5</v>
      </c>
      <c r="H418">
        <v>291.27999999999997</v>
      </c>
      <c r="I418">
        <v>0.2</v>
      </c>
      <c r="J418">
        <v>1165.1199999999999</v>
      </c>
      <c r="K418">
        <f t="shared" si="18"/>
        <v>1456.3999999999999</v>
      </c>
      <c r="L418">
        <f t="shared" si="19"/>
        <v>291.27999999999997</v>
      </c>
      <c r="M418">
        <f t="shared" si="20"/>
        <v>1165.1199999999999</v>
      </c>
      <c r="N418" t="s">
        <v>41</v>
      </c>
      <c r="O418" t="s">
        <v>29</v>
      </c>
      <c r="P418" t="s">
        <v>21</v>
      </c>
      <c r="Q418" t="s">
        <v>22</v>
      </c>
    </row>
    <row r="419" spans="1:17" x14ac:dyDescent="0.3">
      <c r="A419" t="s">
        <v>480</v>
      </c>
      <c r="B419" s="1">
        <v>45802</v>
      </c>
      <c r="C419" t="s">
        <v>48</v>
      </c>
      <c r="D419" t="s">
        <v>43</v>
      </c>
      <c r="E419" t="s">
        <v>61</v>
      </c>
      <c r="F419" t="s">
        <v>62</v>
      </c>
      <c r="G419">
        <v>3</v>
      </c>
      <c r="H419">
        <v>4386.6400000000003</v>
      </c>
      <c r="I419">
        <v>0.17</v>
      </c>
      <c r="J419">
        <v>10922.73</v>
      </c>
      <c r="K419">
        <f t="shared" si="18"/>
        <v>13159.920000000002</v>
      </c>
      <c r="L419">
        <f t="shared" si="19"/>
        <v>2237.1900000000023</v>
      </c>
      <c r="M419">
        <f t="shared" si="20"/>
        <v>10922.73</v>
      </c>
      <c r="N419" t="s">
        <v>33</v>
      </c>
      <c r="O419" t="s">
        <v>34</v>
      </c>
      <c r="P419" t="s">
        <v>30</v>
      </c>
      <c r="Q419" t="s">
        <v>37</v>
      </c>
    </row>
    <row r="420" spans="1:17" x14ac:dyDescent="0.3">
      <c r="A420" t="s">
        <v>481</v>
      </c>
      <c r="B420" s="1">
        <v>45765</v>
      </c>
      <c r="C420" t="s">
        <v>15</v>
      </c>
      <c r="D420" t="s">
        <v>43</v>
      </c>
      <c r="E420" t="s">
        <v>49</v>
      </c>
      <c r="F420" t="s">
        <v>50</v>
      </c>
      <c r="G420">
        <v>5</v>
      </c>
      <c r="H420">
        <v>578.80999999999995</v>
      </c>
      <c r="I420">
        <v>0.03</v>
      </c>
      <c r="J420">
        <v>2807.23</v>
      </c>
      <c r="K420">
        <f t="shared" si="18"/>
        <v>2894.0499999999997</v>
      </c>
      <c r="L420">
        <f t="shared" si="19"/>
        <v>86.819999999999709</v>
      </c>
      <c r="M420">
        <f t="shared" si="20"/>
        <v>2807.23</v>
      </c>
      <c r="N420" t="s">
        <v>33</v>
      </c>
      <c r="O420" t="s">
        <v>29</v>
      </c>
      <c r="P420" t="s">
        <v>30</v>
      </c>
      <c r="Q420" t="s">
        <v>37</v>
      </c>
    </row>
    <row r="421" spans="1:17" x14ac:dyDescent="0.3">
      <c r="A421" t="s">
        <v>482</v>
      </c>
      <c r="B421" s="1">
        <v>45671</v>
      </c>
      <c r="C421" t="s">
        <v>36</v>
      </c>
      <c r="D421" t="s">
        <v>16</v>
      </c>
      <c r="E421" t="s">
        <v>17</v>
      </c>
      <c r="F421" t="s">
        <v>32</v>
      </c>
      <c r="G421">
        <v>3</v>
      </c>
      <c r="H421">
        <v>1026.2</v>
      </c>
      <c r="I421">
        <v>0.18</v>
      </c>
      <c r="J421">
        <v>2524.4499999999998</v>
      </c>
      <c r="K421">
        <f t="shared" si="18"/>
        <v>3078.6000000000004</v>
      </c>
      <c r="L421">
        <f t="shared" si="19"/>
        <v>554.15000000000055</v>
      </c>
      <c r="M421">
        <f t="shared" si="20"/>
        <v>2524.4499999999998</v>
      </c>
      <c r="N421" t="s">
        <v>33</v>
      </c>
      <c r="O421" t="s">
        <v>34</v>
      </c>
      <c r="P421" t="s">
        <v>54</v>
      </c>
      <c r="Q421" t="s">
        <v>22</v>
      </c>
    </row>
    <row r="422" spans="1:17" x14ac:dyDescent="0.3">
      <c r="A422" t="s">
        <v>483</v>
      </c>
      <c r="B422" s="1">
        <v>45805</v>
      </c>
      <c r="C422" t="s">
        <v>15</v>
      </c>
      <c r="D422" t="s">
        <v>39</v>
      </c>
      <c r="E422" t="s">
        <v>49</v>
      </c>
      <c r="F422" t="s">
        <v>73</v>
      </c>
      <c r="G422">
        <v>1</v>
      </c>
      <c r="H422">
        <v>858.42</v>
      </c>
      <c r="I422">
        <v>0.16</v>
      </c>
      <c r="J422">
        <v>721.07</v>
      </c>
      <c r="K422">
        <f t="shared" si="18"/>
        <v>858.42</v>
      </c>
      <c r="L422">
        <f t="shared" si="19"/>
        <v>137.34999999999991</v>
      </c>
      <c r="M422">
        <f t="shared" si="20"/>
        <v>721.07</v>
      </c>
      <c r="N422" t="s">
        <v>41</v>
      </c>
      <c r="O422" t="s">
        <v>34</v>
      </c>
      <c r="P422" t="s">
        <v>30</v>
      </c>
      <c r="Q422" t="s">
        <v>37</v>
      </c>
    </row>
    <row r="423" spans="1:17" x14ac:dyDescent="0.3">
      <c r="A423" t="s">
        <v>484</v>
      </c>
      <c r="B423" s="1">
        <v>45720</v>
      </c>
      <c r="C423" t="s">
        <v>36</v>
      </c>
      <c r="D423" t="s">
        <v>25</v>
      </c>
      <c r="E423" t="s">
        <v>49</v>
      </c>
      <c r="F423" t="s">
        <v>53</v>
      </c>
      <c r="G423">
        <v>4</v>
      </c>
      <c r="H423">
        <v>3799.36</v>
      </c>
      <c r="I423">
        <v>0.1</v>
      </c>
      <c r="J423">
        <v>13677.7</v>
      </c>
      <c r="K423">
        <f t="shared" si="18"/>
        <v>15197.44</v>
      </c>
      <c r="L423">
        <f t="shared" si="19"/>
        <v>1519.7399999999998</v>
      </c>
      <c r="M423">
        <f t="shared" si="20"/>
        <v>13677.7</v>
      </c>
      <c r="N423" t="s">
        <v>46</v>
      </c>
      <c r="O423" t="s">
        <v>29</v>
      </c>
      <c r="P423" t="s">
        <v>21</v>
      </c>
      <c r="Q423" t="s">
        <v>22</v>
      </c>
    </row>
    <row r="424" spans="1:17" x14ac:dyDescent="0.3">
      <c r="A424" t="s">
        <v>485</v>
      </c>
      <c r="B424" s="1">
        <v>45671</v>
      </c>
      <c r="C424" t="s">
        <v>15</v>
      </c>
      <c r="D424" t="s">
        <v>16</v>
      </c>
      <c r="E424" t="s">
        <v>27</v>
      </c>
      <c r="F424" t="s">
        <v>87</v>
      </c>
      <c r="G424">
        <v>3</v>
      </c>
      <c r="H424">
        <v>3893.55</v>
      </c>
      <c r="I424">
        <v>0.1</v>
      </c>
      <c r="J424">
        <v>10512.59</v>
      </c>
      <c r="K424">
        <f t="shared" si="18"/>
        <v>11680.650000000001</v>
      </c>
      <c r="L424">
        <f t="shared" si="19"/>
        <v>1168.0600000000013</v>
      </c>
      <c r="M424">
        <f t="shared" si="20"/>
        <v>10512.59</v>
      </c>
      <c r="N424" t="s">
        <v>46</v>
      </c>
      <c r="O424" t="s">
        <v>29</v>
      </c>
      <c r="P424" t="s">
        <v>54</v>
      </c>
      <c r="Q424" t="s">
        <v>22</v>
      </c>
    </row>
    <row r="425" spans="1:17" x14ac:dyDescent="0.3">
      <c r="A425" t="s">
        <v>486</v>
      </c>
      <c r="B425" s="1">
        <v>45669</v>
      </c>
      <c r="C425" t="s">
        <v>24</v>
      </c>
      <c r="D425" t="s">
        <v>16</v>
      </c>
      <c r="E425" t="s">
        <v>49</v>
      </c>
      <c r="F425" t="s">
        <v>73</v>
      </c>
      <c r="G425">
        <v>4</v>
      </c>
      <c r="H425">
        <v>3951.8</v>
      </c>
      <c r="I425">
        <v>0.2</v>
      </c>
      <c r="J425">
        <v>12645.76</v>
      </c>
      <c r="K425">
        <f t="shared" si="18"/>
        <v>15807.2</v>
      </c>
      <c r="L425">
        <f t="shared" si="19"/>
        <v>3161.4400000000005</v>
      </c>
      <c r="M425">
        <f t="shared" si="20"/>
        <v>12645.76</v>
      </c>
      <c r="N425" t="s">
        <v>19</v>
      </c>
      <c r="O425" t="s">
        <v>29</v>
      </c>
      <c r="P425" t="s">
        <v>21</v>
      </c>
      <c r="Q425" t="s">
        <v>22</v>
      </c>
    </row>
    <row r="426" spans="1:17" x14ac:dyDescent="0.3">
      <c r="A426" t="s">
        <v>487</v>
      </c>
      <c r="B426" s="1">
        <v>45773</v>
      </c>
      <c r="C426" t="s">
        <v>52</v>
      </c>
      <c r="D426" t="s">
        <v>16</v>
      </c>
      <c r="E426" t="s">
        <v>17</v>
      </c>
      <c r="F426" t="s">
        <v>18</v>
      </c>
      <c r="G426">
        <v>4</v>
      </c>
      <c r="H426">
        <v>531.89</v>
      </c>
      <c r="I426">
        <v>7.0000000000000007E-2</v>
      </c>
      <c r="J426">
        <v>1978.63</v>
      </c>
      <c r="K426">
        <f t="shared" si="18"/>
        <v>2127.56</v>
      </c>
      <c r="L426">
        <f t="shared" si="19"/>
        <v>148.92999999999984</v>
      </c>
      <c r="M426">
        <f t="shared" si="20"/>
        <v>1978.63</v>
      </c>
      <c r="N426" t="s">
        <v>41</v>
      </c>
      <c r="O426" t="s">
        <v>29</v>
      </c>
      <c r="P426" t="s">
        <v>30</v>
      </c>
      <c r="Q426" t="s">
        <v>22</v>
      </c>
    </row>
    <row r="427" spans="1:17" x14ac:dyDescent="0.3">
      <c r="A427" t="s">
        <v>488</v>
      </c>
      <c r="B427" s="1">
        <v>45752</v>
      </c>
      <c r="C427" t="s">
        <v>36</v>
      </c>
      <c r="D427" t="s">
        <v>25</v>
      </c>
      <c r="E427" t="s">
        <v>49</v>
      </c>
      <c r="F427" t="s">
        <v>50</v>
      </c>
      <c r="G427">
        <v>5</v>
      </c>
      <c r="H427">
        <v>381.57</v>
      </c>
      <c r="I427">
        <v>0.19</v>
      </c>
      <c r="J427">
        <v>1545.36</v>
      </c>
      <c r="K427">
        <f t="shared" si="18"/>
        <v>1907.85</v>
      </c>
      <c r="L427">
        <f t="shared" si="19"/>
        <v>362.49</v>
      </c>
      <c r="M427">
        <f t="shared" si="20"/>
        <v>1545.36</v>
      </c>
      <c r="N427" t="s">
        <v>33</v>
      </c>
      <c r="O427" t="s">
        <v>34</v>
      </c>
      <c r="P427" t="s">
        <v>54</v>
      </c>
      <c r="Q427" t="s">
        <v>22</v>
      </c>
    </row>
    <row r="428" spans="1:17" x14ac:dyDescent="0.3">
      <c r="A428" t="s">
        <v>489</v>
      </c>
      <c r="B428" s="1">
        <v>45757</v>
      </c>
      <c r="C428" t="s">
        <v>52</v>
      </c>
      <c r="D428" t="s">
        <v>16</v>
      </c>
      <c r="E428" t="s">
        <v>61</v>
      </c>
      <c r="F428" t="s">
        <v>66</v>
      </c>
      <c r="G428">
        <v>5</v>
      </c>
      <c r="H428">
        <v>2627.49</v>
      </c>
      <c r="I428">
        <v>0.06</v>
      </c>
      <c r="J428">
        <v>12349.2</v>
      </c>
      <c r="K428">
        <f t="shared" si="18"/>
        <v>13137.449999999999</v>
      </c>
      <c r="L428">
        <f t="shared" si="19"/>
        <v>788.24999999999818</v>
      </c>
      <c r="M428">
        <f t="shared" si="20"/>
        <v>12349.2</v>
      </c>
      <c r="N428" t="s">
        <v>58</v>
      </c>
      <c r="O428" t="s">
        <v>29</v>
      </c>
      <c r="P428" t="s">
        <v>54</v>
      </c>
      <c r="Q428" t="s">
        <v>22</v>
      </c>
    </row>
    <row r="429" spans="1:17" x14ac:dyDescent="0.3">
      <c r="A429" t="s">
        <v>490</v>
      </c>
      <c r="B429" s="1">
        <v>45838</v>
      </c>
      <c r="C429" t="s">
        <v>24</v>
      </c>
      <c r="D429" t="s">
        <v>16</v>
      </c>
      <c r="E429" t="s">
        <v>17</v>
      </c>
      <c r="F429" t="s">
        <v>44</v>
      </c>
      <c r="G429">
        <v>3</v>
      </c>
      <c r="H429">
        <v>3381.34</v>
      </c>
      <c r="I429">
        <v>0.1</v>
      </c>
      <c r="J429">
        <v>9129.6200000000008</v>
      </c>
      <c r="K429">
        <f t="shared" si="18"/>
        <v>10144.02</v>
      </c>
      <c r="L429">
        <f t="shared" si="19"/>
        <v>1014.3999999999996</v>
      </c>
      <c r="M429">
        <f t="shared" si="20"/>
        <v>9129.6200000000008</v>
      </c>
      <c r="N429" t="s">
        <v>46</v>
      </c>
      <c r="O429" t="s">
        <v>34</v>
      </c>
      <c r="P429" t="s">
        <v>54</v>
      </c>
      <c r="Q429" t="s">
        <v>22</v>
      </c>
    </row>
    <row r="430" spans="1:17" x14ac:dyDescent="0.3">
      <c r="A430" t="s">
        <v>491</v>
      </c>
      <c r="B430" s="1">
        <v>45825</v>
      </c>
      <c r="C430" t="s">
        <v>36</v>
      </c>
      <c r="D430" t="s">
        <v>43</v>
      </c>
      <c r="E430" t="s">
        <v>17</v>
      </c>
      <c r="F430" t="s">
        <v>18</v>
      </c>
      <c r="G430">
        <v>5</v>
      </c>
      <c r="H430">
        <v>4583.54</v>
      </c>
      <c r="I430">
        <v>0.09</v>
      </c>
      <c r="J430">
        <v>20855.11</v>
      </c>
      <c r="K430">
        <f t="shared" si="18"/>
        <v>22917.7</v>
      </c>
      <c r="L430">
        <f t="shared" si="19"/>
        <v>2062.59</v>
      </c>
      <c r="M430">
        <f t="shared" si="20"/>
        <v>20855.11</v>
      </c>
      <c r="N430" t="s">
        <v>46</v>
      </c>
      <c r="O430" t="s">
        <v>29</v>
      </c>
      <c r="P430" t="s">
        <v>30</v>
      </c>
      <c r="Q430" t="s">
        <v>22</v>
      </c>
    </row>
    <row r="431" spans="1:17" x14ac:dyDescent="0.3">
      <c r="A431" t="s">
        <v>492</v>
      </c>
      <c r="B431" s="1">
        <v>45763</v>
      </c>
      <c r="C431" t="s">
        <v>48</v>
      </c>
      <c r="D431" t="s">
        <v>16</v>
      </c>
      <c r="E431" t="s">
        <v>61</v>
      </c>
      <c r="F431" t="s">
        <v>92</v>
      </c>
      <c r="G431">
        <v>3</v>
      </c>
      <c r="H431">
        <v>957.67</v>
      </c>
      <c r="I431">
        <v>0.13</v>
      </c>
      <c r="J431">
        <v>2499.52</v>
      </c>
      <c r="K431">
        <f t="shared" si="18"/>
        <v>2873.0099999999998</v>
      </c>
      <c r="L431">
        <f t="shared" si="19"/>
        <v>373.48999999999978</v>
      </c>
      <c r="M431">
        <f t="shared" si="20"/>
        <v>2499.52</v>
      </c>
      <c r="N431" t="s">
        <v>33</v>
      </c>
      <c r="O431" t="s">
        <v>20</v>
      </c>
      <c r="P431" t="s">
        <v>21</v>
      </c>
      <c r="Q431" t="s">
        <v>22</v>
      </c>
    </row>
    <row r="432" spans="1:17" x14ac:dyDescent="0.3">
      <c r="A432" t="s">
        <v>493</v>
      </c>
      <c r="B432" s="1">
        <v>45690</v>
      </c>
      <c r="C432" t="s">
        <v>36</v>
      </c>
      <c r="D432" t="s">
        <v>25</v>
      </c>
      <c r="E432" t="s">
        <v>99</v>
      </c>
      <c r="F432" t="s">
        <v>120</v>
      </c>
      <c r="G432">
        <v>5</v>
      </c>
      <c r="H432">
        <v>1325.69</v>
      </c>
      <c r="I432">
        <v>0.11</v>
      </c>
      <c r="J432">
        <v>5899.32</v>
      </c>
      <c r="K432">
        <f t="shared" si="18"/>
        <v>6628.4500000000007</v>
      </c>
      <c r="L432">
        <f t="shared" si="19"/>
        <v>729.13000000000102</v>
      </c>
      <c r="M432">
        <f t="shared" si="20"/>
        <v>5899.32</v>
      </c>
      <c r="N432" t="s">
        <v>46</v>
      </c>
      <c r="O432" t="s">
        <v>29</v>
      </c>
      <c r="P432" t="s">
        <v>30</v>
      </c>
      <c r="Q432" t="s">
        <v>88</v>
      </c>
    </row>
    <row r="433" spans="1:17" x14ac:dyDescent="0.3">
      <c r="A433" t="s">
        <v>494</v>
      </c>
      <c r="B433" s="1">
        <v>45671</v>
      </c>
      <c r="C433" t="s">
        <v>48</v>
      </c>
      <c r="D433" t="s">
        <v>43</v>
      </c>
      <c r="E433" t="s">
        <v>99</v>
      </c>
      <c r="F433" t="s">
        <v>115</v>
      </c>
      <c r="G433">
        <v>4</v>
      </c>
      <c r="H433">
        <v>669.71</v>
      </c>
      <c r="I433">
        <v>0.02</v>
      </c>
      <c r="J433">
        <v>2625.26</v>
      </c>
      <c r="K433">
        <f t="shared" si="18"/>
        <v>2678.84</v>
      </c>
      <c r="L433">
        <f t="shared" si="19"/>
        <v>53.579999999999927</v>
      </c>
      <c r="M433">
        <f t="shared" si="20"/>
        <v>2625.26</v>
      </c>
      <c r="N433" t="s">
        <v>33</v>
      </c>
      <c r="O433" t="s">
        <v>20</v>
      </c>
      <c r="P433" t="s">
        <v>21</v>
      </c>
      <c r="Q433" t="s">
        <v>22</v>
      </c>
    </row>
    <row r="434" spans="1:17" x14ac:dyDescent="0.3">
      <c r="A434" t="s">
        <v>495</v>
      </c>
      <c r="B434" s="1">
        <v>45758</v>
      </c>
      <c r="C434" t="s">
        <v>48</v>
      </c>
      <c r="D434" t="s">
        <v>39</v>
      </c>
      <c r="E434" t="s">
        <v>61</v>
      </c>
      <c r="F434" t="s">
        <v>66</v>
      </c>
      <c r="G434">
        <v>5</v>
      </c>
      <c r="H434">
        <v>147.63999999999999</v>
      </c>
      <c r="I434">
        <v>0.21</v>
      </c>
      <c r="J434">
        <v>583.17999999999995</v>
      </c>
      <c r="K434">
        <f t="shared" si="18"/>
        <v>738.19999999999993</v>
      </c>
      <c r="L434">
        <f t="shared" si="19"/>
        <v>155.01999999999998</v>
      </c>
      <c r="M434">
        <f t="shared" si="20"/>
        <v>583.17999999999995</v>
      </c>
      <c r="N434" t="s">
        <v>46</v>
      </c>
      <c r="O434" t="s">
        <v>29</v>
      </c>
      <c r="P434" t="s">
        <v>54</v>
      </c>
      <c r="Q434" t="s">
        <v>22</v>
      </c>
    </row>
    <row r="435" spans="1:17" x14ac:dyDescent="0.3">
      <c r="A435" t="s">
        <v>496</v>
      </c>
      <c r="B435" s="1">
        <v>45675</v>
      </c>
      <c r="C435" t="s">
        <v>36</v>
      </c>
      <c r="D435" t="s">
        <v>43</v>
      </c>
      <c r="E435" t="s">
        <v>99</v>
      </c>
      <c r="F435" t="s">
        <v>120</v>
      </c>
      <c r="G435">
        <v>3</v>
      </c>
      <c r="H435">
        <v>1832.34</v>
      </c>
      <c r="I435">
        <v>0.22</v>
      </c>
      <c r="J435">
        <v>4287.68</v>
      </c>
      <c r="K435">
        <f t="shared" si="18"/>
        <v>5497.0199999999995</v>
      </c>
      <c r="L435">
        <f t="shared" si="19"/>
        <v>1209.3399999999992</v>
      </c>
      <c r="M435">
        <f t="shared" si="20"/>
        <v>4287.68</v>
      </c>
      <c r="N435" t="s">
        <v>19</v>
      </c>
      <c r="O435" t="s">
        <v>34</v>
      </c>
      <c r="P435" t="s">
        <v>30</v>
      </c>
      <c r="Q435" t="s">
        <v>37</v>
      </c>
    </row>
    <row r="436" spans="1:17" x14ac:dyDescent="0.3">
      <c r="A436" t="s">
        <v>497</v>
      </c>
      <c r="B436" s="1">
        <v>45825</v>
      </c>
      <c r="C436" t="s">
        <v>52</v>
      </c>
      <c r="D436" t="s">
        <v>43</v>
      </c>
      <c r="E436" t="s">
        <v>61</v>
      </c>
      <c r="F436" t="s">
        <v>92</v>
      </c>
      <c r="G436">
        <v>2</v>
      </c>
      <c r="H436">
        <v>4376.4399999999996</v>
      </c>
      <c r="I436">
        <v>0.05</v>
      </c>
      <c r="J436">
        <v>8315.24</v>
      </c>
      <c r="K436">
        <f t="shared" si="18"/>
        <v>8752.8799999999992</v>
      </c>
      <c r="L436">
        <f t="shared" si="19"/>
        <v>437.63999999999942</v>
      </c>
      <c r="M436">
        <f t="shared" si="20"/>
        <v>8315.24</v>
      </c>
      <c r="N436" t="s">
        <v>19</v>
      </c>
      <c r="O436" t="s">
        <v>29</v>
      </c>
      <c r="P436" t="s">
        <v>54</v>
      </c>
      <c r="Q436" t="s">
        <v>88</v>
      </c>
    </row>
    <row r="437" spans="1:17" x14ac:dyDescent="0.3">
      <c r="A437" t="s">
        <v>498</v>
      </c>
      <c r="B437" s="1">
        <v>45696</v>
      </c>
      <c r="C437" t="s">
        <v>24</v>
      </c>
      <c r="D437" t="s">
        <v>16</v>
      </c>
      <c r="E437" t="s">
        <v>99</v>
      </c>
      <c r="F437" t="s">
        <v>100</v>
      </c>
      <c r="G437">
        <v>4</v>
      </c>
      <c r="H437">
        <v>3107.75</v>
      </c>
      <c r="I437">
        <v>0.19</v>
      </c>
      <c r="J437">
        <v>10069.11</v>
      </c>
      <c r="K437">
        <f t="shared" si="18"/>
        <v>12431</v>
      </c>
      <c r="L437">
        <f t="shared" si="19"/>
        <v>2361.8899999999994</v>
      </c>
      <c r="M437">
        <f t="shared" si="20"/>
        <v>10069.11</v>
      </c>
      <c r="N437" t="s">
        <v>58</v>
      </c>
      <c r="O437" t="s">
        <v>20</v>
      </c>
      <c r="P437" t="s">
        <v>21</v>
      </c>
      <c r="Q437" t="s">
        <v>88</v>
      </c>
    </row>
    <row r="438" spans="1:17" x14ac:dyDescent="0.3">
      <c r="A438" t="s">
        <v>499</v>
      </c>
      <c r="B438" s="1">
        <v>45673</v>
      </c>
      <c r="C438" t="s">
        <v>48</v>
      </c>
      <c r="D438" t="s">
        <v>39</v>
      </c>
      <c r="E438" t="s">
        <v>99</v>
      </c>
      <c r="F438" t="s">
        <v>111</v>
      </c>
      <c r="G438">
        <v>4</v>
      </c>
      <c r="H438">
        <v>996.07</v>
      </c>
      <c r="I438">
        <v>0.19</v>
      </c>
      <c r="J438">
        <v>3227.27</v>
      </c>
      <c r="K438">
        <f t="shared" si="18"/>
        <v>3984.28</v>
      </c>
      <c r="L438">
        <f t="shared" si="19"/>
        <v>757.01000000000022</v>
      </c>
      <c r="M438">
        <f t="shared" si="20"/>
        <v>3227.27</v>
      </c>
      <c r="N438" t="s">
        <v>33</v>
      </c>
      <c r="O438" t="s">
        <v>34</v>
      </c>
      <c r="P438" t="s">
        <v>21</v>
      </c>
      <c r="Q438" t="s">
        <v>22</v>
      </c>
    </row>
    <row r="439" spans="1:17" x14ac:dyDescent="0.3">
      <c r="A439" t="s">
        <v>500</v>
      </c>
      <c r="B439" s="1">
        <v>45775</v>
      </c>
      <c r="C439" t="s">
        <v>24</v>
      </c>
      <c r="D439" t="s">
        <v>25</v>
      </c>
      <c r="E439" t="s">
        <v>27</v>
      </c>
      <c r="F439" t="s">
        <v>68</v>
      </c>
      <c r="G439">
        <v>4</v>
      </c>
      <c r="H439">
        <v>4704.3100000000004</v>
      </c>
      <c r="I439">
        <v>0.01</v>
      </c>
      <c r="J439">
        <v>18629.07</v>
      </c>
      <c r="K439">
        <f t="shared" si="18"/>
        <v>18817.240000000002</v>
      </c>
      <c r="L439">
        <f t="shared" si="19"/>
        <v>188.17000000000189</v>
      </c>
      <c r="M439">
        <f t="shared" si="20"/>
        <v>18629.07</v>
      </c>
      <c r="N439" t="s">
        <v>33</v>
      </c>
      <c r="O439" t="s">
        <v>34</v>
      </c>
      <c r="P439" t="s">
        <v>30</v>
      </c>
      <c r="Q439" t="s">
        <v>37</v>
      </c>
    </row>
    <row r="440" spans="1:17" x14ac:dyDescent="0.3">
      <c r="A440" t="s">
        <v>501</v>
      </c>
      <c r="B440" s="1">
        <v>45673</v>
      </c>
      <c r="C440" t="s">
        <v>24</v>
      </c>
      <c r="D440" t="s">
        <v>25</v>
      </c>
      <c r="E440" t="s">
        <v>61</v>
      </c>
      <c r="F440" t="s">
        <v>92</v>
      </c>
      <c r="G440">
        <v>3</v>
      </c>
      <c r="H440">
        <v>3477.13</v>
      </c>
      <c r="I440">
        <v>0</v>
      </c>
      <c r="J440">
        <v>10431.39</v>
      </c>
      <c r="K440">
        <f t="shared" si="18"/>
        <v>10431.39</v>
      </c>
      <c r="L440">
        <f t="shared" si="19"/>
        <v>0</v>
      </c>
      <c r="M440">
        <f t="shared" si="20"/>
        <v>10431.39</v>
      </c>
      <c r="N440" t="s">
        <v>33</v>
      </c>
      <c r="O440" t="s">
        <v>34</v>
      </c>
      <c r="P440" t="s">
        <v>54</v>
      </c>
      <c r="Q440" t="s">
        <v>22</v>
      </c>
    </row>
    <row r="441" spans="1:17" x14ac:dyDescent="0.3">
      <c r="A441" t="s">
        <v>502</v>
      </c>
      <c r="B441" s="1">
        <v>45791</v>
      </c>
      <c r="C441" t="s">
        <v>36</v>
      </c>
      <c r="D441" t="s">
        <v>39</v>
      </c>
      <c r="E441" t="s">
        <v>99</v>
      </c>
      <c r="F441" t="s">
        <v>111</v>
      </c>
      <c r="G441">
        <v>5</v>
      </c>
      <c r="H441">
        <v>1387.96</v>
      </c>
      <c r="I441">
        <v>7.0000000000000007E-2</v>
      </c>
      <c r="J441">
        <v>6454.01</v>
      </c>
      <c r="K441">
        <f t="shared" si="18"/>
        <v>6939.8</v>
      </c>
      <c r="L441">
        <f t="shared" si="19"/>
        <v>485.78999999999996</v>
      </c>
      <c r="M441">
        <f t="shared" si="20"/>
        <v>6454.01</v>
      </c>
      <c r="N441" t="s">
        <v>46</v>
      </c>
      <c r="O441" t="s">
        <v>20</v>
      </c>
      <c r="P441" t="s">
        <v>21</v>
      </c>
      <c r="Q441" t="s">
        <v>22</v>
      </c>
    </row>
    <row r="442" spans="1:17" x14ac:dyDescent="0.3">
      <c r="A442" t="s">
        <v>503</v>
      </c>
      <c r="B442" s="1">
        <v>45827</v>
      </c>
      <c r="C442" t="s">
        <v>52</v>
      </c>
      <c r="D442" t="s">
        <v>43</v>
      </c>
      <c r="E442" t="s">
        <v>49</v>
      </c>
      <c r="F442" t="s">
        <v>50</v>
      </c>
      <c r="G442">
        <v>3</v>
      </c>
      <c r="H442">
        <v>1888.88</v>
      </c>
      <c r="I442">
        <v>0.1</v>
      </c>
      <c r="J442">
        <v>5099.9799999999996</v>
      </c>
      <c r="K442">
        <f t="shared" si="18"/>
        <v>5666.64</v>
      </c>
      <c r="L442">
        <f t="shared" si="19"/>
        <v>566.66000000000076</v>
      </c>
      <c r="M442">
        <f t="shared" si="20"/>
        <v>5099.9799999999996</v>
      </c>
      <c r="N442" t="s">
        <v>41</v>
      </c>
      <c r="O442" t="s">
        <v>29</v>
      </c>
      <c r="P442" t="s">
        <v>30</v>
      </c>
      <c r="Q442" t="s">
        <v>22</v>
      </c>
    </row>
    <row r="443" spans="1:17" x14ac:dyDescent="0.3">
      <c r="A443" t="s">
        <v>504</v>
      </c>
      <c r="B443" s="1">
        <v>45705</v>
      </c>
      <c r="C443" t="s">
        <v>24</v>
      </c>
      <c r="D443" t="s">
        <v>43</v>
      </c>
      <c r="E443" t="s">
        <v>27</v>
      </c>
      <c r="F443" t="s">
        <v>68</v>
      </c>
      <c r="G443">
        <v>5</v>
      </c>
      <c r="H443">
        <v>2217.87</v>
      </c>
      <c r="I443">
        <v>0.1</v>
      </c>
      <c r="J443">
        <v>9980.41</v>
      </c>
      <c r="K443">
        <f t="shared" si="18"/>
        <v>11089.349999999999</v>
      </c>
      <c r="L443">
        <f t="shared" si="19"/>
        <v>1108.9399999999987</v>
      </c>
      <c r="M443">
        <f t="shared" si="20"/>
        <v>9980.41</v>
      </c>
      <c r="N443" t="s">
        <v>46</v>
      </c>
      <c r="O443" t="s">
        <v>20</v>
      </c>
      <c r="P443" t="s">
        <v>54</v>
      </c>
      <c r="Q443" t="s">
        <v>22</v>
      </c>
    </row>
    <row r="444" spans="1:17" x14ac:dyDescent="0.3">
      <c r="A444" t="s">
        <v>505</v>
      </c>
      <c r="B444" s="1">
        <v>45738</v>
      </c>
      <c r="C444" t="s">
        <v>48</v>
      </c>
      <c r="D444" t="s">
        <v>39</v>
      </c>
      <c r="E444" t="s">
        <v>17</v>
      </c>
      <c r="F444" t="s">
        <v>44</v>
      </c>
      <c r="G444">
        <v>5</v>
      </c>
      <c r="H444">
        <v>2716.51</v>
      </c>
      <c r="I444">
        <v>0.08</v>
      </c>
      <c r="J444">
        <v>12495.95</v>
      </c>
      <c r="K444">
        <f t="shared" si="18"/>
        <v>13582.550000000001</v>
      </c>
      <c r="L444">
        <f t="shared" si="19"/>
        <v>1086.6000000000004</v>
      </c>
      <c r="M444">
        <f t="shared" si="20"/>
        <v>12495.95</v>
      </c>
      <c r="N444" t="s">
        <v>41</v>
      </c>
      <c r="O444" t="s">
        <v>20</v>
      </c>
      <c r="P444" t="s">
        <v>30</v>
      </c>
      <c r="Q444" t="s">
        <v>22</v>
      </c>
    </row>
    <row r="445" spans="1:17" x14ac:dyDescent="0.3">
      <c r="A445" t="s">
        <v>506</v>
      </c>
      <c r="B445" s="1">
        <v>45683</v>
      </c>
      <c r="C445" t="s">
        <v>48</v>
      </c>
      <c r="D445" t="s">
        <v>16</v>
      </c>
      <c r="E445" t="s">
        <v>27</v>
      </c>
      <c r="F445" t="s">
        <v>79</v>
      </c>
      <c r="G445">
        <v>2</v>
      </c>
      <c r="H445">
        <v>394.18</v>
      </c>
      <c r="I445">
        <v>0.2</v>
      </c>
      <c r="J445">
        <v>630.69000000000005</v>
      </c>
      <c r="K445">
        <f t="shared" si="18"/>
        <v>788.36</v>
      </c>
      <c r="L445">
        <f t="shared" si="19"/>
        <v>157.66999999999996</v>
      </c>
      <c r="M445">
        <f t="shared" si="20"/>
        <v>630.69000000000005</v>
      </c>
      <c r="N445" t="s">
        <v>58</v>
      </c>
      <c r="O445" t="s">
        <v>29</v>
      </c>
      <c r="P445" t="s">
        <v>30</v>
      </c>
      <c r="Q445" t="s">
        <v>22</v>
      </c>
    </row>
    <row r="446" spans="1:17" x14ac:dyDescent="0.3">
      <c r="A446" t="s">
        <v>507</v>
      </c>
      <c r="B446" s="1">
        <v>45842</v>
      </c>
      <c r="C446" t="s">
        <v>15</v>
      </c>
      <c r="D446" t="s">
        <v>25</v>
      </c>
      <c r="E446" t="s">
        <v>99</v>
      </c>
      <c r="F446" t="s">
        <v>111</v>
      </c>
      <c r="G446">
        <v>5</v>
      </c>
      <c r="H446">
        <v>4666.04</v>
      </c>
      <c r="I446">
        <v>0.06</v>
      </c>
      <c r="J446">
        <v>21930.39</v>
      </c>
      <c r="K446">
        <f t="shared" si="18"/>
        <v>23330.2</v>
      </c>
      <c r="L446">
        <f t="shared" si="19"/>
        <v>1399.8100000000013</v>
      </c>
      <c r="M446">
        <f t="shared" si="20"/>
        <v>21930.39</v>
      </c>
      <c r="N446" t="s">
        <v>46</v>
      </c>
      <c r="O446" t="s">
        <v>29</v>
      </c>
      <c r="P446" t="s">
        <v>54</v>
      </c>
      <c r="Q446" t="s">
        <v>22</v>
      </c>
    </row>
    <row r="447" spans="1:17" x14ac:dyDescent="0.3">
      <c r="A447" t="s">
        <v>508</v>
      </c>
      <c r="B447" s="1">
        <v>45832</v>
      </c>
      <c r="C447" t="s">
        <v>36</v>
      </c>
      <c r="D447" t="s">
        <v>39</v>
      </c>
      <c r="E447" t="s">
        <v>27</v>
      </c>
      <c r="F447" t="s">
        <v>68</v>
      </c>
      <c r="G447">
        <v>5</v>
      </c>
      <c r="H447">
        <v>955.24</v>
      </c>
      <c r="I447">
        <v>0.2</v>
      </c>
      <c r="J447">
        <v>3820.96</v>
      </c>
      <c r="K447">
        <f t="shared" si="18"/>
        <v>4776.2</v>
      </c>
      <c r="L447">
        <f t="shared" si="19"/>
        <v>955.23999999999978</v>
      </c>
      <c r="M447">
        <f t="shared" si="20"/>
        <v>3820.96</v>
      </c>
      <c r="N447" t="s">
        <v>33</v>
      </c>
      <c r="O447" t="s">
        <v>29</v>
      </c>
      <c r="P447" t="s">
        <v>30</v>
      </c>
      <c r="Q447" t="s">
        <v>22</v>
      </c>
    </row>
    <row r="448" spans="1:17" x14ac:dyDescent="0.3">
      <c r="A448" t="s">
        <v>509</v>
      </c>
      <c r="B448" s="1">
        <v>45770</v>
      </c>
      <c r="C448" t="s">
        <v>24</v>
      </c>
      <c r="D448" t="s">
        <v>39</v>
      </c>
      <c r="E448" t="s">
        <v>49</v>
      </c>
      <c r="F448" t="s">
        <v>50</v>
      </c>
      <c r="G448">
        <v>3</v>
      </c>
      <c r="H448">
        <v>2372.39</v>
      </c>
      <c r="I448">
        <v>0.24</v>
      </c>
      <c r="J448">
        <v>5409.05</v>
      </c>
      <c r="K448">
        <f t="shared" si="18"/>
        <v>7117.17</v>
      </c>
      <c r="L448">
        <f t="shared" si="19"/>
        <v>1708.12</v>
      </c>
      <c r="M448">
        <f t="shared" si="20"/>
        <v>5409.05</v>
      </c>
      <c r="N448" t="s">
        <v>41</v>
      </c>
      <c r="O448" t="s">
        <v>29</v>
      </c>
      <c r="P448" t="s">
        <v>54</v>
      </c>
      <c r="Q448" t="s">
        <v>22</v>
      </c>
    </row>
    <row r="449" spans="1:17" x14ac:dyDescent="0.3">
      <c r="A449" t="s">
        <v>510</v>
      </c>
      <c r="B449" s="1">
        <v>45707</v>
      </c>
      <c r="C449" t="s">
        <v>24</v>
      </c>
      <c r="D449" t="s">
        <v>39</v>
      </c>
      <c r="E449" t="s">
        <v>27</v>
      </c>
      <c r="F449" t="s">
        <v>87</v>
      </c>
      <c r="G449">
        <v>3</v>
      </c>
      <c r="H449">
        <v>1218.27</v>
      </c>
      <c r="I449">
        <v>0.08</v>
      </c>
      <c r="J449">
        <v>3362.43</v>
      </c>
      <c r="K449">
        <f t="shared" si="18"/>
        <v>3654.81</v>
      </c>
      <c r="L449">
        <f t="shared" si="19"/>
        <v>292.38000000000011</v>
      </c>
      <c r="M449">
        <f t="shared" si="20"/>
        <v>3362.43</v>
      </c>
      <c r="N449" t="s">
        <v>58</v>
      </c>
      <c r="O449" t="s">
        <v>20</v>
      </c>
      <c r="P449" t="s">
        <v>30</v>
      </c>
      <c r="Q449" t="s">
        <v>22</v>
      </c>
    </row>
    <row r="450" spans="1:17" x14ac:dyDescent="0.3">
      <c r="A450" t="s">
        <v>511</v>
      </c>
      <c r="B450" s="1">
        <v>45772</v>
      </c>
      <c r="C450" t="s">
        <v>48</v>
      </c>
      <c r="D450" t="s">
        <v>43</v>
      </c>
      <c r="E450" t="s">
        <v>49</v>
      </c>
      <c r="F450" t="s">
        <v>53</v>
      </c>
      <c r="G450">
        <v>5</v>
      </c>
      <c r="H450">
        <v>2652.58</v>
      </c>
      <c r="I450">
        <v>0.11</v>
      </c>
      <c r="J450">
        <v>11803.98</v>
      </c>
      <c r="K450">
        <f t="shared" si="18"/>
        <v>13262.9</v>
      </c>
      <c r="L450">
        <f t="shared" si="19"/>
        <v>1458.92</v>
      </c>
      <c r="M450">
        <f t="shared" si="20"/>
        <v>11803.98</v>
      </c>
      <c r="N450" t="s">
        <v>46</v>
      </c>
      <c r="O450" t="s">
        <v>29</v>
      </c>
      <c r="P450" t="s">
        <v>54</v>
      </c>
      <c r="Q450" t="s">
        <v>37</v>
      </c>
    </row>
    <row r="451" spans="1:17" x14ac:dyDescent="0.3">
      <c r="A451" t="s">
        <v>512</v>
      </c>
      <c r="B451" s="1">
        <v>45775</v>
      </c>
      <c r="C451" t="s">
        <v>15</v>
      </c>
      <c r="D451" t="s">
        <v>16</v>
      </c>
      <c r="E451" t="s">
        <v>61</v>
      </c>
      <c r="F451" t="s">
        <v>75</v>
      </c>
      <c r="G451">
        <v>2</v>
      </c>
      <c r="H451">
        <v>2045.52</v>
      </c>
      <c r="I451">
        <v>0.02</v>
      </c>
      <c r="J451">
        <v>4009.22</v>
      </c>
      <c r="K451">
        <f t="shared" ref="K451:K514" si="21">G451*H451</f>
        <v>4091.04</v>
      </c>
      <c r="L451">
        <f t="shared" ref="L451:L514" si="22">K451-J451</f>
        <v>81.820000000000164</v>
      </c>
      <c r="M451">
        <f t="shared" ref="M451:M514" si="23">K451-L451</f>
        <v>4009.22</v>
      </c>
      <c r="N451" t="s">
        <v>58</v>
      </c>
      <c r="O451" t="s">
        <v>20</v>
      </c>
      <c r="P451" t="s">
        <v>30</v>
      </c>
      <c r="Q451" t="s">
        <v>22</v>
      </c>
    </row>
    <row r="452" spans="1:17" x14ac:dyDescent="0.3">
      <c r="A452" t="s">
        <v>513</v>
      </c>
      <c r="B452" s="1">
        <v>45667</v>
      </c>
      <c r="C452" t="s">
        <v>24</v>
      </c>
      <c r="D452" t="s">
        <v>39</v>
      </c>
      <c r="E452" t="s">
        <v>49</v>
      </c>
      <c r="F452" t="s">
        <v>56</v>
      </c>
      <c r="G452">
        <v>2</v>
      </c>
      <c r="H452">
        <v>513.13</v>
      </c>
      <c r="I452">
        <v>0.23</v>
      </c>
      <c r="J452">
        <v>790.22</v>
      </c>
      <c r="K452">
        <f t="shared" si="21"/>
        <v>1026.26</v>
      </c>
      <c r="L452">
        <f t="shared" si="22"/>
        <v>236.03999999999996</v>
      </c>
      <c r="M452">
        <f t="shared" si="23"/>
        <v>790.22</v>
      </c>
      <c r="N452" t="s">
        <v>46</v>
      </c>
      <c r="O452" t="s">
        <v>29</v>
      </c>
      <c r="P452" t="s">
        <v>30</v>
      </c>
      <c r="Q452" t="s">
        <v>22</v>
      </c>
    </row>
    <row r="453" spans="1:17" x14ac:dyDescent="0.3">
      <c r="A453" t="s">
        <v>514</v>
      </c>
      <c r="B453" s="1">
        <v>45780</v>
      </c>
      <c r="C453" t="s">
        <v>52</v>
      </c>
      <c r="D453" t="s">
        <v>25</v>
      </c>
      <c r="E453" t="s">
        <v>99</v>
      </c>
      <c r="F453" t="s">
        <v>115</v>
      </c>
      <c r="G453">
        <v>2</v>
      </c>
      <c r="H453">
        <v>240</v>
      </c>
      <c r="I453">
        <v>0.17</v>
      </c>
      <c r="J453">
        <v>398.4</v>
      </c>
      <c r="K453">
        <f t="shared" si="21"/>
        <v>480</v>
      </c>
      <c r="L453">
        <f t="shared" si="22"/>
        <v>81.600000000000023</v>
      </c>
      <c r="M453">
        <f t="shared" si="23"/>
        <v>398.4</v>
      </c>
      <c r="N453" t="s">
        <v>19</v>
      </c>
      <c r="O453" t="s">
        <v>29</v>
      </c>
      <c r="P453" t="s">
        <v>30</v>
      </c>
      <c r="Q453" t="s">
        <v>22</v>
      </c>
    </row>
    <row r="454" spans="1:17" x14ac:dyDescent="0.3">
      <c r="A454" t="s">
        <v>515</v>
      </c>
      <c r="B454" s="1">
        <v>45675</v>
      </c>
      <c r="C454" t="s">
        <v>36</v>
      </c>
      <c r="D454" t="s">
        <v>25</v>
      </c>
      <c r="E454" t="s">
        <v>27</v>
      </c>
      <c r="F454" t="s">
        <v>28</v>
      </c>
      <c r="G454">
        <v>5</v>
      </c>
      <c r="H454">
        <v>967.48</v>
      </c>
      <c r="I454">
        <v>0.15</v>
      </c>
      <c r="J454">
        <v>4111.79</v>
      </c>
      <c r="K454">
        <f t="shared" si="21"/>
        <v>4837.3999999999996</v>
      </c>
      <c r="L454">
        <f t="shared" si="22"/>
        <v>725.60999999999967</v>
      </c>
      <c r="M454">
        <f t="shared" si="23"/>
        <v>4111.79</v>
      </c>
      <c r="N454" t="s">
        <v>41</v>
      </c>
      <c r="O454" t="s">
        <v>20</v>
      </c>
      <c r="P454" t="s">
        <v>21</v>
      </c>
      <c r="Q454" t="s">
        <v>22</v>
      </c>
    </row>
    <row r="455" spans="1:17" x14ac:dyDescent="0.3">
      <c r="A455" t="s">
        <v>516</v>
      </c>
      <c r="B455" s="1">
        <v>45741</v>
      </c>
      <c r="C455" t="s">
        <v>15</v>
      </c>
      <c r="D455" t="s">
        <v>25</v>
      </c>
      <c r="E455" t="s">
        <v>27</v>
      </c>
      <c r="F455" t="s">
        <v>28</v>
      </c>
      <c r="G455">
        <v>2</v>
      </c>
      <c r="H455">
        <v>4043.07</v>
      </c>
      <c r="I455">
        <v>0.11</v>
      </c>
      <c r="J455">
        <v>7196.66</v>
      </c>
      <c r="K455">
        <f t="shared" si="21"/>
        <v>8086.14</v>
      </c>
      <c r="L455">
        <f t="shared" si="22"/>
        <v>889.48000000000047</v>
      </c>
      <c r="M455">
        <f t="shared" si="23"/>
        <v>7196.66</v>
      </c>
      <c r="N455" t="s">
        <v>41</v>
      </c>
      <c r="O455" t="s">
        <v>29</v>
      </c>
      <c r="P455" t="s">
        <v>30</v>
      </c>
      <c r="Q455" t="s">
        <v>22</v>
      </c>
    </row>
    <row r="456" spans="1:17" x14ac:dyDescent="0.3">
      <c r="A456" t="s">
        <v>517</v>
      </c>
      <c r="B456" s="1">
        <v>45787</v>
      </c>
      <c r="C456" t="s">
        <v>24</v>
      </c>
      <c r="D456" t="s">
        <v>25</v>
      </c>
      <c r="E456" t="s">
        <v>99</v>
      </c>
      <c r="F456" t="s">
        <v>120</v>
      </c>
      <c r="G456">
        <v>3</v>
      </c>
      <c r="H456">
        <v>1505.14</v>
      </c>
      <c r="I456">
        <v>0.13</v>
      </c>
      <c r="J456">
        <v>3928.42</v>
      </c>
      <c r="K456">
        <f t="shared" si="21"/>
        <v>4515.42</v>
      </c>
      <c r="L456">
        <f t="shared" si="22"/>
        <v>587</v>
      </c>
      <c r="M456">
        <f t="shared" si="23"/>
        <v>3928.42</v>
      </c>
      <c r="N456" t="s">
        <v>33</v>
      </c>
      <c r="O456" t="s">
        <v>20</v>
      </c>
      <c r="P456" t="s">
        <v>21</v>
      </c>
      <c r="Q456" t="s">
        <v>37</v>
      </c>
    </row>
    <row r="457" spans="1:17" x14ac:dyDescent="0.3">
      <c r="A457" t="s">
        <v>518</v>
      </c>
      <c r="B457" s="1">
        <v>45773</v>
      </c>
      <c r="C457" t="s">
        <v>24</v>
      </c>
      <c r="D457" t="s">
        <v>43</v>
      </c>
      <c r="E457" t="s">
        <v>49</v>
      </c>
      <c r="F457" t="s">
        <v>53</v>
      </c>
      <c r="G457">
        <v>5</v>
      </c>
      <c r="H457">
        <v>1232.96</v>
      </c>
      <c r="I457">
        <v>0</v>
      </c>
      <c r="J457">
        <v>6164.8</v>
      </c>
      <c r="K457">
        <f t="shared" si="21"/>
        <v>6164.8</v>
      </c>
      <c r="L457">
        <f t="shared" si="22"/>
        <v>0</v>
      </c>
      <c r="M457">
        <f t="shared" si="23"/>
        <v>6164.8</v>
      </c>
      <c r="N457" t="s">
        <v>41</v>
      </c>
      <c r="O457" t="s">
        <v>34</v>
      </c>
      <c r="P457" t="s">
        <v>30</v>
      </c>
      <c r="Q457" t="s">
        <v>22</v>
      </c>
    </row>
    <row r="458" spans="1:17" x14ac:dyDescent="0.3">
      <c r="A458" t="s">
        <v>519</v>
      </c>
      <c r="B458" s="1">
        <v>45769</v>
      </c>
      <c r="C458" t="s">
        <v>48</v>
      </c>
      <c r="D458" t="s">
        <v>25</v>
      </c>
      <c r="E458" t="s">
        <v>27</v>
      </c>
      <c r="F458" t="s">
        <v>87</v>
      </c>
      <c r="G458">
        <v>4</v>
      </c>
      <c r="H458">
        <v>4159.29</v>
      </c>
      <c r="I458">
        <v>0.06</v>
      </c>
      <c r="J458">
        <v>15638.93</v>
      </c>
      <c r="K458">
        <f t="shared" si="21"/>
        <v>16637.16</v>
      </c>
      <c r="L458">
        <f t="shared" si="22"/>
        <v>998.22999999999956</v>
      </c>
      <c r="M458">
        <f t="shared" si="23"/>
        <v>15638.93</v>
      </c>
      <c r="N458" t="s">
        <v>19</v>
      </c>
      <c r="O458" t="s">
        <v>20</v>
      </c>
      <c r="P458" t="s">
        <v>54</v>
      </c>
      <c r="Q458" t="s">
        <v>22</v>
      </c>
    </row>
    <row r="459" spans="1:17" x14ac:dyDescent="0.3">
      <c r="A459" t="s">
        <v>520</v>
      </c>
      <c r="B459" s="1">
        <v>45761</v>
      </c>
      <c r="C459" t="s">
        <v>15</v>
      </c>
      <c r="D459" t="s">
        <v>39</v>
      </c>
      <c r="E459" t="s">
        <v>27</v>
      </c>
      <c r="F459" t="s">
        <v>28</v>
      </c>
      <c r="G459">
        <v>4</v>
      </c>
      <c r="H459">
        <v>1021.2</v>
      </c>
      <c r="I459">
        <v>0.02</v>
      </c>
      <c r="J459">
        <v>4003.1</v>
      </c>
      <c r="K459">
        <f t="shared" si="21"/>
        <v>4084.8</v>
      </c>
      <c r="L459">
        <f t="shared" si="22"/>
        <v>81.700000000000273</v>
      </c>
      <c r="M459">
        <f t="shared" si="23"/>
        <v>4003.1</v>
      </c>
      <c r="N459" t="s">
        <v>33</v>
      </c>
      <c r="O459" t="s">
        <v>34</v>
      </c>
      <c r="P459" t="s">
        <v>54</v>
      </c>
      <c r="Q459" t="s">
        <v>22</v>
      </c>
    </row>
    <row r="460" spans="1:17" x14ac:dyDescent="0.3">
      <c r="A460" t="s">
        <v>521</v>
      </c>
      <c r="B460" s="1">
        <v>45721</v>
      </c>
      <c r="C460" t="s">
        <v>15</v>
      </c>
      <c r="D460" t="s">
        <v>16</v>
      </c>
      <c r="E460" t="s">
        <v>49</v>
      </c>
      <c r="F460" t="s">
        <v>50</v>
      </c>
      <c r="G460">
        <v>2</v>
      </c>
      <c r="H460">
        <v>1671.15</v>
      </c>
      <c r="I460">
        <v>0.04</v>
      </c>
      <c r="J460">
        <v>3208.61</v>
      </c>
      <c r="K460">
        <f t="shared" si="21"/>
        <v>3342.3</v>
      </c>
      <c r="L460">
        <f t="shared" si="22"/>
        <v>133.69000000000005</v>
      </c>
      <c r="M460">
        <f t="shared" si="23"/>
        <v>3208.61</v>
      </c>
      <c r="N460" t="s">
        <v>33</v>
      </c>
      <c r="O460" t="s">
        <v>34</v>
      </c>
      <c r="P460" t="s">
        <v>21</v>
      </c>
      <c r="Q460" t="s">
        <v>22</v>
      </c>
    </row>
    <row r="461" spans="1:17" x14ac:dyDescent="0.3">
      <c r="A461" t="s">
        <v>522</v>
      </c>
      <c r="B461" s="1">
        <v>45841</v>
      </c>
      <c r="C461" t="s">
        <v>15</v>
      </c>
      <c r="D461" t="s">
        <v>16</v>
      </c>
      <c r="E461" t="s">
        <v>17</v>
      </c>
      <c r="F461" t="s">
        <v>32</v>
      </c>
      <c r="G461">
        <v>4</v>
      </c>
      <c r="H461">
        <v>3662.82</v>
      </c>
      <c r="I461">
        <v>0.06</v>
      </c>
      <c r="J461">
        <v>13772.2</v>
      </c>
      <c r="K461">
        <f t="shared" si="21"/>
        <v>14651.28</v>
      </c>
      <c r="L461">
        <f t="shared" si="22"/>
        <v>879.07999999999993</v>
      </c>
      <c r="M461">
        <f t="shared" si="23"/>
        <v>13772.2</v>
      </c>
      <c r="N461" t="s">
        <v>19</v>
      </c>
      <c r="O461" t="s">
        <v>29</v>
      </c>
      <c r="P461" t="s">
        <v>54</v>
      </c>
      <c r="Q461" t="s">
        <v>22</v>
      </c>
    </row>
    <row r="462" spans="1:17" x14ac:dyDescent="0.3">
      <c r="A462" t="s">
        <v>523</v>
      </c>
      <c r="B462" s="1">
        <v>45710</v>
      </c>
      <c r="C462" t="s">
        <v>15</v>
      </c>
      <c r="D462" t="s">
        <v>43</v>
      </c>
      <c r="E462" t="s">
        <v>99</v>
      </c>
      <c r="F462" t="s">
        <v>115</v>
      </c>
      <c r="G462">
        <v>4</v>
      </c>
      <c r="H462">
        <v>3514.98</v>
      </c>
      <c r="I462">
        <v>0.01</v>
      </c>
      <c r="J462">
        <v>13919.32</v>
      </c>
      <c r="K462">
        <f t="shared" si="21"/>
        <v>14059.92</v>
      </c>
      <c r="L462">
        <f t="shared" si="22"/>
        <v>140.60000000000036</v>
      </c>
      <c r="M462">
        <f t="shared" si="23"/>
        <v>13919.32</v>
      </c>
      <c r="N462" t="s">
        <v>41</v>
      </c>
      <c r="O462" t="s">
        <v>34</v>
      </c>
      <c r="P462" t="s">
        <v>54</v>
      </c>
      <c r="Q462" t="s">
        <v>22</v>
      </c>
    </row>
    <row r="463" spans="1:17" x14ac:dyDescent="0.3">
      <c r="A463" t="s">
        <v>524</v>
      </c>
      <c r="B463" s="1">
        <v>45699</v>
      </c>
      <c r="C463" t="s">
        <v>36</v>
      </c>
      <c r="D463" t="s">
        <v>16</v>
      </c>
      <c r="E463" t="s">
        <v>49</v>
      </c>
      <c r="F463" t="s">
        <v>56</v>
      </c>
      <c r="G463">
        <v>2</v>
      </c>
      <c r="H463">
        <v>4488.92</v>
      </c>
      <c r="I463">
        <v>0.06</v>
      </c>
      <c r="J463">
        <v>8439.17</v>
      </c>
      <c r="K463">
        <f t="shared" si="21"/>
        <v>8977.84</v>
      </c>
      <c r="L463">
        <f t="shared" si="22"/>
        <v>538.67000000000007</v>
      </c>
      <c r="M463">
        <f t="shared" si="23"/>
        <v>8439.17</v>
      </c>
      <c r="N463" t="s">
        <v>41</v>
      </c>
      <c r="O463" t="s">
        <v>20</v>
      </c>
      <c r="P463" t="s">
        <v>30</v>
      </c>
      <c r="Q463" t="s">
        <v>22</v>
      </c>
    </row>
    <row r="464" spans="1:17" x14ac:dyDescent="0.3">
      <c r="A464" t="s">
        <v>525</v>
      </c>
      <c r="B464" s="1">
        <v>45790</v>
      </c>
      <c r="C464" t="s">
        <v>48</v>
      </c>
      <c r="D464" t="s">
        <v>43</v>
      </c>
      <c r="E464" t="s">
        <v>61</v>
      </c>
      <c r="F464" t="s">
        <v>92</v>
      </c>
      <c r="G464">
        <v>1</v>
      </c>
      <c r="H464">
        <v>1075.98</v>
      </c>
      <c r="I464">
        <v>0.18</v>
      </c>
      <c r="J464">
        <v>882.3</v>
      </c>
      <c r="K464">
        <f t="shared" si="21"/>
        <v>1075.98</v>
      </c>
      <c r="L464">
        <f t="shared" si="22"/>
        <v>193.68000000000006</v>
      </c>
      <c r="M464">
        <f t="shared" si="23"/>
        <v>882.3</v>
      </c>
      <c r="N464" t="s">
        <v>19</v>
      </c>
      <c r="O464" t="s">
        <v>29</v>
      </c>
      <c r="P464" t="s">
        <v>54</v>
      </c>
      <c r="Q464" t="s">
        <v>22</v>
      </c>
    </row>
    <row r="465" spans="1:17" x14ac:dyDescent="0.3">
      <c r="A465" t="s">
        <v>526</v>
      </c>
      <c r="B465" s="1">
        <v>45799</v>
      </c>
      <c r="C465" t="s">
        <v>52</v>
      </c>
      <c r="D465" t="s">
        <v>39</v>
      </c>
      <c r="E465" t="s">
        <v>99</v>
      </c>
      <c r="F465" t="s">
        <v>111</v>
      </c>
      <c r="G465">
        <v>5</v>
      </c>
      <c r="H465">
        <v>2652.54</v>
      </c>
      <c r="I465">
        <v>0.06</v>
      </c>
      <c r="J465">
        <v>12466.94</v>
      </c>
      <c r="K465">
        <f t="shared" si="21"/>
        <v>13262.7</v>
      </c>
      <c r="L465">
        <f t="shared" si="22"/>
        <v>795.76000000000022</v>
      </c>
      <c r="M465">
        <f t="shared" si="23"/>
        <v>12466.94</v>
      </c>
      <c r="N465" t="s">
        <v>58</v>
      </c>
      <c r="O465" t="s">
        <v>29</v>
      </c>
      <c r="P465" t="s">
        <v>21</v>
      </c>
      <c r="Q465" t="s">
        <v>22</v>
      </c>
    </row>
    <row r="466" spans="1:17" x14ac:dyDescent="0.3">
      <c r="A466" t="s">
        <v>527</v>
      </c>
      <c r="B466" s="1">
        <v>45721</v>
      </c>
      <c r="C466" t="s">
        <v>24</v>
      </c>
      <c r="D466" t="s">
        <v>16</v>
      </c>
      <c r="E466" t="s">
        <v>17</v>
      </c>
      <c r="F466" t="s">
        <v>44</v>
      </c>
      <c r="G466">
        <v>4</v>
      </c>
      <c r="H466">
        <v>1690.12</v>
      </c>
      <c r="I466">
        <v>0.04</v>
      </c>
      <c r="J466">
        <v>6490.06</v>
      </c>
      <c r="K466">
        <f t="shared" si="21"/>
        <v>6760.48</v>
      </c>
      <c r="L466">
        <f t="shared" si="22"/>
        <v>270.41999999999916</v>
      </c>
      <c r="M466">
        <f t="shared" si="23"/>
        <v>6490.06</v>
      </c>
      <c r="N466" t="s">
        <v>19</v>
      </c>
      <c r="O466" t="s">
        <v>29</v>
      </c>
      <c r="P466" t="s">
        <v>30</v>
      </c>
      <c r="Q466" t="s">
        <v>22</v>
      </c>
    </row>
    <row r="467" spans="1:17" x14ac:dyDescent="0.3">
      <c r="A467" t="s">
        <v>528</v>
      </c>
      <c r="B467" s="1">
        <v>45706</v>
      </c>
      <c r="C467" t="s">
        <v>24</v>
      </c>
      <c r="D467" t="s">
        <v>43</v>
      </c>
      <c r="E467" t="s">
        <v>61</v>
      </c>
      <c r="F467" t="s">
        <v>62</v>
      </c>
      <c r="G467">
        <v>4</v>
      </c>
      <c r="H467">
        <v>3473.19</v>
      </c>
      <c r="I467">
        <v>0.04</v>
      </c>
      <c r="J467">
        <v>13337.05</v>
      </c>
      <c r="K467">
        <f t="shared" si="21"/>
        <v>13892.76</v>
      </c>
      <c r="L467">
        <f t="shared" si="22"/>
        <v>555.71000000000095</v>
      </c>
      <c r="M467">
        <f t="shared" si="23"/>
        <v>13337.05</v>
      </c>
      <c r="N467" t="s">
        <v>33</v>
      </c>
      <c r="O467" t="s">
        <v>29</v>
      </c>
      <c r="P467" t="s">
        <v>54</v>
      </c>
      <c r="Q467" t="s">
        <v>22</v>
      </c>
    </row>
    <row r="468" spans="1:17" x14ac:dyDescent="0.3">
      <c r="A468" t="s">
        <v>529</v>
      </c>
      <c r="B468" s="1">
        <v>45711</v>
      </c>
      <c r="C468" t="s">
        <v>24</v>
      </c>
      <c r="D468" t="s">
        <v>25</v>
      </c>
      <c r="E468" t="s">
        <v>17</v>
      </c>
      <c r="F468" t="s">
        <v>32</v>
      </c>
      <c r="G468">
        <v>2</v>
      </c>
      <c r="H468">
        <v>3536.51</v>
      </c>
      <c r="I468">
        <v>0.2</v>
      </c>
      <c r="J468">
        <v>5658.42</v>
      </c>
      <c r="K468">
        <f t="shared" si="21"/>
        <v>7073.02</v>
      </c>
      <c r="L468">
        <f t="shared" si="22"/>
        <v>1414.6000000000004</v>
      </c>
      <c r="M468">
        <f t="shared" si="23"/>
        <v>5658.42</v>
      </c>
      <c r="N468" t="s">
        <v>58</v>
      </c>
      <c r="O468" t="s">
        <v>34</v>
      </c>
      <c r="P468" t="s">
        <v>54</v>
      </c>
      <c r="Q468" t="s">
        <v>22</v>
      </c>
    </row>
    <row r="469" spans="1:17" x14ac:dyDescent="0.3">
      <c r="A469" t="s">
        <v>530</v>
      </c>
      <c r="B469" s="1">
        <v>45736</v>
      </c>
      <c r="C469" t="s">
        <v>48</v>
      </c>
      <c r="D469" t="s">
        <v>25</v>
      </c>
      <c r="E469" t="s">
        <v>27</v>
      </c>
      <c r="F469" t="s">
        <v>28</v>
      </c>
      <c r="G469">
        <v>4</v>
      </c>
      <c r="H469">
        <v>1855.02</v>
      </c>
      <c r="I469">
        <v>0.03</v>
      </c>
      <c r="J469">
        <v>7197.48</v>
      </c>
      <c r="K469">
        <f t="shared" si="21"/>
        <v>7420.08</v>
      </c>
      <c r="L469">
        <f t="shared" si="22"/>
        <v>222.60000000000036</v>
      </c>
      <c r="M469">
        <f t="shared" si="23"/>
        <v>7197.48</v>
      </c>
      <c r="N469" t="s">
        <v>19</v>
      </c>
      <c r="O469" t="s">
        <v>20</v>
      </c>
      <c r="P469" t="s">
        <v>54</v>
      </c>
      <c r="Q469" t="s">
        <v>22</v>
      </c>
    </row>
    <row r="470" spans="1:17" x14ac:dyDescent="0.3">
      <c r="A470" t="s">
        <v>531</v>
      </c>
      <c r="B470" s="1">
        <v>45685</v>
      </c>
      <c r="C470" t="s">
        <v>36</v>
      </c>
      <c r="D470" t="s">
        <v>25</v>
      </c>
      <c r="E470" t="s">
        <v>27</v>
      </c>
      <c r="F470" t="s">
        <v>28</v>
      </c>
      <c r="G470">
        <v>5</v>
      </c>
      <c r="H470">
        <v>1014.47</v>
      </c>
      <c r="I470">
        <v>0.09</v>
      </c>
      <c r="J470">
        <v>4615.84</v>
      </c>
      <c r="K470">
        <f t="shared" si="21"/>
        <v>5072.3500000000004</v>
      </c>
      <c r="L470">
        <f t="shared" si="22"/>
        <v>456.51000000000022</v>
      </c>
      <c r="M470">
        <f t="shared" si="23"/>
        <v>4615.84</v>
      </c>
      <c r="N470" t="s">
        <v>41</v>
      </c>
      <c r="O470" t="s">
        <v>20</v>
      </c>
      <c r="P470" t="s">
        <v>21</v>
      </c>
      <c r="Q470" t="s">
        <v>22</v>
      </c>
    </row>
    <row r="471" spans="1:17" x14ac:dyDescent="0.3">
      <c r="A471" t="s">
        <v>532</v>
      </c>
      <c r="B471" s="1">
        <v>45790</v>
      </c>
      <c r="C471" t="s">
        <v>24</v>
      </c>
      <c r="D471" t="s">
        <v>25</v>
      </c>
      <c r="E471" t="s">
        <v>27</v>
      </c>
      <c r="F471" t="s">
        <v>68</v>
      </c>
      <c r="G471">
        <v>4</v>
      </c>
      <c r="H471">
        <v>1548.8</v>
      </c>
      <c r="I471">
        <v>7.0000000000000007E-2</v>
      </c>
      <c r="J471">
        <v>5761.54</v>
      </c>
      <c r="K471">
        <f t="shared" si="21"/>
        <v>6195.2</v>
      </c>
      <c r="L471">
        <f t="shared" si="22"/>
        <v>433.65999999999985</v>
      </c>
      <c r="M471">
        <f t="shared" si="23"/>
        <v>5761.54</v>
      </c>
      <c r="N471" t="s">
        <v>33</v>
      </c>
      <c r="O471" t="s">
        <v>20</v>
      </c>
      <c r="P471" t="s">
        <v>30</v>
      </c>
      <c r="Q471" t="s">
        <v>22</v>
      </c>
    </row>
    <row r="472" spans="1:17" x14ac:dyDescent="0.3">
      <c r="A472" t="s">
        <v>533</v>
      </c>
      <c r="B472" s="1">
        <v>45785</v>
      </c>
      <c r="C472" t="s">
        <v>52</v>
      </c>
      <c r="D472" t="s">
        <v>16</v>
      </c>
      <c r="E472" t="s">
        <v>27</v>
      </c>
      <c r="F472" t="s">
        <v>87</v>
      </c>
      <c r="G472">
        <v>3</v>
      </c>
      <c r="H472">
        <v>3902.48</v>
      </c>
      <c r="I472">
        <v>0.06</v>
      </c>
      <c r="J472">
        <v>11004.99</v>
      </c>
      <c r="K472">
        <f t="shared" si="21"/>
        <v>11707.44</v>
      </c>
      <c r="L472">
        <f t="shared" si="22"/>
        <v>702.45000000000073</v>
      </c>
      <c r="M472">
        <f t="shared" si="23"/>
        <v>11004.99</v>
      </c>
      <c r="N472" t="s">
        <v>58</v>
      </c>
      <c r="O472" t="s">
        <v>29</v>
      </c>
      <c r="P472" t="s">
        <v>21</v>
      </c>
      <c r="Q472" t="s">
        <v>22</v>
      </c>
    </row>
    <row r="473" spans="1:17" x14ac:dyDescent="0.3">
      <c r="A473" t="s">
        <v>534</v>
      </c>
      <c r="B473" s="1">
        <v>45718</v>
      </c>
      <c r="C473" t="s">
        <v>52</v>
      </c>
      <c r="D473" t="s">
        <v>39</v>
      </c>
      <c r="E473" t="s">
        <v>27</v>
      </c>
      <c r="F473" t="s">
        <v>87</v>
      </c>
      <c r="G473">
        <v>4</v>
      </c>
      <c r="H473">
        <v>3852.1</v>
      </c>
      <c r="I473">
        <v>0.04</v>
      </c>
      <c r="J473">
        <v>14792.06</v>
      </c>
      <c r="K473">
        <f t="shared" si="21"/>
        <v>15408.4</v>
      </c>
      <c r="L473">
        <f t="shared" si="22"/>
        <v>616.34000000000015</v>
      </c>
      <c r="M473">
        <f t="shared" si="23"/>
        <v>14792.06</v>
      </c>
      <c r="N473" t="s">
        <v>33</v>
      </c>
      <c r="O473" t="s">
        <v>29</v>
      </c>
      <c r="P473" t="s">
        <v>30</v>
      </c>
      <c r="Q473" t="s">
        <v>22</v>
      </c>
    </row>
    <row r="474" spans="1:17" x14ac:dyDescent="0.3">
      <c r="A474" t="s">
        <v>535</v>
      </c>
      <c r="B474" s="1">
        <v>45748</v>
      </c>
      <c r="C474" t="s">
        <v>24</v>
      </c>
      <c r="D474" t="s">
        <v>16</v>
      </c>
      <c r="E474" t="s">
        <v>99</v>
      </c>
      <c r="F474" t="s">
        <v>120</v>
      </c>
      <c r="G474">
        <v>1</v>
      </c>
      <c r="H474">
        <v>314.51</v>
      </c>
      <c r="I474">
        <v>0.23</v>
      </c>
      <c r="J474">
        <v>242.17</v>
      </c>
      <c r="K474">
        <f t="shared" si="21"/>
        <v>314.51</v>
      </c>
      <c r="L474">
        <f t="shared" si="22"/>
        <v>72.34</v>
      </c>
      <c r="M474">
        <f t="shared" si="23"/>
        <v>242.17</v>
      </c>
      <c r="N474" t="s">
        <v>33</v>
      </c>
      <c r="O474" t="s">
        <v>29</v>
      </c>
      <c r="P474" t="s">
        <v>54</v>
      </c>
      <c r="Q474" t="s">
        <v>22</v>
      </c>
    </row>
    <row r="475" spans="1:17" x14ac:dyDescent="0.3">
      <c r="A475" t="s">
        <v>536</v>
      </c>
      <c r="B475" s="1">
        <v>45721</v>
      </c>
      <c r="C475" t="s">
        <v>24</v>
      </c>
      <c r="D475" t="s">
        <v>39</v>
      </c>
      <c r="E475" t="s">
        <v>49</v>
      </c>
      <c r="F475" t="s">
        <v>73</v>
      </c>
      <c r="G475">
        <v>4</v>
      </c>
      <c r="H475">
        <v>3323.81</v>
      </c>
      <c r="I475">
        <v>0.13</v>
      </c>
      <c r="J475">
        <v>11566.86</v>
      </c>
      <c r="K475">
        <f t="shared" si="21"/>
        <v>13295.24</v>
      </c>
      <c r="L475">
        <f t="shared" si="22"/>
        <v>1728.3799999999992</v>
      </c>
      <c r="M475">
        <f t="shared" si="23"/>
        <v>11566.86</v>
      </c>
      <c r="N475" t="s">
        <v>58</v>
      </c>
      <c r="O475" t="s">
        <v>29</v>
      </c>
      <c r="P475" t="s">
        <v>21</v>
      </c>
      <c r="Q475" t="s">
        <v>22</v>
      </c>
    </row>
    <row r="476" spans="1:17" x14ac:dyDescent="0.3">
      <c r="A476" t="s">
        <v>537</v>
      </c>
      <c r="B476" s="1">
        <v>45840</v>
      </c>
      <c r="C476" t="s">
        <v>24</v>
      </c>
      <c r="D476" t="s">
        <v>16</v>
      </c>
      <c r="E476" t="s">
        <v>61</v>
      </c>
      <c r="F476" t="s">
        <v>62</v>
      </c>
      <c r="G476">
        <v>4</v>
      </c>
      <c r="H476">
        <v>4649.18</v>
      </c>
      <c r="I476">
        <v>0.21</v>
      </c>
      <c r="J476">
        <v>14691.41</v>
      </c>
      <c r="K476">
        <f t="shared" si="21"/>
        <v>18596.72</v>
      </c>
      <c r="L476">
        <f t="shared" si="22"/>
        <v>3905.3100000000013</v>
      </c>
      <c r="M476">
        <f t="shared" si="23"/>
        <v>14691.41</v>
      </c>
      <c r="N476" t="s">
        <v>19</v>
      </c>
      <c r="O476" t="s">
        <v>29</v>
      </c>
      <c r="P476" t="s">
        <v>30</v>
      </c>
      <c r="Q476" t="s">
        <v>22</v>
      </c>
    </row>
    <row r="477" spans="1:17" x14ac:dyDescent="0.3">
      <c r="A477" t="s">
        <v>538</v>
      </c>
      <c r="B477" s="1">
        <v>45805</v>
      </c>
      <c r="C477" t="s">
        <v>24</v>
      </c>
      <c r="D477" t="s">
        <v>16</v>
      </c>
      <c r="E477" t="s">
        <v>49</v>
      </c>
      <c r="F477" t="s">
        <v>53</v>
      </c>
      <c r="G477">
        <v>5</v>
      </c>
      <c r="H477">
        <v>299.2</v>
      </c>
      <c r="I477">
        <v>0.02</v>
      </c>
      <c r="J477">
        <v>1466.08</v>
      </c>
      <c r="K477">
        <f t="shared" si="21"/>
        <v>1496</v>
      </c>
      <c r="L477">
        <f t="shared" si="22"/>
        <v>29.920000000000073</v>
      </c>
      <c r="M477">
        <f t="shared" si="23"/>
        <v>1466.08</v>
      </c>
      <c r="N477" t="s">
        <v>33</v>
      </c>
      <c r="O477" t="s">
        <v>34</v>
      </c>
      <c r="P477" t="s">
        <v>30</v>
      </c>
      <c r="Q477" t="s">
        <v>37</v>
      </c>
    </row>
    <row r="478" spans="1:17" x14ac:dyDescent="0.3">
      <c r="A478" t="s">
        <v>539</v>
      </c>
      <c r="B478" s="1">
        <v>45841</v>
      </c>
      <c r="C478" t="s">
        <v>24</v>
      </c>
      <c r="D478" t="s">
        <v>43</v>
      </c>
      <c r="E478" t="s">
        <v>27</v>
      </c>
      <c r="F478" t="s">
        <v>79</v>
      </c>
      <c r="G478">
        <v>4</v>
      </c>
      <c r="H478">
        <v>1028.3599999999999</v>
      </c>
      <c r="I478">
        <v>0.13</v>
      </c>
      <c r="J478">
        <v>3578.69</v>
      </c>
      <c r="K478">
        <f t="shared" si="21"/>
        <v>4113.4399999999996</v>
      </c>
      <c r="L478">
        <f t="shared" si="22"/>
        <v>534.74999999999955</v>
      </c>
      <c r="M478">
        <f t="shared" si="23"/>
        <v>3578.69</v>
      </c>
      <c r="N478" t="s">
        <v>19</v>
      </c>
      <c r="O478" t="s">
        <v>29</v>
      </c>
      <c r="P478" t="s">
        <v>54</v>
      </c>
      <c r="Q478" t="s">
        <v>22</v>
      </c>
    </row>
    <row r="479" spans="1:17" x14ac:dyDescent="0.3">
      <c r="A479" t="s">
        <v>540</v>
      </c>
      <c r="B479" s="1">
        <v>45674</v>
      </c>
      <c r="C479" t="s">
        <v>24</v>
      </c>
      <c r="D479" t="s">
        <v>43</v>
      </c>
      <c r="E479" t="s">
        <v>27</v>
      </c>
      <c r="F479" t="s">
        <v>87</v>
      </c>
      <c r="G479">
        <v>4</v>
      </c>
      <c r="H479">
        <v>3542.5</v>
      </c>
      <c r="I479">
        <v>0.11</v>
      </c>
      <c r="J479">
        <v>12611.3</v>
      </c>
      <c r="K479">
        <f t="shared" si="21"/>
        <v>14170</v>
      </c>
      <c r="L479">
        <f t="shared" si="22"/>
        <v>1558.7000000000007</v>
      </c>
      <c r="M479">
        <f t="shared" si="23"/>
        <v>12611.3</v>
      </c>
      <c r="N479" t="s">
        <v>33</v>
      </c>
      <c r="O479" t="s">
        <v>34</v>
      </c>
      <c r="P479" t="s">
        <v>54</v>
      </c>
      <c r="Q479" t="s">
        <v>88</v>
      </c>
    </row>
    <row r="480" spans="1:17" x14ac:dyDescent="0.3">
      <c r="A480" t="s">
        <v>541</v>
      </c>
      <c r="B480" s="1">
        <v>45661</v>
      </c>
      <c r="C480" t="s">
        <v>36</v>
      </c>
      <c r="D480" t="s">
        <v>39</v>
      </c>
      <c r="E480" t="s">
        <v>27</v>
      </c>
      <c r="F480" t="s">
        <v>87</v>
      </c>
      <c r="G480">
        <v>2</v>
      </c>
      <c r="H480">
        <v>2716.11</v>
      </c>
      <c r="I480">
        <v>0.15</v>
      </c>
      <c r="J480">
        <v>4617.3900000000003</v>
      </c>
      <c r="K480">
        <f t="shared" si="21"/>
        <v>5432.22</v>
      </c>
      <c r="L480">
        <f t="shared" si="22"/>
        <v>814.82999999999993</v>
      </c>
      <c r="M480">
        <f t="shared" si="23"/>
        <v>4617.3900000000003</v>
      </c>
      <c r="N480" t="s">
        <v>46</v>
      </c>
      <c r="O480" t="s">
        <v>29</v>
      </c>
      <c r="P480" t="s">
        <v>30</v>
      </c>
      <c r="Q480" t="s">
        <v>22</v>
      </c>
    </row>
    <row r="481" spans="1:17" x14ac:dyDescent="0.3">
      <c r="A481" t="s">
        <v>542</v>
      </c>
      <c r="B481" s="1">
        <v>45748</v>
      </c>
      <c r="C481" t="s">
        <v>48</v>
      </c>
      <c r="D481" t="s">
        <v>25</v>
      </c>
      <c r="E481" t="s">
        <v>99</v>
      </c>
      <c r="F481" t="s">
        <v>111</v>
      </c>
      <c r="G481">
        <v>3</v>
      </c>
      <c r="H481">
        <v>3081.23</v>
      </c>
      <c r="I481">
        <v>0.14000000000000001</v>
      </c>
      <c r="J481">
        <v>7949.57</v>
      </c>
      <c r="K481">
        <f t="shared" si="21"/>
        <v>9243.69</v>
      </c>
      <c r="L481">
        <f t="shared" si="22"/>
        <v>1294.1200000000008</v>
      </c>
      <c r="M481">
        <f t="shared" si="23"/>
        <v>7949.57</v>
      </c>
      <c r="N481" t="s">
        <v>41</v>
      </c>
      <c r="O481" t="s">
        <v>29</v>
      </c>
      <c r="P481" t="s">
        <v>54</v>
      </c>
      <c r="Q481" t="s">
        <v>88</v>
      </c>
    </row>
    <row r="482" spans="1:17" x14ac:dyDescent="0.3">
      <c r="A482" t="s">
        <v>543</v>
      </c>
      <c r="B482" s="1">
        <v>45780</v>
      </c>
      <c r="C482" t="s">
        <v>48</v>
      </c>
      <c r="D482" t="s">
        <v>16</v>
      </c>
      <c r="E482" t="s">
        <v>99</v>
      </c>
      <c r="F482" t="s">
        <v>111</v>
      </c>
      <c r="G482">
        <v>1</v>
      </c>
      <c r="H482">
        <v>3658.94</v>
      </c>
      <c r="I482">
        <v>0.25</v>
      </c>
      <c r="J482">
        <v>2744.2</v>
      </c>
      <c r="K482">
        <f t="shared" si="21"/>
        <v>3658.94</v>
      </c>
      <c r="L482">
        <f t="shared" si="22"/>
        <v>914.74000000000024</v>
      </c>
      <c r="M482">
        <f t="shared" si="23"/>
        <v>2744.2</v>
      </c>
      <c r="N482" t="s">
        <v>41</v>
      </c>
      <c r="O482" t="s">
        <v>34</v>
      </c>
      <c r="P482" t="s">
        <v>21</v>
      </c>
      <c r="Q482" t="s">
        <v>22</v>
      </c>
    </row>
    <row r="483" spans="1:17" x14ac:dyDescent="0.3">
      <c r="A483" t="s">
        <v>544</v>
      </c>
      <c r="B483" s="1">
        <v>45769</v>
      </c>
      <c r="C483" t="s">
        <v>15</v>
      </c>
      <c r="D483" t="s">
        <v>39</v>
      </c>
      <c r="E483" t="s">
        <v>99</v>
      </c>
      <c r="F483" t="s">
        <v>120</v>
      </c>
      <c r="G483">
        <v>3</v>
      </c>
      <c r="H483">
        <v>206.34</v>
      </c>
      <c r="I483">
        <v>0.21</v>
      </c>
      <c r="J483">
        <v>489.03</v>
      </c>
      <c r="K483">
        <f t="shared" si="21"/>
        <v>619.02</v>
      </c>
      <c r="L483">
        <f t="shared" si="22"/>
        <v>129.99</v>
      </c>
      <c r="M483">
        <f t="shared" si="23"/>
        <v>489.03</v>
      </c>
      <c r="N483" t="s">
        <v>19</v>
      </c>
      <c r="O483" t="s">
        <v>20</v>
      </c>
      <c r="P483" t="s">
        <v>21</v>
      </c>
      <c r="Q483" t="s">
        <v>37</v>
      </c>
    </row>
    <row r="484" spans="1:17" x14ac:dyDescent="0.3">
      <c r="A484" t="s">
        <v>545</v>
      </c>
      <c r="B484" s="1">
        <v>45679</v>
      </c>
      <c r="C484" t="s">
        <v>24</v>
      </c>
      <c r="D484" t="s">
        <v>43</v>
      </c>
      <c r="E484" t="s">
        <v>27</v>
      </c>
      <c r="F484" t="s">
        <v>68</v>
      </c>
      <c r="G484">
        <v>3</v>
      </c>
      <c r="H484">
        <v>864.92</v>
      </c>
      <c r="I484">
        <v>7.0000000000000007E-2</v>
      </c>
      <c r="J484">
        <v>2413.13</v>
      </c>
      <c r="K484">
        <f t="shared" si="21"/>
        <v>2594.7599999999998</v>
      </c>
      <c r="L484">
        <f t="shared" si="22"/>
        <v>181.62999999999965</v>
      </c>
      <c r="M484">
        <f t="shared" si="23"/>
        <v>2413.13</v>
      </c>
      <c r="N484" t="s">
        <v>58</v>
      </c>
      <c r="O484" t="s">
        <v>34</v>
      </c>
      <c r="P484" t="s">
        <v>21</v>
      </c>
      <c r="Q484" t="s">
        <v>22</v>
      </c>
    </row>
    <row r="485" spans="1:17" x14ac:dyDescent="0.3">
      <c r="A485" t="s">
        <v>546</v>
      </c>
      <c r="B485" s="1">
        <v>45674</v>
      </c>
      <c r="C485" t="s">
        <v>36</v>
      </c>
      <c r="D485" t="s">
        <v>43</v>
      </c>
      <c r="E485" t="s">
        <v>99</v>
      </c>
      <c r="F485" t="s">
        <v>120</v>
      </c>
      <c r="G485">
        <v>2</v>
      </c>
      <c r="H485">
        <v>3697.9</v>
      </c>
      <c r="I485">
        <v>0.18</v>
      </c>
      <c r="J485">
        <v>6064.56</v>
      </c>
      <c r="K485">
        <f t="shared" si="21"/>
        <v>7395.8</v>
      </c>
      <c r="L485">
        <f t="shared" si="22"/>
        <v>1331.2399999999998</v>
      </c>
      <c r="M485">
        <f t="shared" si="23"/>
        <v>6064.56</v>
      </c>
      <c r="N485" t="s">
        <v>41</v>
      </c>
      <c r="O485" t="s">
        <v>29</v>
      </c>
      <c r="P485" t="s">
        <v>30</v>
      </c>
      <c r="Q485" t="s">
        <v>22</v>
      </c>
    </row>
    <row r="486" spans="1:17" x14ac:dyDescent="0.3">
      <c r="A486" t="s">
        <v>547</v>
      </c>
      <c r="B486" s="1">
        <v>45764</v>
      </c>
      <c r="C486" t="s">
        <v>36</v>
      </c>
      <c r="D486" t="s">
        <v>39</v>
      </c>
      <c r="E486" t="s">
        <v>27</v>
      </c>
      <c r="F486" t="s">
        <v>79</v>
      </c>
      <c r="G486">
        <v>5</v>
      </c>
      <c r="H486">
        <v>1969.58</v>
      </c>
      <c r="I486">
        <v>0.2</v>
      </c>
      <c r="J486">
        <v>7878.32</v>
      </c>
      <c r="K486">
        <f t="shared" si="21"/>
        <v>9847.9</v>
      </c>
      <c r="L486">
        <f t="shared" si="22"/>
        <v>1969.58</v>
      </c>
      <c r="M486">
        <f t="shared" si="23"/>
        <v>7878.32</v>
      </c>
      <c r="N486" t="s">
        <v>46</v>
      </c>
      <c r="O486" t="s">
        <v>20</v>
      </c>
      <c r="P486" t="s">
        <v>30</v>
      </c>
      <c r="Q486" t="s">
        <v>37</v>
      </c>
    </row>
    <row r="487" spans="1:17" x14ac:dyDescent="0.3">
      <c r="A487" t="s">
        <v>548</v>
      </c>
      <c r="B487" s="1">
        <v>45701</v>
      </c>
      <c r="C487" t="s">
        <v>24</v>
      </c>
      <c r="D487" t="s">
        <v>25</v>
      </c>
      <c r="E487" t="s">
        <v>49</v>
      </c>
      <c r="F487" t="s">
        <v>50</v>
      </c>
      <c r="G487">
        <v>5</v>
      </c>
      <c r="H487">
        <v>4650.3999999999996</v>
      </c>
      <c r="I487">
        <v>0.16</v>
      </c>
      <c r="J487">
        <v>19531.68</v>
      </c>
      <c r="K487">
        <f t="shared" si="21"/>
        <v>23252</v>
      </c>
      <c r="L487">
        <f t="shared" si="22"/>
        <v>3720.3199999999997</v>
      </c>
      <c r="M487">
        <f t="shared" si="23"/>
        <v>19531.68</v>
      </c>
      <c r="N487" t="s">
        <v>19</v>
      </c>
      <c r="O487" t="s">
        <v>29</v>
      </c>
      <c r="P487" t="s">
        <v>21</v>
      </c>
      <c r="Q487" t="s">
        <v>22</v>
      </c>
    </row>
    <row r="488" spans="1:17" x14ac:dyDescent="0.3">
      <c r="A488" t="s">
        <v>549</v>
      </c>
      <c r="B488" s="1">
        <v>45758</v>
      </c>
      <c r="C488" t="s">
        <v>15</v>
      </c>
      <c r="D488" t="s">
        <v>16</v>
      </c>
      <c r="E488" t="s">
        <v>27</v>
      </c>
      <c r="F488" t="s">
        <v>79</v>
      </c>
      <c r="G488">
        <v>2</v>
      </c>
      <c r="H488">
        <v>1701.47</v>
      </c>
      <c r="I488">
        <v>0.17</v>
      </c>
      <c r="J488">
        <v>2824.44</v>
      </c>
      <c r="K488">
        <f t="shared" si="21"/>
        <v>3402.94</v>
      </c>
      <c r="L488">
        <f t="shared" si="22"/>
        <v>578.5</v>
      </c>
      <c r="M488">
        <f t="shared" si="23"/>
        <v>2824.44</v>
      </c>
      <c r="N488" t="s">
        <v>33</v>
      </c>
      <c r="O488" t="s">
        <v>29</v>
      </c>
      <c r="P488" t="s">
        <v>54</v>
      </c>
      <c r="Q488" t="s">
        <v>22</v>
      </c>
    </row>
    <row r="489" spans="1:17" x14ac:dyDescent="0.3">
      <c r="A489" t="s">
        <v>550</v>
      </c>
      <c r="B489" s="1">
        <v>45711</v>
      </c>
      <c r="C489" t="s">
        <v>36</v>
      </c>
      <c r="D489" t="s">
        <v>43</v>
      </c>
      <c r="E489" t="s">
        <v>49</v>
      </c>
      <c r="F489" t="s">
        <v>50</v>
      </c>
      <c r="G489">
        <v>1</v>
      </c>
      <c r="H489">
        <v>1188.22</v>
      </c>
      <c r="I489">
        <v>7.0000000000000007E-2</v>
      </c>
      <c r="J489">
        <v>1105.04</v>
      </c>
      <c r="K489">
        <f t="shared" si="21"/>
        <v>1188.22</v>
      </c>
      <c r="L489">
        <f t="shared" si="22"/>
        <v>83.180000000000064</v>
      </c>
      <c r="M489">
        <f t="shared" si="23"/>
        <v>1105.04</v>
      </c>
      <c r="N489" t="s">
        <v>33</v>
      </c>
      <c r="O489" t="s">
        <v>29</v>
      </c>
      <c r="P489" t="s">
        <v>30</v>
      </c>
      <c r="Q489" t="s">
        <v>22</v>
      </c>
    </row>
    <row r="490" spans="1:17" x14ac:dyDescent="0.3">
      <c r="A490" t="s">
        <v>551</v>
      </c>
      <c r="B490" s="1">
        <v>45685</v>
      </c>
      <c r="C490" t="s">
        <v>36</v>
      </c>
      <c r="D490" t="s">
        <v>43</v>
      </c>
      <c r="E490" t="s">
        <v>17</v>
      </c>
      <c r="F490" t="s">
        <v>40</v>
      </c>
      <c r="G490">
        <v>4</v>
      </c>
      <c r="H490">
        <v>1386.53</v>
      </c>
      <c r="I490">
        <v>0.1</v>
      </c>
      <c r="J490">
        <v>4991.51</v>
      </c>
      <c r="K490">
        <f t="shared" si="21"/>
        <v>5546.12</v>
      </c>
      <c r="L490">
        <f t="shared" si="22"/>
        <v>554.60999999999967</v>
      </c>
      <c r="M490">
        <f t="shared" si="23"/>
        <v>4991.51</v>
      </c>
      <c r="N490" t="s">
        <v>58</v>
      </c>
      <c r="O490" t="s">
        <v>29</v>
      </c>
      <c r="P490" t="s">
        <v>30</v>
      </c>
      <c r="Q490" t="s">
        <v>88</v>
      </c>
    </row>
    <row r="491" spans="1:17" x14ac:dyDescent="0.3">
      <c r="A491" t="s">
        <v>552</v>
      </c>
      <c r="B491" s="1">
        <v>45841</v>
      </c>
      <c r="C491" t="s">
        <v>48</v>
      </c>
      <c r="D491" t="s">
        <v>43</v>
      </c>
      <c r="E491" t="s">
        <v>49</v>
      </c>
      <c r="F491" t="s">
        <v>73</v>
      </c>
      <c r="G491">
        <v>5</v>
      </c>
      <c r="H491">
        <v>1060.8900000000001</v>
      </c>
      <c r="I491">
        <v>0.15</v>
      </c>
      <c r="J491">
        <v>4508.78</v>
      </c>
      <c r="K491">
        <f t="shared" si="21"/>
        <v>5304.4500000000007</v>
      </c>
      <c r="L491">
        <f t="shared" si="22"/>
        <v>795.67000000000098</v>
      </c>
      <c r="M491">
        <f t="shared" si="23"/>
        <v>4508.78</v>
      </c>
      <c r="N491" t="s">
        <v>41</v>
      </c>
      <c r="O491" t="s">
        <v>29</v>
      </c>
      <c r="P491" t="s">
        <v>21</v>
      </c>
      <c r="Q491" t="s">
        <v>22</v>
      </c>
    </row>
    <row r="492" spans="1:17" x14ac:dyDescent="0.3">
      <c r="A492" t="s">
        <v>553</v>
      </c>
      <c r="B492" s="1">
        <v>45727</v>
      </c>
      <c r="C492" t="s">
        <v>15</v>
      </c>
      <c r="D492" t="s">
        <v>43</v>
      </c>
      <c r="E492" t="s">
        <v>99</v>
      </c>
      <c r="F492" t="s">
        <v>115</v>
      </c>
      <c r="G492">
        <v>1</v>
      </c>
      <c r="H492">
        <v>3391.56</v>
      </c>
      <c r="I492">
        <v>0.11</v>
      </c>
      <c r="J492">
        <v>3018.49</v>
      </c>
      <c r="K492">
        <f t="shared" si="21"/>
        <v>3391.56</v>
      </c>
      <c r="L492">
        <f t="shared" si="22"/>
        <v>373.07000000000016</v>
      </c>
      <c r="M492">
        <f t="shared" si="23"/>
        <v>3018.49</v>
      </c>
      <c r="N492" t="s">
        <v>33</v>
      </c>
      <c r="O492" t="s">
        <v>20</v>
      </c>
      <c r="P492" t="s">
        <v>30</v>
      </c>
      <c r="Q492" t="s">
        <v>22</v>
      </c>
    </row>
    <row r="493" spans="1:17" x14ac:dyDescent="0.3">
      <c r="A493" t="s">
        <v>554</v>
      </c>
      <c r="B493" s="1">
        <v>45831</v>
      </c>
      <c r="C493" t="s">
        <v>15</v>
      </c>
      <c r="D493" t="s">
        <v>43</v>
      </c>
      <c r="E493" t="s">
        <v>27</v>
      </c>
      <c r="F493" t="s">
        <v>79</v>
      </c>
      <c r="G493">
        <v>5</v>
      </c>
      <c r="H493">
        <v>4125.76</v>
      </c>
      <c r="I493">
        <v>0.2</v>
      </c>
      <c r="J493">
        <v>16503.04</v>
      </c>
      <c r="K493">
        <f t="shared" si="21"/>
        <v>20628.800000000003</v>
      </c>
      <c r="L493">
        <f t="shared" si="22"/>
        <v>4125.760000000002</v>
      </c>
      <c r="M493">
        <f t="shared" si="23"/>
        <v>16503.04</v>
      </c>
      <c r="N493" t="s">
        <v>19</v>
      </c>
      <c r="O493" t="s">
        <v>34</v>
      </c>
      <c r="P493" t="s">
        <v>21</v>
      </c>
      <c r="Q493" t="s">
        <v>22</v>
      </c>
    </row>
    <row r="494" spans="1:17" x14ac:dyDescent="0.3">
      <c r="A494" t="s">
        <v>555</v>
      </c>
      <c r="B494" s="1">
        <v>45673</v>
      </c>
      <c r="C494" t="s">
        <v>15</v>
      </c>
      <c r="D494" t="s">
        <v>43</v>
      </c>
      <c r="E494" t="s">
        <v>61</v>
      </c>
      <c r="F494" t="s">
        <v>75</v>
      </c>
      <c r="G494">
        <v>1</v>
      </c>
      <c r="H494">
        <v>650.62</v>
      </c>
      <c r="I494">
        <v>0.01</v>
      </c>
      <c r="J494">
        <v>644.11</v>
      </c>
      <c r="K494">
        <f t="shared" si="21"/>
        <v>650.62</v>
      </c>
      <c r="L494">
        <f t="shared" si="22"/>
        <v>6.5099999999999909</v>
      </c>
      <c r="M494">
        <f t="shared" si="23"/>
        <v>644.11</v>
      </c>
      <c r="N494" t="s">
        <v>19</v>
      </c>
      <c r="O494" t="s">
        <v>29</v>
      </c>
      <c r="P494" t="s">
        <v>21</v>
      </c>
      <c r="Q494" t="s">
        <v>37</v>
      </c>
    </row>
    <row r="495" spans="1:17" x14ac:dyDescent="0.3">
      <c r="A495" t="s">
        <v>556</v>
      </c>
      <c r="B495" s="1">
        <v>45830</v>
      </c>
      <c r="C495" t="s">
        <v>15</v>
      </c>
      <c r="D495" t="s">
        <v>43</v>
      </c>
      <c r="E495" t="s">
        <v>99</v>
      </c>
      <c r="F495" t="s">
        <v>120</v>
      </c>
      <c r="G495">
        <v>4</v>
      </c>
      <c r="H495">
        <v>2408.83</v>
      </c>
      <c r="I495">
        <v>0.08</v>
      </c>
      <c r="J495">
        <v>8864.49</v>
      </c>
      <c r="K495">
        <f t="shared" si="21"/>
        <v>9635.32</v>
      </c>
      <c r="L495">
        <f t="shared" si="22"/>
        <v>770.82999999999993</v>
      </c>
      <c r="M495">
        <f t="shared" si="23"/>
        <v>8864.49</v>
      </c>
      <c r="N495" t="s">
        <v>58</v>
      </c>
      <c r="O495" t="s">
        <v>34</v>
      </c>
      <c r="P495" t="s">
        <v>21</v>
      </c>
      <c r="Q495" t="s">
        <v>22</v>
      </c>
    </row>
    <row r="496" spans="1:17" x14ac:dyDescent="0.3">
      <c r="A496" t="s">
        <v>557</v>
      </c>
      <c r="B496" s="1">
        <v>45707</v>
      </c>
      <c r="C496" t="s">
        <v>36</v>
      </c>
      <c r="D496" t="s">
        <v>16</v>
      </c>
      <c r="E496" t="s">
        <v>27</v>
      </c>
      <c r="F496" t="s">
        <v>28</v>
      </c>
      <c r="G496">
        <v>2</v>
      </c>
      <c r="H496">
        <v>3505.85</v>
      </c>
      <c r="I496">
        <v>0.17</v>
      </c>
      <c r="J496">
        <v>5819.71</v>
      </c>
      <c r="K496">
        <f t="shared" si="21"/>
        <v>7011.7</v>
      </c>
      <c r="L496">
        <f t="shared" si="22"/>
        <v>1191.9899999999998</v>
      </c>
      <c r="M496">
        <f t="shared" si="23"/>
        <v>5819.71</v>
      </c>
      <c r="N496" t="s">
        <v>41</v>
      </c>
      <c r="O496" t="s">
        <v>29</v>
      </c>
      <c r="P496" t="s">
        <v>30</v>
      </c>
      <c r="Q496" t="s">
        <v>22</v>
      </c>
    </row>
    <row r="497" spans="1:17" x14ac:dyDescent="0.3">
      <c r="A497" t="s">
        <v>558</v>
      </c>
      <c r="B497" s="1">
        <v>45731</v>
      </c>
      <c r="C497" t="s">
        <v>52</v>
      </c>
      <c r="D497" t="s">
        <v>25</v>
      </c>
      <c r="E497" t="s">
        <v>17</v>
      </c>
      <c r="F497" t="s">
        <v>32</v>
      </c>
      <c r="G497">
        <v>1</v>
      </c>
      <c r="H497">
        <v>2378.31</v>
      </c>
      <c r="I497">
        <v>0.24</v>
      </c>
      <c r="J497">
        <v>1807.52</v>
      </c>
      <c r="K497">
        <f t="shared" si="21"/>
        <v>2378.31</v>
      </c>
      <c r="L497">
        <f t="shared" si="22"/>
        <v>570.79</v>
      </c>
      <c r="M497">
        <f t="shared" si="23"/>
        <v>1807.52</v>
      </c>
      <c r="N497" t="s">
        <v>33</v>
      </c>
      <c r="O497" t="s">
        <v>34</v>
      </c>
      <c r="P497" t="s">
        <v>54</v>
      </c>
      <c r="Q497" t="s">
        <v>22</v>
      </c>
    </row>
    <row r="498" spans="1:17" x14ac:dyDescent="0.3">
      <c r="A498" t="s">
        <v>559</v>
      </c>
      <c r="B498" s="1">
        <v>45715</v>
      </c>
      <c r="C498" t="s">
        <v>24</v>
      </c>
      <c r="D498" t="s">
        <v>16</v>
      </c>
      <c r="E498" t="s">
        <v>99</v>
      </c>
      <c r="F498" t="s">
        <v>120</v>
      </c>
      <c r="G498">
        <v>4</v>
      </c>
      <c r="H498">
        <v>1232.73</v>
      </c>
      <c r="I498">
        <v>0.1</v>
      </c>
      <c r="J498">
        <v>4437.83</v>
      </c>
      <c r="K498">
        <f t="shared" si="21"/>
        <v>4930.92</v>
      </c>
      <c r="L498">
        <f t="shared" si="22"/>
        <v>493.09000000000015</v>
      </c>
      <c r="M498">
        <f t="shared" si="23"/>
        <v>4437.83</v>
      </c>
      <c r="N498" t="s">
        <v>46</v>
      </c>
      <c r="O498" t="s">
        <v>29</v>
      </c>
      <c r="P498" t="s">
        <v>21</v>
      </c>
      <c r="Q498" t="s">
        <v>37</v>
      </c>
    </row>
    <row r="499" spans="1:17" x14ac:dyDescent="0.3">
      <c r="A499" t="s">
        <v>560</v>
      </c>
      <c r="B499" s="1">
        <v>45690</v>
      </c>
      <c r="C499" t="s">
        <v>52</v>
      </c>
      <c r="D499" t="s">
        <v>43</v>
      </c>
      <c r="E499" t="s">
        <v>49</v>
      </c>
      <c r="F499" t="s">
        <v>56</v>
      </c>
      <c r="G499">
        <v>4</v>
      </c>
      <c r="H499">
        <v>2847.37</v>
      </c>
      <c r="I499">
        <v>0.18</v>
      </c>
      <c r="J499">
        <v>9339.3700000000008</v>
      </c>
      <c r="K499">
        <f t="shared" si="21"/>
        <v>11389.48</v>
      </c>
      <c r="L499">
        <f t="shared" si="22"/>
        <v>2050.1099999999988</v>
      </c>
      <c r="M499">
        <f t="shared" si="23"/>
        <v>9339.3700000000008</v>
      </c>
      <c r="N499" t="s">
        <v>19</v>
      </c>
      <c r="O499" t="s">
        <v>29</v>
      </c>
      <c r="P499" t="s">
        <v>54</v>
      </c>
      <c r="Q499" t="s">
        <v>37</v>
      </c>
    </row>
    <row r="500" spans="1:17" x14ac:dyDescent="0.3">
      <c r="A500" t="s">
        <v>561</v>
      </c>
      <c r="B500" s="1">
        <v>45745</v>
      </c>
      <c r="C500" t="s">
        <v>48</v>
      </c>
      <c r="D500" t="s">
        <v>39</v>
      </c>
      <c r="E500" t="s">
        <v>99</v>
      </c>
      <c r="F500" t="s">
        <v>111</v>
      </c>
      <c r="G500">
        <v>2</v>
      </c>
      <c r="H500">
        <v>190.02</v>
      </c>
      <c r="I500">
        <v>0.17</v>
      </c>
      <c r="J500">
        <v>315.43</v>
      </c>
      <c r="K500">
        <f t="shared" si="21"/>
        <v>380.04</v>
      </c>
      <c r="L500">
        <f t="shared" si="22"/>
        <v>64.610000000000014</v>
      </c>
      <c r="M500">
        <f t="shared" si="23"/>
        <v>315.43</v>
      </c>
      <c r="N500" t="s">
        <v>41</v>
      </c>
      <c r="O500" t="s">
        <v>29</v>
      </c>
      <c r="P500" t="s">
        <v>30</v>
      </c>
      <c r="Q500" t="s">
        <v>22</v>
      </c>
    </row>
    <row r="501" spans="1:17" x14ac:dyDescent="0.3">
      <c r="A501" t="s">
        <v>562</v>
      </c>
      <c r="B501" s="1">
        <v>45821</v>
      </c>
      <c r="C501" t="s">
        <v>24</v>
      </c>
      <c r="D501" t="s">
        <v>43</v>
      </c>
      <c r="E501" t="s">
        <v>27</v>
      </c>
      <c r="F501" t="s">
        <v>28</v>
      </c>
      <c r="G501">
        <v>1</v>
      </c>
      <c r="H501">
        <v>4726.2700000000004</v>
      </c>
      <c r="I501">
        <v>0.24</v>
      </c>
      <c r="J501">
        <v>3591.97</v>
      </c>
      <c r="K501">
        <f t="shared" si="21"/>
        <v>4726.2700000000004</v>
      </c>
      <c r="L501">
        <f t="shared" si="22"/>
        <v>1134.3000000000006</v>
      </c>
      <c r="M501">
        <f t="shared" si="23"/>
        <v>3591.97</v>
      </c>
      <c r="N501" t="s">
        <v>46</v>
      </c>
      <c r="O501" t="s">
        <v>34</v>
      </c>
      <c r="P501" t="s">
        <v>54</v>
      </c>
      <c r="Q501" t="s">
        <v>22</v>
      </c>
    </row>
    <row r="502" spans="1:17" x14ac:dyDescent="0.3">
      <c r="A502" t="s">
        <v>563</v>
      </c>
      <c r="B502" s="1">
        <v>45765</v>
      </c>
      <c r="C502" t="s">
        <v>24</v>
      </c>
      <c r="D502" t="s">
        <v>43</v>
      </c>
      <c r="E502" t="s">
        <v>49</v>
      </c>
      <c r="F502" t="s">
        <v>73</v>
      </c>
      <c r="G502">
        <v>5</v>
      </c>
      <c r="H502">
        <v>4376.24</v>
      </c>
      <c r="I502">
        <v>0.17</v>
      </c>
      <c r="J502">
        <v>18161.400000000001</v>
      </c>
      <c r="K502">
        <f t="shared" si="21"/>
        <v>21881.199999999997</v>
      </c>
      <c r="L502">
        <f t="shared" si="22"/>
        <v>3719.7999999999956</v>
      </c>
      <c r="M502">
        <f t="shared" si="23"/>
        <v>18161.400000000001</v>
      </c>
      <c r="N502" t="s">
        <v>41</v>
      </c>
      <c r="O502" t="s">
        <v>29</v>
      </c>
      <c r="P502" t="s">
        <v>30</v>
      </c>
      <c r="Q502" t="s">
        <v>22</v>
      </c>
    </row>
    <row r="503" spans="1:17" x14ac:dyDescent="0.3">
      <c r="A503" t="s">
        <v>564</v>
      </c>
      <c r="B503" s="1">
        <v>45796</v>
      </c>
      <c r="C503" t="s">
        <v>36</v>
      </c>
      <c r="D503" t="s">
        <v>43</v>
      </c>
      <c r="E503" t="s">
        <v>49</v>
      </c>
      <c r="F503" t="s">
        <v>53</v>
      </c>
      <c r="G503">
        <v>5</v>
      </c>
      <c r="H503">
        <v>745.68</v>
      </c>
      <c r="I503">
        <v>0.16</v>
      </c>
      <c r="J503">
        <v>3131.86</v>
      </c>
      <c r="K503">
        <f t="shared" si="21"/>
        <v>3728.3999999999996</v>
      </c>
      <c r="L503">
        <f t="shared" si="22"/>
        <v>596.53999999999951</v>
      </c>
      <c r="M503">
        <f t="shared" si="23"/>
        <v>3131.86</v>
      </c>
      <c r="N503" t="s">
        <v>46</v>
      </c>
      <c r="O503" t="s">
        <v>34</v>
      </c>
      <c r="P503" t="s">
        <v>21</v>
      </c>
      <c r="Q503" t="s">
        <v>37</v>
      </c>
    </row>
    <row r="504" spans="1:17" x14ac:dyDescent="0.3">
      <c r="A504" t="s">
        <v>565</v>
      </c>
      <c r="B504" s="1">
        <v>45718</v>
      </c>
      <c r="C504" t="s">
        <v>48</v>
      </c>
      <c r="D504" t="s">
        <v>16</v>
      </c>
      <c r="E504" t="s">
        <v>99</v>
      </c>
      <c r="F504" t="s">
        <v>100</v>
      </c>
      <c r="G504">
        <v>5</v>
      </c>
      <c r="H504">
        <v>4593.8500000000004</v>
      </c>
      <c r="I504">
        <v>0.08</v>
      </c>
      <c r="J504">
        <v>21131.71</v>
      </c>
      <c r="K504">
        <f t="shared" si="21"/>
        <v>22969.25</v>
      </c>
      <c r="L504">
        <f t="shared" si="22"/>
        <v>1837.5400000000009</v>
      </c>
      <c r="M504">
        <f t="shared" si="23"/>
        <v>21131.71</v>
      </c>
      <c r="N504" t="s">
        <v>19</v>
      </c>
      <c r="O504" t="s">
        <v>29</v>
      </c>
      <c r="P504" t="s">
        <v>21</v>
      </c>
      <c r="Q504" t="s">
        <v>22</v>
      </c>
    </row>
    <row r="505" spans="1:17" x14ac:dyDescent="0.3">
      <c r="A505" t="s">
        <v>566</v>
      </c>
      <c r="B505" s="1">
        <v>45778</v>
      </c>
      <c r="C505" t="s">
        <v>15</v>
      </c>
      <c r="D505" t="s">
        <v>39</v>
      </c>
      <c r="E505" t="s">
        <v>61</v>
      </c>
      <c r="F505" t="s">
        <v>62</v>
      </c>
      <c r="G505">
        <v>3</v>
      </c>
      <c r="H505">
        <v>2270.7199999999998</v>
      </c>
      <c r="I505">
        <v>0.23</v>
      </c>
      <c r="J505">
        <v>5245.36</v>
      </c>
      <c r="K505">
        <f t="shared" si="21"/>
        <v>6812.16</v>
      </c>
      <c r="L505">
        <f t="shared" si="22"/>
        <v>1566.8000000000002</v>
      </c>
      <c r="M505">
        <f t="shared" si="23"/>
        <v>5245.36</v>
      </c>
      <c r="N505" t="s">
        <v>41</v>
      </c>
      <c r="O505" t="s">
        <v>34</v>
      </c>
      <c r="P505" t="s">
        <v>21</v>
      </c>
      <c r="Q505" t="s">
        <v>22</v>
      </c>
    </row>
    <row r="506" spans="1:17" x14ac:dyDescent="0.3">
      <c r="A506" t="s">
        <v>567</v>
      </c>
      <c r="B506" s="1">
        <v>45816</v>
      </c>
      <c r="C506" t="s">
        <v>52</v>
      </c>
      <c r="D506" t="s">
        <v>43</v>
      </c>
      <c r="E506" t="s">
        <v>61</v>
      </c>
      <c r="F506" t="s">
        <v>62</v>
      </c>
      <c r="G506">
        <v>5</v>
      </c>
      <c r="H506">
        <v>3123.04</v>
      </c>
      <c r="I506">
        <v>0.15</v>
      </c>
      <c r="J506">
        <v>13272.92</v>
      </c>
      <c r="K506">
        <f t="shared" si="21"/>
        <v>15615.2</v>
      </c>
      <c r="L506">
        <f t="shared" si="22"/>
        <v>2342.2800000000007</v>
      </c>
      <c r="M506">
        <f t="shared" si="23"/>
        <v>13272.92</v>
      </c>
      <c r="N506" t="s">
        <v>19</v>
      </c>
      <c r="O506" t="s">
        <v>20</v>
      </c>
      <c r="P506" t="s">
        <v>21</v>
      </c>
      <c r="Q506" t="s">
        <v>22</v>
      </c>
    </row>
    <row r="507" spans="1:17" x14ac:dyDescent="0.3">
      <c r="A507" t="s">
        <v>568</v>
      </c>
      <c r="B507" s="1">
        <v>45786</v>
      </c>
      <c r="C507" t="s">
        <v>15</v>
      </c>
      <c r="D507" t="s">
        <v>39</v>
      </c>
      <c r="E507" t="s">
        <v>61</v>
      </c>
      <c r="F507" t="s">
        <v>62</v>
      </c>
      <c r="G507">
        <v>4</v>
      </c>
      <c r="H507">
        <v>757.02</v>
      </c>
      <c r="I507">
        <v>0.21</v>
      </c>
      <c r="J507">
        <v>2392.1799999999998</v>
      </c>
      <c r="K507">
        <f t="shared" si="21"/>
        <v>3028.08</v>
      </c>
      <c r="L507">
        <f t="shared" si="22"/>
        <v>635.90000000000009</v>
      </c>
      <c r="M507">
        <f t="shared" si="23"/>
        <v>2392.1799999999998</v>
      </c>
      <c r="N507" t="s">
        <v>58</v>
      </c>
      <c r="O507" t="s">
        <v>29</v>
      </c>
      <c r="P507" t="s">
        <v>30</v>
      </c>
      <c r="Q507" t="s">
        <v>22</v>
      </c>
    </row>
    <row r="508" spans="1:17" x14ac:dyDescent="0.3">
      <c r="A508" t="s">
        <v>569</v>
      </c>
      <c r="B508" s="1">
        <v>45762</v>
      </c>
      <c r="C508" t="s">
        <v>48</v>
      </c>
      <c r="D508" t="s">
        <v>39</v>
      </c>
      <c r="E508" t="s">
        <v>49</v>
      </c>
      <c r="F508" t="s">
        <v>50</v>
      </c>
      <c r="G508">
        <v>2</v>
      </c>
      <c r="H508">
        <v>1208.74</v>
      </c>
      <c r="I508">
        <v>0.1</v>
      </c>
      <c r="J508">
        <v>2175.73</v>
      </c>
      <c r="K508">
        <f t="shared" si="21"/>
        <v>2417.48</v>
      </c>
      <c r="L508">
        <f t="shared" si="22"/>
        <v>241.75</v>
      </c>
      <c r="M508">
        <f t="shared" si="23"/>
        <v>2175.73</v>
      </c>
      <c r="N508" t="s">
        <v>19</v>
      </c>
      <c r="O508" t="s">
        <v>20</v>
      </c>
      <c r="P508" t="s">
        <v>54</v>
      </c>
      <c r="Q508" t="s">
        <v>59</v>
      </c>
    </row>
    <row r="509" spans="1:17" x14ac:dyDescent="0.3">
      <c r="A509" t="s">
        <v>570</v>
      </c>
      <c r="B509" s="1">
        <v>45661</v>
      </c>
      <c r="C509" t="s">
        <v>52</v>
      </c>
      <c r="D509" t="s">
        <v>25</v>
      </c>
      <c r="E509" t="s">
        <v>61</v>
      </c>
      <c r="F509" t="s">
        <v>75</v>
      </c>
      <c r="G509">
        <v>4</v>
      </c>
      <c r="H509">
        <v>4348.93</v>
      </c>
      <c r="I509">
        <v>0.12</v>
      </c>
      <c r="J509">
        <v>15308.23</v>
      </c>
      <c r="K509">
        <f t="shared" si="21"/>
        <v>17395.72</v>
      </c>
      <c r="L509">
        <f t="shared" si="22"/>
        <v>2087.4900000000016</v>
      </c>
      <c r="M509">
        <f t="shared" si="23"/>
        <v>15308.23</v>
      </c>
      <c r="N509" t="s">
        <v>58</v>
      </c>
      <c r="O509" t="s">
        <v>20</v>
      </c>
      <c r="P509" t="s">
        <v>30</v>
      </c>
      <c r="Q509" t="s">
        <v>37</v>
      </c>
    </row>
    <row r="510" spans="1:17" x14ac:dyDescent="0.3">
      <c r="A510" t="s">
        <v>571</v>
      </c>
      <c r="B510" s="1">
        <v>45789</v>
      </c>
      <c r="C510" t="s">
        <v>24</v>
      </c>
      <c r="D510" t="s">
        <v>16</v>
      </c>
      <c r="E510" t="s">
        <v>49</v>
      </c>
      <c r="F510" t="s">
        <v>50</v>
      </c>
      <c r="G510">
        <v>4</v>
      </c>
      <c r="H510">
        <v>3628.98</v>
      </c>
      <c r="I510">
        <v>0.1</v>
      </c>
      <c r="J510">
        <v>13064.33</v>
      </c>
      <c r="K510">
        <f t="shared" si="21"/>
        <v>14515.92</v>
      </c>
      <c r="L510">
        <f t="shared" si="22"/>
        <v>1451.5900000000001</v>
      </c>
      <c r="M510">
        <f t="shared" si="23"/>
        <v>13064.33</v>
      </c>
      <c r="N510" t="s">
        <v>33</v>
      </c>
      <c r="O510" t="s">
        <v>29</v>
      </c>
      <c r="P510" t="s">
        <v>21</v>
      </c>
      <c r="Q510" t="s">
        <v>22</v>
      </c>
    </row>
    <row r="511" spans="1:17" x14ac:dyDescent="0.3">
      <c r="A511" t="s">
        <v>572</v>
      </c>
      <c r="B511" s="1">
        <v>45818</v>
      </c>
      <c r="C511" t="s">
        <v>24</v>
      </c>
      <c r="D511" t="s">
        <v>25</v>
      </c>
      <c r="E511" t="s">
        <v>49</v>
      </c>
      <c r="F511" t="s">
        <v>50</v>
      </c>
      <c r="G511">
        <v>5</v>
      </c>
      <c r="H511">
        <v>2038.49</v>
      </c>
      <c r="I511">
        <v>0.18</v>
      </c>
      <c r="J511">
        <v>8357.81</v>
      </c>
      <c r="K511">
        <f t="shared" si="21"/>
        <v>10192.450000000001</v>
      </c>
      <c r="L511">
        <f t="shared" si="22"/>
        <v>1834.6400000000012</v>
      </c>
      <c r="M511">
        <f t="shared" si="23"/>
        <v>8357.81</v>
      </c>
      <c r="N511" t="s">
        <v>19</v>
      </c>
      <c r="O511" t="s">
        <v>29</v>
      </c>
      <c r="P511" t="s">
        <v>21</v>
      </c>
      <c r="Q511" t="s">
        <v>22</v>
      </c>
    </row>
    <row r="512" spans="1:17" x14ac:dyDescent="0.3">
      <c r="A512" t="s">
        <v>573</v>
      </c>
      <c r="B512" s="1">
        <v>45767</v>
      </c>
      <c r="C512" t="s">
        <v>15</v>
      </c>
      <c r="D512" t="s">
        <v>25</v>
      </c>
      <c r="E512" t="s">
        <v>17</v>
      </c>
      <c r="F512" t="s">
        <v>44</v>
      </c>
      <c r="G512">
        <v>3</v>
      </c>
      <c r="H512">
        <v>3891.02</v>
      </c>
      <c r="I512">
        <v>7.0000000000000007E-2</v>
      </c>
      <c r="J512">
        <v>10855.95</v>
      </c>
      <c r="K512">
        <f t="shared" si="21"/>
        <v>11673.06</v>
      </c>
      <c r="L512">
        <f t="shared" si="22"/>
        <v>817.10999999999876</v>
      </c>
      <c r="M512">
        <f t="shared" si="23"/>
        <v>10855.95</v>
      </c>
      <c r="N512" t="s">
        <v>41</v>
      </c>
      <c r="O512" t="s">
        <v>34</v>
      </c>
      <c r="P512" t="s">
        <v>54</v>
      </c>
      <c r="Q512" t="s">
        <v>22</v>
      </c>
    </row>
    <row r="513" spans="1:17" x14ac:dyDescent="0.3">
      <c r="A513" t="s">
        <v>574</v>
      </c>
      <c r="B513" s="1">
        <v>45718</v>
      </c>
      <c r="C513" t="s">
        <v>48</v>
      </c>
      <c r="D513" t="s">
        <v>43</v>
      </c>
      <c r="E513" t="s">
        <v>17</v>
      </c>
      <c r="F513" t="s">
        <v>44</v>
      </c>
      <c r="G513">
        <v>5</v>
      </c>
      <c r="H513">
        <v>654.54</v>
      </c>
      <c r="I513">
        <v>0.19</v>
      </c>
      <c r="J513">
        <v>2650.89</v>
      </c>
      <c r="K513">
        <f t="shared" si="21"/>
        <v>3272.7</v>
      </c>
      <c r="L513">
        <f t="shared" si="22"/>
        <v>621.80999999999995</v>
      </c>
      <c r="M513">
        <f t="shared" si="23"/>
        <v>2650.89</v>
      </c>
      <c r="N513" t="s">
        <v>41</v>
      </c>
      <c r="O513" t="s">
        <v>20</v>
      </c>
      <c r="P513" t="s">
        <v>21</v>
      </c>
      <c r="Q513" t="s">
        <v>22</v>
      </c>
    </row>
    <row r="514" spans="1:17" x14ac:dyDescent="0.3">
      <c r="A514" t="s">
        <v>575</v>
      </c>
      <c r="B514" s="1">
        <v>45840</v>
      </c>
      <c r="C514" t="s">
        <v>24</v>
      </c>
      <c r="D514" t="s">
        <v>16</v>
      </c>
      <c r="E514" t="s">
        <v>99</v>
      </c>
      <c r="F514" t="s">
        <v>115</v>
      </c>
      <c r="G514">
        <v>5</v>
      </c>
      <c r="H514">
        <v>4493.43</v>
      </c>
      <c r="I514">
        <v>0.22</v>
      </c>
      <c r="J514">
        <v>17524.38</v>
      </c>
      <c r="K514">
        <f t="shared" si="21"/>
        <v>22467.15</v>
      </c>
      <c r="L514">
        <f t="shared" si="22"/>
        <v>4942.7700000000004</v>
      </c>
      <c r="M514">
        <f t="shared" si="23"/>
        <v>17524.38</v>
      </c>
      <c r="N514" t="s">
        <v>19</v>
      </c>
      <c r="O514" t="s">
        <v>34</v>
      </c>
      <c r="P514" t="s">
        <v>30</v>
      </c>
      <c r="Q514" t="s">
        <v>22</v>
      </c>
    </row>
    <row r="515" spans="1:17" x14ac:dyDescent="0.3">
      <c r="A515" t="s">
        <v>576</v>
      </c>
      <c r="B515" s="1">
        <v>45788</v>
      </c>
      <c r="C515" t="s">
        <v>24</v>
      </c>
      <c r="D515" t="s">
        <v>25</v>
      </c>
      <c r="E515" t="s">
        <v>61</v>
      </c>
      <c r="F515" t="s">
        <v>62</v>
      </c>
      <c r="G515">
        <v>4</v>
      </c>
      <c r="H515">
        <v>3206.95</v>
      </c>
      <c r="I515">
        <v>0.02</v>
      </c>
      <c r="J515">
        <v>12571.24</v>
      </c>
      <c r="K515">
        <f t="shared" ref="K515:K578" si="24">G515*H515</f>
        <v>12827.8</v>
      </c>
      <c r="L515">
        <f t="shared" ref="L515:L578" si="25">K515-J515</f>
        <v>256.55999999999949</v>
      </c>
      <c r="M515">
        <f t="shared" ref="M515:M578" si="26">K515-L515</f>
        <v>12571.24</v>
      </c>
      <c r="N515" t="s">
        <v>58</v>
      </c>
      <c r="O515" t="s">
        <v>29</v>
      </c>
      <c r="P515" t="s">
        <v>21</v>
      </c>
      <c r="Q515" t="s">
        <v>22</v>
      </c>
    </row>
    <row r="516" spans="1:17" x14ac:dyDescent="0.3">
      <c r="A516" t="s">
        <v>577</v>
      </c>
      <c r="B516" s="1">
        <v>45680</v>
      </c>
      <c r="C516" t="s">
        <v>48</v>
      </c>
      <c r="D516" t="s">
        <v>43</v>
      </c>
      <c r="E516" t="s">
        <v>27</v>
      </c>
      <c r="F516" t="s">
        <v>68</v>
      </c>
      <c r="G516">
        <v>1</v>
      </c>
      <c r="H516">
        <v>3864.48</v>
      </c>
      <c r="I516">
        <v>0.23</v>
      </c>
      <c r="J516">
        <v>2975.65</v>
      </c>
      <c r="K516">
        <f t="shared" si="24"/>
        <v>3864.48</v>
      </c>
      <c r="L516">
        <f t="shared" si="25"/>
        <v>888.82999999999993</v>
      </c>
      <c r="M516">
        <f t="shared" si="26"/>
        <v>2975.65</v>
      </c>
      <c r="N516" t="s">
        <v>33</v>
      </c>
      <c r="O516" t="s">
        <v>34</v>
      </c>
      <c r="P516" t="s">
        <v>21</v>
      </c>
      <c r="Q516" t="s">
        <v>22</v>
      </c>
    </row>
    <row r="517" spans="1:17" x14ac:dyDescent="0.3">
      <c r="A517" t="s">
        <v>578</v>
      </c>
      <c r="B517" s="1">
        <v>45842</v>
      </c>
      <c r="C517" t="s">
        <v>24</v>
      </c>
      <c r="D517" t="s">
        <v>43</v>
      </c>
      <c r="E517" t="s">
        <v>61</v>
      </c>
      <c r="F517" t="s">
        <v>75</v>
      </c>
      <c r="G517">
        <v>3</v>
      </c>
      <c r="H517">
        <v>3677.79</v>
      </c>
      <c r="I517">
        <v>0.24</v>
      </c>
      <c r="J517">
        <v>8385.36</v>
      </c>
      <c r="K517">
        <f t="shared" si="24"/>
        <v>11033.369999999999</v>
      </c>
      <c r="L517">
        <f t="shared" si="25"/>
        <v>2648.0099999999984</v>
      </c>
      <c r="M517">
        <f t="shared" si="26"/>
        <v>8385.36</v>
      </c>
      <c r="N517" t="s">
        <v>41</v>
      </c>
      <c r="O517" t="s">
        <v>34</v>
      </c>
      <c r="P517" t="s">
        <v>30</v>
      </c>
      <c r="Q517" t="s">
        <v>22</v>
      </c>
    </row>
    <row r="518" spans="1:17" x14ac:dyDescent="0.3">
      <c r="A518" t="s">
        <v>579</v>
      </c>
      <c r="B518" s="1">
        <v>45830</v>
      </c>
      <c r="C518" t="s">
        <v>24</v>
      </c>
      <c r="D518" t="s">
        <v>16</v>
      </c>
      <c r="E518" t="s">
        <v>61</v>
      </c>
      <c r="F518" t="s">
        <v>75</v>
      </c>
      <c r="G518">
        <v>1</v>
      </c>
      <c r="H518">
        <v>2347.35</v>
      </c>
      <c r="I518">
        <v>0.21</v>
      </c>
      <c r="J518">
        <v>1854.41</v>
      </c>
      <c r="K518">
        <f t="shared" si="24"/>
        <v>2347.35</v>
      </c>
      <c r="L518">
        <f t="shared" si="25"/>
        <v>492.93999999999983</v>
      </c>
      <c r="M518">
        <f t="shared" si="26"/>
        <v>1854.41</v>
      </c>
      <c r="N518" t="s">
        <v>33</v>
      </c>
      <c r="O518" t="s">
        <v>34</v>
      </c>
      <c r="P518" t="s">
        <v>21</v>
      </c>
      <c r="Q518" t="s">
        <v>22</v>
      </c>
    </row>
    <row r="519" spans="1:17" x14ac:dyDescent="0.3">
      <c r="A519" t="s">
        <v>580</v>
      </c>
      <c r="B519" s="1">
        <v>45686</v>
      </c>
      <c r="C519" t="s">
        <v>52</v>
      </c>
      <c r="D519" t="s">
        <v>16</v>
      </c>
      <c r="E519" t="s">
        <v>49</v>
      </c>
      <c r="F519" t="s">
        <v>73</v>
      </c>
      <c r="G519">
        <v>4</v>
      </c>
      <c r="H519">
        <v>2323.3200000000002</v>
      </c>
      <c r="I519">
        <v>0.11</v>
      </c>
      <c r="J519">
        <v>8271.02</v>
      </c>
      <c r="K519">
        <f t="shared" si="24"/>
        <v>9293.2800000000007</v>
      </c>
      <c r="L519">
        <f t="shared" si="25"/>
        <v>1022.2600000000002</v>
      </c>
      <c r="M519">
        <f t="shared" si="26"/>
        <v>8271.02</v>
      </c>
      <c r="N519" t="s">
        <v>33</v>
      </c>
      <c r="O519" t="s">
        <v>29</v>
      </c>
      <c r="P519" t="s">
        <v>21</v>
      </c>
      <c r="Q519" t="s">
        <v>22</v>
      </c>
    </row>
    <row r="520" spans="1:17" x14ac:dyDescent="0.3">
      <c r="A520" t="s">
        <v>581</v>
      </c>
      <c r="B520" s="1">
        <v>45711</v>
      </c>
      <c r="C520" t="s">
        <v>36</v>
      </c>
      <c r="D520" t="s">
        <v>16</v>
      </c>
      <c r="E520" t="s">
        <v>27</v>
      </c>
      <c r="F520" t="s">
        <v>28</v>
      </c>
      <c r="G520">
        <v>1</v>
      </c>
      <c r="H520">
        <v>1005.72</v>
      </c>
      <c r="I520">
        <v>0.01</v>
      </c>
      <c r="J520">
        <v>995.66</v>
      </c>
      <c r="K520">
        <f t="shared" si="24"/>
        <v>1005.72</v>
      </c>
      <c r="L520">
        <f t="shared" si="25"/>
        <v>10.060000000000059</v>
      </c>
      <c r="M520">
        <f t="shared" si="26"/>
        <v>995.66</v>
      </c>
      <c r="N520" t="s">
        <v>33</v>
      </c>
      <c r="O520" t="s">
        <v>20</v>
      </c>
      <c r="P520" t="s">
        <v>30</v>
      </c>
      <c r="Q520" t="s">
        <v>22</v>
      </c>
    </row>
    <row r="521" spans="1:17" x14ac:dyDescent="0.3">
      <c r="A521" t="s">
        <v>582</v>
      </c>
      <c r="B521" s="1">
        <v>45682</v>
      </c>
      <c r="C521" t="s">
        <v>15</v>
      </c>
      <c r="D521" t="s">
        <v>39</v>
      </c>
      <c r="E521" t="s">
        <v>17</v>
      </c>
      <c r="F521" t="s">
        <v>32</v>
      </c>
      <c r="G521">
        <v>1</v>
      </c>
      <c r="H521">
        <v>2143.09</v>
      </c>
      <c r="I521">
        <v>0.04</v>
      </c>
      <c r="J521">
        <v>2057.37</v>
      </c>
      <c r="K521">
        <f t="shared" si="24"/>
        <v>2143.09</v>
      </c>
      <c r="L521">
        <f t="shared" si="25"/>
        <v>85.720000000000255</v>
      </c>
      <c r="M521">
        <f t="shared" si="26"/>
        <v>2057.37</v>
      </c>
      <c r="N521" t="s">
        <v>58</v>
      </c>
      <c r="O521" t="s">
        <v>20</v>
      </c>
      <c r="P521" t="s">
        <v>21</v>
      </c>
      <c r="Q521" t="s">
        <v>22</v>
      </c>
    </row>
    <row r="522" spans="1:17" x14ac:dyDescent="0.3">
      <c r="A522" t="s">
        <v>583</v>
      </c>
      <c r="B522" s="1">
        <v>45832</v>
      </c>
      <c r="C522" t="s">
        <v>48</v>
      </c>
      <c r="D522" t="s">
        <v>25</v>
      </c>
      <c r="E522" t="s">
        <v>27</v>
      </c>
      <c r="F522" t="s">
        <v>68</v>
      </c>
      <c r="G522">
        <v>1</v>
      </c>
      <c r="H522">
        <v>556.32000000000005</v>
      </c>
      <c r="I522">
        <v>7.0000000000000007E-2</v>
      </c>
      <c r="J522">
        <v>517.38</v>
      </c>
      <c r="K522">
        <f t="shared" si="24"/>
        <v>556.32000000000005</v>
      </c>
      <c r="L522">
        <f t="shared" si="25"/>
        <v>38.940000000000055</v>
      </c>
      <c r="M522">
        <f t="shared" si="26"/>
        <v>517.38</v>
      </c>
      <c r="N522" t="s">
        <v>33</v>
      </c>
      <c r="O522" t="s">
        <v>34</v>
      </c>
      <c r="P522" t="s">
        <v>30</v>
      </c>
      <c r="Q522" t="s">
        <v>88</v>
      </c>
    </row>
    <row r="523" spans="1:17" x14ac:dyDescent="0.3">
      <c r="A523" t="s">
        <v>584</v>
      </c>
      <c r="B523" s="1">
        <v>45680</v>
      </c>
      <c r="C523" t="s">
        <v>15</v>
      </c>
      <c r="D523" t="s">
        <v>25</v>
      </c>
      <c r="E523" t="s">
        <v>49</v>
      </c>
      <c r="F523" t="s">
        <v>56</v>
      </c>
      <c r="G523">
        <v>1</v>
      </c>
      <c r="H523">
        <v>3503.64</v>
      </c>
      <c r="I523">
        <v>7.0000000000000007E-2</v>
      </c>
      <c r="J523">
        <v>3258.39</v>
      </c>
      <c r="K523">
        <f t="shared" si="24"/>
        <v>3503.64</v>
      </c>
      <c r="L523">
        <f t="shared" si="25"/>
        <v>245.25</v>
      </c>
      <c r="M523">
        <f t="shared" si="26"/>
        <v>3258.39</v>
      </c>
      <c r="N523" t="s">
        <v>41</v>
      </c>
      <c r="O523" t="s">
        <v>20</v>
      </c>
      <c r="P523" t="s">
        <v>21</v>
      </c>
      <c r="Q523" t="s">
        <v>22</v>
      </c>
    </row>
    <row r="524" spans="1:17" x14ac:dyDescent="0.3">
      <c r="A524" t="s">
        <v>585</v>
      </c>
      <c r="B524" s="1">
        <v>45804</v>
      </c>
      <c r="C524" t="s">
        <v>24</v>
      </c>
      <c r="D524" t="s">
        <v>39</v>
      </c>
      <c r="E524" t="s">
        <v>61</v>
      </c>
      <c r="F524" t="s">
        <v>62</v>
      </c>
      <c r="G524">
        <v>5</v>
      </c>
      <c r="H524">
        <v>4937.2299999999996</v>
      </c>
      <c r="I524">
        <v>0.12</v>
      </c>
      <c r="J524">
        <v>21723.81</v>
      </c>
      <c r="K524">
        <f t="shared" si="24"/>
        <v>24686.149999999998</v>
      </c>
      <c r="L524">
        <f t="shared" si="25"/>
        <v>2962.3399999999965</v>
      </c>
      <c r="M524">
        <f t="shared" si="26"/>
        <v>21723.81</v>
      </c>
      <c r="N524" t="s">
        <v>33</v>
      </c>
      <c r="O524" t="s">
        <v>29</v>
      </c>
      <c r="P524" t="s">
        <v>21</v>
      </c>
      <c r="Q524" t="s">
        <v>22</v>
      </c>
    </row>
    <row r="525" spans="1:17" x14ac:dyDescent="0.3">
      <c r="A525" t="s">
        <v>586</v>
      </c>
      <c r="B525" s="1">
        <v>45767</v>
      </c>
      <c r="C525" t="s">
        <v>36</v>
      </c>
      <c r="D525" t="s">
        <v>25</v>
      </c>
      <c r="E525" t="s">
        <v>99</v>
      </c>
      <c r="F525" t="s">
        <v>111</v>
      </c>
      <c r="G525">
        <v>3</v>
      </c>
      <c r="H525">
        <v>4642.82</v>
      </c>
      <c r="I525">
        <v>0.15</v>
      </c>
      <c r="J525">
        <v>11839.19</v>
      </c>
      <c r="K525">
        <f t="shared" si="24"/>
        <v>13928.46</v>
      </c>
      <c r="L525">
        <f t="shared" si="25"/>
        <v>2089.2699999999986</v>
      </c>
      <c r="M525">
        <f t="shared" si="26"/>
        <v>11839.19</v>
      </c>
      <c r="N525" t="s">
        <v>33</v>
      </c>
      <c r="O525" t="s">
        <v>29</v>
      </c>
      <c r="P525" t="s">
        <v>30</v>
      </c>
      <c r="Q525" t="s">
        <v>22</v>
      </c>
    </row>
    <row r="526" spans="1:17" x14ac:dyDescent="0.3">
      <c r="A526" t="s">
        <v>587</v>
      </c>
      <c r="B526" s="1">
        <v>45690</v>
      </c>
      <c r="C526" t="s">
        <v>15</v>
      </c>
      <c r="D526" t="s">
        <v>43</v>
      </c>
      <c r="E526" t="s">
        <v>61</v>
      </c>
      <c r="F526" t="s">
        <v>75</v>
      </c>
      <c r="G526">
        <v>1</v>
      </c>
      <c r="H526">
        <v>217.54</v>
      </c>
      <c r="I526">
        <v>0.16</v>
      </c>
      <c r="J526">
        <v>182.73</v>
      </c>
      <c r="K526">
        <f t="shared" si="24"/>
        <v>217.54</v>
      </c>
      <c r="L526">
        <f t="shared" si="25"/>
        <v>34.81</v>
      </c>
      <c r="M526">
        <f t="shared" si="26"/>
        <v>182.73</v>
      </c>
      <c r="N526" t="s">
        <v>19</v>
      </c>
      <c r="O526" t="s">
        <v>20</v>
      </c>
      <c r="P526" t="s">
        <v>54</v>
      </c>
      <c r="Q526" t="s">
        <v>88</v>
      </c>
    </row>
    <row r="527" spans="1:17" x14ac:dyDescent="0.3">
      <c r="A527" t="s">
        <v>588</v>
      </c>
      <c r="B527" s="1">
        <v>45712</v>
      </c>
      <c r="C527" t="s">
        <v>24</v>
      </c>
      <c r="D527" t="s">
        <v>43</v>
      </c>
      <c r="E527" t="s">
        <v>49</v>
      </c>
      <c r="F527" t="s">
        <v>50</v>
      </c>
      <c r="G527">
        <v>5</v>
      </c>
      <c r="H527">
        <v>4049.61</v>
      </c>
      <c r="I527">
        <v>0.05</v>
      </c>
      <c r="J527">
        <v>19235.650000000001</v>
      </c>
      <c r="K527">
        <f t="shared" si="24"/>
        <v>20248.05</v>
      </c>
      <c r="L527">
        <f t="shared" si="25"/>
        <v>1012.3999999999978</v>
      </c>
      <c r="M527">
        <f t="shared" si="26"/>
        <v>19235.650000000001</v>
      </c>
      <c r="N527" t="s">
        <v>46</v>
      </c>
      <c r="O527" t="s">
        <v>34</v>
      </c>
      <c r="P527" t="s">
        <v>21</v>
      </c>
      <c r="Q527" t="s">
        <v>22</v>
      </c>
    </row>
    <row r="528" spans="1:17" x14ac:dyDescent="0.3">
      <c r="A528" t="s">
        <v>589</v>
      </c>
      <c r="B528" s="1">
        <v>45714</v>
      </c>
      <c r="C528" t="s">
        <v>15</v>
      </c>
      <c r="D528" t="s">
        <v>39</v>
      </c>
      <c r="E528" t="s">
        <v>99</v>
      </c>
      <c r="F528" t="s">
        <v>120</v>
      </c>
      <c r="G528">
        <v>5</v>
      </c>
      <c r="H528">
        <v>1687.23</v>
      </c>
      <c r="I528">
        <v>0</v>
      </c>
      <c r="J528">
        <v>8436.15</v>
      </c>
      <c r="K528">
        <f t="shared" si="24"/>
        <v>8436.15</v>
      </c>
      <c r="L528">
        <f t="shared" si="25"/>
        <v>0</v>
      </c>
      <c r="M528">
        <f t="shared" si="26"/>
        <v>8436.15</v>
      </c>
      <c r="N528" t="s">
        <v>46</v>
      </c>
      <c r="O528" t="s">
        <v>29</v>
      </c>
      <c r="P528" t="s">
        <v>21</v>
      </c>
      <c r="Q528" t="s">
        <v>22</v>
      </c>
    </row>
    <row r="529" spans="1:17" x14ac:dyDescent="0.3">
      <c r="A529" t="s">
        <v>590</v>
      </c>
      <c r="B529" s="1">
        <v>45777</v>
      </c>
      <c r="C529" t="s">
        <v>52</v>
      </c>
      <c r="D529" t="s">
        <v>16</v>
      </c>
      <c r="E529" t="s">
        <v>27</v>
      </c>
      <c r="F529" t="s">
        <v>79</v>
      </c>
      <c r="G529">
        <v>3</v>
      </c>
      <c r="H529">
        <v>4619.17</v>
      </c>
      <c r="I529">
        <v>0.12</v>
      </c>
      <c r="J529">
        <v>12194.61</v>
      </c>
      <c r="K529">
        <f t="shared" si="24"/>
        <v>13857.51</v>
      </c>
      <c r="L529">
        <f t="shared" si="25"/>
        <v>1662.8999999999996</v>
      </c>
      <c r="M529">
        <f t="shared" si="26"/>
        <v>12194.61</v>
      </c>
      <c r="N529" t="s">
        <v>19</v>
      </c>
      <c r="O529" t="s">
        <v>34</v>
      </c>
      <c r="P529" t="s">
        <v>30</v>
      </c>
      <c r="Q529" t="s">
        <v>22</v>
      </c>
    </row>
    <row r="530" spans="1:17" x14ac:dyDescent="0.3">
      <c r="A530" t="s">
        <v>591</v>
      </c>
      <c r="B530" s="1">
        <v>45700</v>
      </c>
      <c r="C530" t="s">
        <v>48</v>
      </c>
      <c r="D530" t="s">
        <v>16</v>
      </c>
      <c r="E530" t="s">
        <v>49</v>
      </c>
      <c r="F530" t="s">
        <v>73</v>
      </c>
      <c r="G530">
        <v>4</v>
      </c>
      <c r="H530">
        <v>3941.55</v>
      </c>
      <c r="I530">
        <v>0.1</v>
      </c>
      <c r="J530">
        <v>14189.58</v>
      </c>
      <c r="K530">
        <f t="shared" si="24"/>
        <v>15766.2</v>
      </c>
      <c r="L530">
        <f t="shared" si="25"/>
        <v>1576.6200000000008</v>
      </c>
      <c r="M530">
        <f t="shared" si="26"/>
        <v>14189.58</v>
      </c>
      <c r="N530" t="s">
        <v>33</v>
      </c>
      <c r="O530" t="s">
        <v>34</v>
      </c>
      <c r="P530" t="s">
        <v>21</v>
      </c>
      <c r="Q530" t="s">
        <v>88</v>
      </c>
    </row>
    <row r="531" spans="1:17" x14ac:dyDescent="0.3">
      <c r="A531" t="s">
        <v>592</v>
      </c>
      <c r="B531" s="1">
        <v>45799</v>
      </c>
      <c r="C531" t="s">
        <v>36</v>
      </c>
      <c r="D531" t="s">
        <v>16</v>
      </c>
      <c r="E531" t="s">
        <v>99</v>
      </c>
      <c r="F531" t="s">
        <v>111</v>
      </c>
      <c r="G531">
        <v>2</v>
      </c>
      <c r="H531">
        <v>2929.25</v>
      </c>
      <c r="I531">
        <v>0.08</v>
      </c>
      <c r="J531">
        <v>5389.82</v>
      </c>
      <c r="K531">
        <f t="shared" si="24"/>
        <v>5858.5</v>
      </c>
      <c r="L531">
        <f t="shared" si="25"/>
        <v>468.68000000000029</v>
      </c>
      <c r="M531">
        <f t="shared" si="26"/>
        <v>5389.82</v>
      </c>
      <c r="N531" t="s">
        <v>33</v>
      </c>
      <c r="O531" t="s">
        <v>20</v>
      </c>
      <c r="P531" t="s">
        <v>30</v>
      </c>
      <c r="Q531" t="s">
        <v>59</v>
      </c>
    </row>
    <row r="532" spans="1:17" x14ac:dyDescent="0.3">
      <c r="A532" t="s">
        <v>593</v>
      </c>
      <c r="B532" s="1">
        <v>45726</v>
      </c>
      <c r="C532" t="s">
        <v>15</v>
      </c>
      <c r="D532" t="s">
        <v>43</v>
      </c>
      <c r="E532" t="s">
        <v>99</v>
      </c>
      <c r="F532" t="s">
        <v>120</v>
      </c>
      <c r="G532">
        <v>5</v>
      </c>
      <c r="H532">
        <v>4227.79</v>
      </c>
      <c r="I532">
        <v>0.14000000000000001</v>
      </c>
      <c r="J532">
        <v>18179.5</v>
      </c>
      <c r="K532">
        <f t="shared" si="24"/>
        <v>21138.95</v>
      </c>
      <c r="L532">
        <f t="shared" si="25"/>
        <v>2959.4500000000007</v>
      </c>
      <c r="M532">
        <f t="shared" si="26"/>
        <v>18179.5</v>
      </c>
      <c r="N532" t="s">
        <v>41</v>
      </c>
      <c r="O532" t="s">
        <v>29</v>
      </c>
      <c r="P532" t="s">
        <v>30</v>
      </c>
      <c r="Q532" t="s">
        <v>22</v>
      </c>
    </row>
    <row r="533" spans="1:17" x14ac:dyDescent="0.3">
      <c r="A533" t="s">
        <v>594</v>
      </c>
      <c r="B533" s="1">
        <v>45699</v>
      </c>
      <c r="C533" t="s">
        <v>24</v>
      </c>
      <c r="D533" t="s">
        <v>39</v>
      </c>
      <c r="E533" t="s">
        <v>99</v>
      </c>
      <c r="F533" t="s">
        <v>111</v>
      </c>
      <c r="G533">
        <v>1</v>
      </c>
      <c r="H533">
        <v>2535.5700000000002</v>
      </c>
      <c r="I533">
        <v>0.06</v>
      </c>
      <c r="J533">
        <v>2383.44</v>
      </c>
      <c r="K533">
        <f t="shared" si="24"/>
        <v>2535.5700000000002</v>
      </c>
      <c r="L533">
        <f t="shared" si="25"/>
        <v>152.13000000000011</v>
      </c>
      <c r="M533">
        <f t="shared" si="26"/>
        <v>2383.44</v>
      </c>
      <c r="N533" t="s">
        <v>46</v>
      </c>
      <c r="O533" t="s">
        <v>34</v>
      </c>
      <c r="P533" t="s">
        <v>30</v>
      </c>
      <c r="Q533" t="s">
        <v>22</v>
      </c>
    </row>
    <row r="534" spans="1:17" x14ac:dyDescent="0.3">
      <c r="A534" t="s">
        <v>595</v>
      </c>
      <c r="B534" s="1">
        <v>45793</v>
      </c>
      <c r="C534" t="s">
        <v>24</v>
      </c>
      <c r="D534" t="s">
        <v>25</v>
      </c>
      <c r="E534" t="s">
        <v>99</v>
      </c>
      <c r="F534" t="s">
        <v>100</v>
      </c>
      <c r="G534">
        <v>2</v>
      </c>
      <c r="H534">
        <v>4575.43</v>
      </c>
      <c r="I534">
        <v>0.11</v>
      </c>
      <c r="J534">
        <v>8144.27</v>
      </c>
      <c r="K534">
        <f t="shared" si="24"/>
        <v>9150.86</v>
      </c>
      <c r="L534">
        <f t="shared" si="25"/>
        <v>1006.5900000000001</v>
      </c>
      <c r="M534">
        <f t="shared" si="26"/>
        <v>8144.27</v>
      </c>
      <c r="N534" t="s">
        <v>46</v>
      </c>
      <c r="O534" t="s">
        <v>20</v>
      </c>
      <c r="P534" t="s">
        <v>54</v>
      </c>
      <c r="Q534" t="s">
        <v>37</v>
      </c>
    </row>
    <row r="535" spans="1:17" x14ac:dyDescent="0.3">
      <c r="A535" t="s">
        <v>596</v>
      </c>
      <c r="B535" s="1">
        <v>45783</v>
      </c>
      <c r="C535" t="s">
        <v>15</v>
      </c>
      <c r="D535" t="s">
        <v>43</v>
      </c>
      <c r="E535" t="s">
        <v>61</v>
      </c>
      <c r="F535" t="s">
        <v>75</v>
      </c>
      <c r="G535">
        <v>5</v>
      </c>
      <c r="H535">
        <v>1620.76</v>
      </c>
      <c r="I535">
        <v>0.08</v>
      </c>
      <c r="J535">
        <v>7455.5</v>
      </c>
      <c r="K535">
        <f t="shared" si="24"/>
        <v>8103.8</v>
      </c>
      <c r="L535">
        <f t="shared" si="25"/>
        <v>648.30000000000018</v>
      </c>
      <c r="M535">
        <f t="shared" si="26"/>
        <v>7455.5</v>
      </c>
      <c r="N535" t="s">
        <v>41</v>
      </c>
      <c r="O535" t="s">
        <v>29</v>
      </c>
      <c r="P535" t="s">
        <v>54</v>
      </c>
      <c r="Q535" t="s">
        <v>22</v>
      </c>
    </row>
    <row r="536" spans="1:17" x14ac:dyDescent="0.3">
      <c r="A536" t="s">
        <v>597</v>
      </c>
      <c r="B536" s="1">
        <v>45825</v>
      </c>
      <c r="C536" t="s">
        <v>48</v>
      </c>
      <c r="D536" t="s">
        <v>16</v>
      </c>
      <c r="E536" t="s">
        <v>17</v>
      </c>
      <c r="F536" t="s">
        <v>40</v>
      </c>
      <c r="G536">
        <v>1</v>
      </c>
      <c r="H536">
        <v>1623.81</v>
      </c>
      <c r="I536">
        <v>0.01</v>
      </c>
      <c r="J536">
        <v>1607.57</v>
      </c>
      <c r="K536">
        <f t="shared" si="24"/>
        <v>1623.81</v>
      </c>
      <c r="L536">
        <f t="shared" si="25"/>
        <v>16.240000000000009</v>
      </c>
      <c r="M536">
        <f t="shared" si="26"/>
        <v>1607.57</v>
      </c>
      <c r="N536" t="s">
        <v>33</v>
      </c>
      <c r="O536" t="s">
        <v>20</v>
      </c>
      <c r="P536" t="s">
        <v>21</v>
      </c>
      <c r="Q536" t="s">
        <v>22</v>
      </c>
    </row>
    <row r="537" spans="1:17" x14ac:dyDescent="0.3">
      <c r="A537" t="s">
        <v>598</v>
      </c>
      <c r="B537" s="1">
        <v>45711</v>
      </c>
      <c r="C537" t="s">
        <v>36</v>
      </c>
      <c r="D537" t="s">
        <v>39</v>
      </c>
      <c r="E537" t="s">
        <v>17</v>
      </c>
      <c r="F537" t="s">
        <v>18</v>
      </c>
      <c r="G537">
        <v>5</v>
      </c>
      <c r="H537">
        <v>3816.62</v>
      </c>
      <c r="I537">
        <v>0.16</v>
      </c>
      <c r="J537">
        <v>16029.8</v>
      </c>
      <c r="K537">
        <f t="shared" si="24"/>
        <v>19083.099999999999</v>
      </c>
      <c r="L537">
        <f t="shared" si="25"/>
        <v>3053.2999999999993</v>
      </c>
      <c r="M537">
        <f t="shared" si="26"/>
        <v>16029.8</v>
      </c>
      <c r="N537" t="s">
        <v>46</v>
      </c>
      <c r="O537" t="s">
        <v>20</v>
      </c>
      <c r="P537" t="s">
        <v>54</v>
      </c>
      <c r="Q537" t="s">
        <v>22</v>
      </c>
    </row>
    <row r="538" spans="1:17" x14ac:dyDescent="0.3">
      <c r="A538" t="s">
        <v>599</v>
      </c>
      <c r="B538" s="1">
        <v>45758</v>
      </c>
      <c r="C538" t="s">
        <v>36</v>
      </c>
      <c r="D538" t="s">
        <v>16</v>
      </c>
      <c r="E538" t="s">
        <v>99</v>
      </c>
      <c r="F538" t="s">
        <v>111</v>
      </c>
      <c r="G538">
        <v>1</v>
      </c>
      <c r="H538">
        <v>1436.01</v>
      </c>
      <c r="I538">
        <v>0.04</v>
      </c>
      <c r="J538">
        <v>1378.57</v>
      </c>
      <c r="K538">
        <f t="shared" si="24"/>
        <v>1436.01</v>
      </c>
      <c r="L538">
        <f t="shared" si="25"/>
        <v>57.440000000000055</v>
      </c>
      <c r="M538">
        <f t="shared" si="26"/>
        <v>1378.57</v>
      </c>
      <c r="N538" t="s">
        <v>46</v>
      </c>
      <c r="O538" t="s">
        <v>34</v>
      </c>
      <c r="P538" t="s">
        <v>54</v>
      </c>
      <c r="Q538" t="s">
        <v>59</v>
      </c>
    </row>
    <row r="539" spans="1:17" x14ac:dyDescent="0.3">
      <c r="A539" t="s">
        <v>600</v>
      </c>
      <c r="B539" s="1">
        <v>45754</v>
      </c>
      <c r="C539" t="s">
        <v>52</v>
      </c>
      <c r="D539" t="s">
        <v>39</v>
      </c>
      <c r="E539" t="s">
        <v>27</v>
      </c>
      <c r="F539" t="s">
        <v>79</v>
      </c>
      <c r="G539">
        <v>5</v>
      </c>
      <c r="H539">
        <v>1660.58</v>
      </c>
      <c r="I539">
        <v>0.04</v>
      </c>
      <c r="J539">
        <v>7970.78</v>
      </c>
      <c r="K539">
        <f t="shared" si="24"/>
        <v>8302.9</v>
      </c>
      <c r="L539">
        <f t="shared" si="25"/>
        <v>332.11999999999989</v>
      </c>
      <c r="M539">
        <f t="shared" si="26"/>
        <v>7970.78</v>
      </c>
      <c r="N539" t="s">
        <v>33</v>
      </c>
      <c r="O539" t="s">
        <v>34</v>
      </c>
      <c r="P539" t="s">
        <v>21</v>
      </c>
      <c r="Q539" t="s">
        <v>22</v>
      </c>
    </row>
    <row r="540" spans="1:17" x14ac:dyDescent="0.3">
      <c r="A540" t="s">
        <v>601</v>
      </c>
      <c r="B540" s="1">
        <v>45708</v>
      </c>
      <c r="C540" t="s">
        <v>15</v>
      </c>
      <c r="D540" t="s">
        <v>16</v>
      </c>
      <c r="E540" t="s">
        <v>61</v>
      </c>
      <c r="F540" t="s">
        <v>62</v>
      </c>
      <c r="G540">
        <v>5</v>
      </c>
      <c r="H540">
        <v>2273.87</v>
      </c>
      <c r="I540">
        <v>0.03</v>
      </c>
      <c r="J540">
        <v>11028.27</v>
      </c>
      <c r="K540">
        <f t="shared" si="24"/>
        <v>11369.349999999999</v>
      </c>
      <c r="L540">
        <f t="shared" si="25"/>
        <v>341.07999999999811</v>
      </c>
      <c r="M540">
        <f t="shared" si="26"/>
        <v>11028.27</v>
      </c>
      <c r="N540" t="s">
        <v>33</v>
      </c>
      <c r="O540" t="s">
        <v>34</v>
      </c>
      <c r="P540" t="s">
        <v>30</v>
      </c>
      <c r="Q540" t="s">
        <v>22</v>
      </c>
    </row>
    <row r="541" spans="1:17" x14ac:dyDescent="0.3">
      <c r="A541" t="s">
        <v>602</v>
      </c>
      <c r="B541" s="1">
        <v>45835</v>
      </c>
      <c r="C541" t="s">
        <v>48</v>
      </c>
      <c r="D541" t="s">
        <v>25</v>
      </c>
      <c r="E541" t="s">
        <v>17</v>
      </c>
      <c r="F541" t="s">
        <v>18</v>
      </c>
      <c r="G541">
        <v>5</v>
      </c>
      <c r="H541">
        <v>4467.25</v>
      </c>
      <c r="I541">
        <v>0.16</v>
      </c>
      <c r="J541">
        <v>18762.45</v>
      </c>
      <c r="K541">
        <f t="shared" si="24"/>
        <v>22336.25</v>
      </c>
      <c r="L541">
        <f t="shared" si="25"/>
        <v>3573.7999999999993</v>
      </c>
      <c r="M541">
        <f t="shared" si="26"/>
        <v>18762.45</v>
      </c>
      <c r="N541" t="s">
        <v>41</v>
      </c>
      <c r="O541" t="s">
        <v>20</v>
      </c>
      <c r="P541" t="s">
        <v>21</v>
      </c>
      <c r="Q541" t="s">
        <v>22</v>
      </c>
    </row>
    <row r="542" spans="1:17" x14ac:dyDescent="0.3">
      <c r="A542" t="s">
        <v>603</v>
      </c>
      <c r="B542" s="1">
        <v>45836</v>
      </c>
      <c r="C542" t="s">
        <v>52</v>
      </c>
      <c r="D542" t="s">
        <v>25</v>
      </c>
      <c r="E542" t="s">
        <v>99</v>
      </c>
      <c r="F542" t="s">
        <v>111</v>
      </c>
      <c r="G542">
        <v>4</v>
      </c>
      <c r="H542">
        <v>2882.17</v>
      </c>
      <c r="I542">
        <v>0.02</v>
      </c>
      <c r="J542">
        <v>11298.11</v>
      </c>
      <c r="K542">
        <f t="shared" si="24"/>
        <v>11528.68</v>
      </c>
      <c r="L542">
        <f t="shared" si="25"/>
        <v>230.56999999999971</v>
      </c>
      <c r="M542">
        <f t="shared" si="26"/>
        <v>11298.11</v>
      </c>
      <c r="N542" t="s">
        <v>33</v>
      </c>
      <c r="O542" t="s">
        <v>20</v>
      </c>
      <c r="P542" t="s">
        <v>21</v>
      </c>
      <c r="Q542" t="s">
        <v>22</v>
      </c>
    </row>
    <row r="543" spans="1:17" x14ac:dyDescent="0.3">
      <c r="A543" t="s">
        <v>604</v>
      </c>
      <c r="B543" s="1">
        <v>45824</v>
      </c>
      <c r="C543" t="s">
        <v>48</v>
      </c>
      <c r="D543" t="s">
        <v>25</v>
      </c>
      <c r="E543" t="s">
        <v>99</v>
      </c>
      <c r="F543" t="s">
        <v>115</v>
      </c>
      <c r="G543">
        <v>2</v>
      </c>
      <c r="H543">
        <v>4319.37</v>
      </c>
      <c r="I543">
        <v>0.15</v>
      </c>
      <c r="J543">
        <v>7342.93</v>
      </c>
      <c r="K543">
        <f t="shared" si="24"/>
        <v>8638.74</v>
      </c>
      <c r="L543">
        <f t="shared" si="25"/>
        <v>1295.8099999999995</v>
      </c>
      <c r="M543">
        <f t="shared" si="26"/>
        <v>7342.93</v>
      </c>
      <c r="N543" t="s">
        <v>19</v>
      </c>
      <c r="O543" t="s">
        <v>20</v>
      </c>
      <c r="P543" t="s">
        <v>30</v>
      </c>
      <c r="Q543" t="s">
        <v>22</v>
      </c>
    </row>
    <row r="544" spans="1:17" x14ac:dyDescent="0.3">
      <c r="A544" t="s">
        <v>605</v>
      </c>
      <c r="B544" s="1">
        <v>45669</v>
      </c>
      <c r="C544" t="s">
        <v>48</v>
      </c>
      <c r="D544" t="s">
        <v>43</v>
      </c>
      <c r="E544" t="s">
        <v>99</v>
      </c>
      <c r="F544" t="s">
        <v>111</v>
      </c>
      <c r="G544">
        <v>1</v>
      </c>
      <c r="H544">
        <v>2429.14</v>
      </c>
      <c r="I544">
        <v>0.09</v>
      </c>
      <c r="J544">
        <v>2210.52</v>
      </c>
      <c r="K544">
        <f t="shared" si="24"/>
        <v>2429.14</v>
      </c>
      <c r="L544">
        <f t="shared" si="25"/>
        <v>218.61999999999989</v>
      </c>
      <c r="M544">
        <f t="shared" si="26"/>
        <v>2210.52</v>
      </c>
      <c r="N544" t="s">
        <v>41</v>
      </c>
      <c r="O544" t="s">
        <v>20</v>
      </c>
      <c r="P544" t="s">
        <v>30</v>
      </c>
      <c r="Q544" t="s">
        <v>22</v>
      </c>
    </row>
    <row r="545" spans="1:17" x14ac:dyDescent="0.3">
      <c r="A545" t="s">
        <v>606</v>
      </c>
      <c r="B545" s="1">
        <v>45677</v>
      </c>
      <c r="C545" t="s">
        <v>36</v>
      </c>
      <c r="D545" t="s">
        <v>25</v>
      </c>
      <c r="E545" t="s">
        <v>99</v>
      </c>
      <c r="F545" t="s">
        <v>100</v>
      </c>
      <c r="G545">
        <v>1</v>
      </c>
      <c r="H545">
        <v>1696.76</v>
      </c>
      <c r="I545">
        <v>0.16</v>
      </c>
      <c r="J545">
        <v>1425.28</v>
      </c>
      <c r="K545">
        <f t="shared" si="24"/>
        <v>1696.76</v>
      </c>
      <c r="L545">
        <f t="shared" si="25"/>
        <v>271.48</v>
      </c>
      <c r="M545">
        <f t="shared" si="26"/>
        <v>1425.28</v>
      </c>
      <c r="N545" t="s">
        <v>58</v>
      </c>
      <c r="O545" t="s">
        <v>34</v>
      </c>
      <c r="P545" t="s">
        <v>30</v>
      </c>
      <c r="Q545" t="s">
        <v>22</v>
      </c>
    </row>
    <row r="546" spans="1:17" x14ac:dyDescent="0.3">
      <c r="A546" t="s">
        <v>607</v>
      </c>
      <c r="B546" s="1">
        <v>45783</v>
      </c>
      <c r="C546" t="s">
        <v>36</v>
      </c>
      <c r="D546" t="s">
        <v>43</v>
      </c>
      <c r="E546" t="s">
        <v>49</v>
      </c>
      <c r="F546" t="s">
        <v>73</v>
      </c>
      <c r="G546">
        <v>2</v>
      </c>
      <c r="H546">
        <v>4872.07</v>
      </c>
      <c r="I546">
        <v>0.1</v>
      </c>
      <c r="J546">
        <v>8769.73</v>
      </c>
      <c r="K546">
        <f t="shared" si="24"/>
        <v>9744.14</v>
      </c>
      <c r="L546">
        <f t="shared" si="25"/>
        <v>974.40999999999985</v>
      </c>
      <c r="M546">
        <f t="shared" si="26"/>
        <v>8769.73</v>
      </c>
      <c r="N546" t="s">
        <v>19</v>
      </c>
      <c r="O546" t="s">
        <v>29</v>
      </c>
      <c r="P546" t="s">
        <v>30</v>
      </c>
      <c r="Q546" t="s">
        <v>88</v>
      </c>
    </row>
    <row r="547" spans="1:17" x14ac:dyDescent="0.3">
      <c r="A547" t="s">
        <v>608</v>
      </c>
      <c r="B547" s="1">
        <v>45742</v>
      </c>
      <c r="C547" t="s">
        <v>48</v>
      </c>
      <c r="D547" t="s">
        <v>16</v>
      </c>
      <c r="E547" t="s">
        <v>27</v>
      </c>
      <c r="F547" t="s">
        <v>87</v>
      </c>
      <c r="G547">
        <v>5</v>
      </c>
      <c r="H547">
        <v>3501.25</v>
      </c>
      <c r="I547">
        <v>0.04</v>
      </c>
      <c r="J547">
        <v>16806</v>
      </c>
      <c r="K547">
        <f t="shared" si="24"/>
        <v>17506.25</v>
      </c>
      <c r="L547">
        <f t="shared" si="25"/>
        <v>700.25</v>
      </c>
      <c r="M547">
        <f t="shared" si="26"/>
        <v>16806</v>
      </c>
      <c r="N547" t="s">
        <v>33</v>
      </c>
      <c r="O547" t="s">
        <v>34</v>
      </c>
      <c r="P547" t="s">
        <v>21</v>
      </c>
      <c r="Q547" t="s">
        <v>22</v>
      </c>
    </row>
    <row r="548" spans="1:17" x14ac:dyDescent="0.3">
      <c r="A548" t="s">
        <v>609</v>
      </c>
      <c r="B548" s="1">
        <v>45821</v>
      </c>
      <c r="C548" t="s">
        <v>24</v>
      </c>
      <c r="D548" t="s">
        <v>43</v>
      </c>
      <c r="E548" t="s">
        <v>27</v>
      </c>
      <c r="F548" t="s">
        <v>87</v>
      </c>
      <c r="G548">
        <v>4</v>
      </c>
      <c r="H548">
        <v>1694.35</v>
      </c>
      <c r="I548">
        <v>0.02</v>
      </c>
      <c r="J548">
        <v>6641.85</v>
      </c>
      <c r="K548">
        <f t="shared" si="24"/>
        <v>6777.4</v>
      </c>
      <c r="L548">
        <f t="shared" si="25"/>
        <v>135.54999999999927</v>
      </c>
      <c r="M548">
        <f t="shared" si="26"/>
        <v>6641.85</v>
      </c>
      <c r="N548" t="s">
        <v>33</v>
      </c>
      <c r="O548" t="s">
        <v>29</v>
      </c>
      <c r="P548" t="s">
        <v>30</v>
      </c>
      <c r="Q548" t="s">
        <v>22</v>
      </c>
    </row>
    <row r="549" spans="1:17" x14ac:dyDescent="0.3">
      <c r="A549" t="s">
        <v>610</v>
      </c>
      <c r="B549" s="1">
        <v>45713</v>
      </c>
      <c r="C549" t="s">
        <v>36</v>
      </c>
      <c r="D549" t="s">
        <v>16</v>
      </c>
      <c r="E549" t="s">
        <v>49</v>
      </c>
      <c r="F549" t="s">
        <v>56</v>
      </c>
      <c r="G549">
        <v>5</v>
      </c>
      <c r="H549">
        <v>3879.58</v>
      </c>
      <c r="I549">
        <v>0.09</v>
      </c>
      <c r="J549">
        <v>17652.09</v>
      </c>
      <c r="K549">
        <f t="shared" si="24"/>
        <v>19397.900000000001</v>
      </c>
      <c r="L549">
        <f t="shared" si="25"/>
        <v>1745.8100000000013</v>
      </c>
      <c r="M549">
        <f t="shared" si="26"/>
        <v>17652.09</v>
      </c>
      <c r="N549" t="s">
        <v>58</v>
      </c>
      <c r="O549" t="s">
        <v>29</v>
      </c>
      <c r="P549" t="s">
        <v>30</v>
      </c>
      <c r="Q549" t="s">
        <v>22</v>
      </c>
    </row>
    <row r="550" spans="1:17" x14ac:dyDescent="0.3">
      <c r="A550" t="s">
        <v>611</v>
      </c>
      <c r="B550" s="1">
        <v>45668</v>
      </c>
      <c r="C550" t="s">
        <v>52</v>
      </c>
      <c r="D550" t="s">
        <v>43</v>
      </c>
      <c r="E550" t="s">
        <v>61</v>
      </c>
      <c r="F550" t="s">
        <v>62</v>
      </c>
      <c r="G550">
        <v>5</v>
      </c>
      <c r="H550">
        <v>1528.37</v>
      </c>
      <c r="I550">
        <v>0.15</v>
      </c>
      <c r="J550">
        <v>6495.57</v>
      </c>
      <c r="K550">
        <f t="shared" si="24"/>
        <v>7641.8499999999995</v>
      </c>
      <c r="L550">
        <f t="shared" si="25"/>
        <v>1146.2799999999997</v>
      </c>
      <c r="M550">
        <f t="shared" si="26"/>
        <v>6495.57</v>
      </c>
      <c r="N550" t="s">
        <v>19</v>
      </c>
      <c r="O550" t="s">
        <v>34</v>
      </c>
      <c r="P550" t="s">
        <v>30</v>
      </c>
      <c r="Q550" t="s">
        <v>22</v>
      </c>
    </row>
    <row r="551" spans="1:17" x14ac:dyDescent="0.3">
      <c r="A551" t="s">
        <v>612</v>
      </c>
      <c r="B551" s="1">
        <v>45660</v>
      </c>
      <c r="C551" t="s">
        <v>36</v>
      </c>
      <c r="D551" t="s">
        <v>25</v>
      </c>
      <c r="E551" t="s">
        <v>99</v>
      </c>
      <c r="F551" t="s">
        <v>111</v>
      </c>
      <c r="G551">
        <v>3</v>
      </c>
      <c r="H551">
        <v>4952.42</v>
      </c>
      <c r="I551">
        <v>0.15</v>
      </c>
      <c r="J551">
        <v>12628.67</v>
      </c>
      <c r="K551">
        <f t="shared" si="24"/>
        <v>14857.26</v>
      </c>
      <c r="L551">
        <f t="shared" si="25"/>
        <v>2228.59</v>
      </c>
      <c r="M551">
        <f t="shared" si="26"/>
        <v>12628.67</v>
      </c>
      <c r="N551" t="s">
        <v>46</v>
      </c>
      <c r="O551" t="s">
        <v>34</v>
      </c>
      <c r="P551" t="s">
        <v>21</v>
      </c>
      <c r="Q551" t="s">
        <v>88</v>
      </c>
    </row>
    <row r="552" spans="1:17" x14ac:dyDescent="0.3">
      <c r="A552" t="s">
        <v>613</v>
      </c>
      <c r="B552" s="1">
        <v>45724</v>
      </c>
      <c r="C552" t="s">
        <v>15</v>
      </c>
      <c r="D552" t="s">
        <v>16</v>
      </c>
      <c r="E552" t="s">
        <v>99</v>
      </c>
      <c r="F552" t="s">
        <v>120</v>
      </c>
      <c r="G552">
        <v>1</v>
      </c>
      <c r="H552">
        <v>3546.44</v>
      </c>
      <c r="I552">
        <v>0.21</v>
      </c>
      <c r="J552">
        <v>2801.69</v>
      </c>
      <c r="K552">
        <f t="shared" si="24"/>
        <v>3546.44</v>
      </c>
      <c r="L552">
        <f t="shared" si="25"/>
        <v>744.75</v>
      </c>
      <c r="M552">
        <f t="shared" si="26"/>
        <v>2801.69</v>
      </c>
      <c r="N552" t="s">
        <v>33</v>
      </c>
      <c r="O552" t="s">
        <v>20</v>
      </c>
      <c r="P552" t="s">
        <v>30</v>
      </c>
      <c r="Q552" t="s">
        <v>37</v>
      </c>
    </row>
    <row r="553" spans="1:17" x14ac:dyDescent="0.3">
      <c r="A553" t="s">
        <v>614</v>
      </c>
      <c r="B553" s="1">
        <v>45809</v>
      </c>
      <c r="C553" t="s">
        <v>48</v>
      </c>
      <c r="D553" t="s">
        <v>43</v>
      </c>
      <c r="E553" t="s">
        <v>17</v>
      </c>
      <c r="F553" t="s">
        <v>44</v>
      </c>
      <c r="G553">
        <v>3</v>
      </c>
      <c r="H553">
        <v>3587.69</v>
      </c>
      <c r="I553">
        <v>0.1</v>
      </c>
      <c r="J553">
        <v>9686.76</v>
      </c>
      <c r="K553">
        <f t="shared" si="24"/>
        <v>10763.07</v>
      </c>
      <c r="L553">
        <f t="shared" si="25"/>
        <v>1076.3099999999995</v>
      </c>
      <c r="M553">
        <f t="shared" si="26"/>
        <v>9686.76</v>
      </c>
      <c r="N553" t="s">
        <v>33</v>
      </c>
      <c r="O553" t="s">
        <v>34</v>
      </c>
      <c r="P553" t="s">
        <v>30</v>
      </c>
      <c r="Q553" t="s">
        <v>22</v>
      </c>
    </row>
    <row r="554" spans="1:17" x14ac:dyDescent="0.3">
      <c r="A554" t="s">
        <v>615</v>
      </c>
      <c r="B554" s="1">
        <v>45685</v>
      </c>
      <c r="C554" t="s">
        <v>52</v>
      </c>
      <c r="D554" t="s">
        <v>43</v>
      </c>
      <c r="E554" t="s">
        <v>49</v>
      </c>
      <c r="F554" t="s">
        <v>73</v>
      </c>
      <c r="G554">
        <v>3</v>
      </c>
      <c r="H554">
        <v>4215.82</v>
      </c>
      <c r="I554">
        <v>0.04</v>
      </c>
      <c r="J554">
        <v>12141.56</v>
      </c>
      <c r="K554">
        <f t="shared" si="24"/>
        <v>12647.46</v>
      </c>
      <c r="L554">
        <f t="shared" si="25"/>
        <v>505.89999999999964</v>
      </c>
      <c r="M554">
        <f t="shared" si="26"/>
        <v>12141.56</v>
      </c>
      <c r="N554" t="s">
        <v>33</v>
      </c>
      <c r="O554" t="s">
        <v>34</v>
      </c>
      <c r="P554" t="s">
        <v>21</v>
      </c>
      <c r="Q554" t="s">
        <v>22</v>
      </c>
    </row>
    <row r="555" spans="1:17" x14ac:dyDescent="0.3">
      <c r="A555" t="s">
        <v>616</v>
      </c>
      <c r="B555" s="1">
        <v>45783</v>
      </c>
      <c r="C555" t="s">
        <v>52</v>
      </c>
      <c r="D555" t="s">
        <v>25</v>
      </c>
      <c r="E555" t="s">
        <v>17</v>
      </c>
      <c r="F555" t="s">
        <v>18</v>
      </c>
      <c r="G555">
        <v>4</v>
      </c>
      <c r="H555">
        <v>4877.38</v>
      </c>
      <c r="I555">
        <v>0.03</v>
      </c>
      <c r="J555">
        <v>18924.23</v>
      </c>
      <c r="K555">
        <f t="shared" si="24"/>
        <v>19509.52</v>
      </c>
      <c r="L555">
        <f t="shared" si="25"/>
        <v>585.29000000000087</v>
      </c>
      <c r="M555">
        <f t="shared" si="26"/>
        <v>18924.23</v>
      </c>
      <c r="N555" t="s">
        <v>41</v>
      </c>
      <c r="O555" t="s">
        <v>29</v>
      </c>
      <c r="P555" t="s">
        <v>54</v>
      </c>
      <c r="Q555" t="s">
        <v>37</v>
      </c>
    </row>
    <row r="556" spans="1:17" x14ac:dyDescent="0.3">
      <c r="A556" t="s">
        <v>617</v>
      </c>
      <c r="B556" s="1">
        <v>45710</v>
      </c>
      <c r="C556" t="s">
        <v>36</v>
      </c>
      <c r="D556" t="s">
        <v>39</v>
      </c>
      <c r="E556" t="s">
        <v>27</v>
      </c>
      <c r="F556" t="s">
        <v>87</v>
      </c>
      <c r="G556">
        <v>5</v>
      </c>
      <c r="H556">
        <v>2178.21</v>
      </c>
      <c r="I556">
        <v>0.21</v>
      </c>
      <c r="J556">
        <v>8603.93</v>
      </c>
      <c r="K556">
        <f t="shared" si="24"/>
        <v>10891.05</v>
      </c>
      <c r="L556">
        <f t="shared" si="25"/>
        <v>2287.119999999999</v>
      </c>
      <c r="M556">
        <f t="shared" si="26"/>
        <v>8603.93</v>
      </c>
      <c r="N556" t="s">
        <v>19</v>
      </c>
      <c r="O556" t="s">
        <v>34</v>
      </c>
      <c r="P556" t="s">
        <v>30</v>
      </c>
      <c r="Q556" t="s">
        <v>22</v>
      </c>
    </row>
    <row r="557" spans="1:17" x14ac:dyDescent="0.3">
      <c r="A557" t="s">
        <v>618</v>
      </c>
      <c r="B557" s="1">
        <v>45691</v>
      </c>
      <c r="C557" t="s">
        <v>36</v>
      </c>
      <c r="D557" t="s">
        <v>39</v>
      </c>
      <c r="E557" t="s">
        <v>49</v>
      </c>
      <c r="F557" t="s">
        <v>56</v>
      </c>
      <c r="G557">
        <v>2</v>
      </c>
      <c r="H557">
        <v>3589.44</v>
      </c>
      <c r="I557">
        <v>7.0000000000000007E-2</v>
      </c>
      <c r="J557">
        <v>6676.36</v>
      </c>
      <c r="K557">
        <f t="shared" si="24"/>
        <v>7178.88</v>
      </c>
      <c r="L557">
        <f t="shared" si="25"/>
        <v>502.52000000000044</v>
      </c>
      <c r="M557">
        <f t="shared" si="26"/>
        <v>6676.36</v>
      </c>
      <c r="N557" t="s">
        <v>41</v>
      </c>
      <c r="O557" t="s">
        <v>29</v>
      </c>
      <c r="P557" t="s">
        <v>21</v>
      </c>
      <c r="Q557" t="s">
        <v>22</v>
      </c>
    </row>
    <row r="558" spans="1:17" x14ac:dyDescent="0.3">
      <c r="A558" t="s">
        <v>619</v>
      </c>
      <c r="B558" s="1">
        <v>45803</v>
      </c>
      <c r="C558" t="s">
        <v>15</v>
      </c>
      <c r="D558" t="s">
        <v>39</v>
      </c>
      <c r="E558" t="s">
        <v>17</v>
      </c>
      <c r="F558" t="s">
        <v>40</v>
      </c>
      <c r="G558">
        <v>4</v>
      </c>
      <c r="H558">
        <v>4812.51</v>
      </c>
      <c r="I558">
        <v>0.02</v>
      </c>
      <c r="J558">
        <v>18865.04</v>
      </c>
      <c r="K558">
        <f t="shared" si="24"/>
        <v>19250.04</v>
      </c>
      <c r="L558">
        <f t="shared" si="25"/>
        <v>385</v>
      </c>
      <c r="M558">
        <f t="shared" si="26"/>
        <v>18865.04</v>
      </c>
      <c r="N558" t="s">
        <v>58</v>
      </c>
      <c r="O558" t="s">
        <v>29</v>
      </c>
      <c r="P558" t="s">
        <v>21</v>
      </c>
      <c r="Q558" t="s">
        <v>22</v>
      </c>
    </row>
    <row r="559" spans="1:17" x14ac:dyDescent="0.3">
      <c r="A559" t="s">
        <v>620</v>
      </c>
      <c r="B559" s="1">
        <v>45745</v>
      </c>
      <c r="C559" t="s">
        <v>52</v>
      </c>
      <c r="D559" t="s">
        <v>39</v>
      </c>
      <c r="E559" t="s">
        <v>17</v>
      </c>
      <c r="F559" t="s">
        <v>18</v>
      </c>
      <c r="G559">
        <v>1</v>
      </c>
      <c r="H559">
        <v>3451.96</v>
      </c>
      <c r="I559">
        <v>0.13</v>
      </c>
      <c r="J559">
        <v>3003.21</v>
      </c>
      <c r="K559">
        <f t="shared" si="24"/>
        <v>3451.96</v>
      </c>
      <c r="L559">
        <f t="shared" si="25"/>
        <v>448.75</v>
      </c>
      <c r="M559">
        <f t="shared" si="26"/>
        <v>3003.21</v>
      </c>
      <c r="N559" t="s">
        <v>41</v>
      </c>
      <c r="O559" t="s">
        <v>29</v>
      </c>
      <c r="P559" t="s">
        <v>21</v>
      </c>
      <c r="Q559" t="s">
        <v>22</v>
      </c>
    </row>
    <row r="560" spans="1:17" x14ac:dyDescent="0.3">
      <c r="A560" t="s">
        <v>621</v>
      </c>
      <c r="B560" s="1">
        <v>45767</v>
      </c>
      <c r="C560" t="s">
        <v>48</v>
      </c>
      <c r="D560" t="s">
        <v>39</v>
      </c>
      <c r="E560" t="s">
        <v>99</v>
      </c>
      <c r="F560" t="s">
        <v>120</v>
      </c>
      <c r="G560">
        <v>4</v>
      </c>
      <c r="H560">
        <v>2912.43</v>
      </c>
      <c r="I560">
        <v>0.08</v>
      </c>
      <c r="J560">
        <v>10717.74</v>
      </c>
      <c r="K560">
        <f t="shared" si="24"/>
        <v>11649.72</v>
      </c>
      <c r="L560">
        <f t="shared" si="25"/>
        <v>931.97999999999956</v>
      </c>
      <c r="M560">
        <f t="shared" si="26"/>
        <v>10717.74</v>
      </c>
      <c r="N560" t="s">
        <v>41</v>
      </c>
      <c r="O560" t="s">
        <v>29</v>
      </c>
      <c r="P560" t="s">
        <v>30</v>
      </c>
      <c r="Q560" t="s">
        <v>22</v>
      </c>
    </row>
    <row r="561" spans="1:17" x14ac:dyDescent="0.3">
      <c r="A561" t="s">
        <v>622</v>
      </c>
      <c r="B561" s="1">
        <v>45797</v>
      </c>
      <c r="C561" t="s">
        <v>36</v>
      </c>
      <c r="D561" t="s">
        <v>39</v>
      </c>
      <c r="E561" t="s">
        <v>17</v>
      </c>
      <c r="F561" t="s">
        <v>32</v>
      </c>
      <c r="G561">
        <v>4</v>
      </c>
      <c r="H561">
        <v>2932.89</v>
      </c>
      <c r="I561">
        <v>0.14000000000000001</v>
      </c>
      <c r="J561">
        <v>10089.14</v>
      </c>
      <c r="K561">
        <f t="shared" si="24"/>
        <v>11731.56</v>
      </c>
      <c r="L561">
        <f t="shared" si="25"/>
        <v>1642.42</v>
      </c>
      <c r="M561">
        <f t="shared" si="26"/>
        <v>10089.14</v>
      </c>
      <c r="N561" t="s">
        <v>46</v>
      </c>
      <c r="O561" t="s">
        <v>20</v>
      </c>
      <c r="P561" t="s">
        <v>21</v>
      </c>
      <c r="Q561" t="s">
        <v>88</v>
      </c>
    </row>
    <row r="562" spans="1:17" x14ac:dyDescent="0.3">
      <c r="A562" t="s">
        <v>623</v>
      </c>
      <c r="B562" s="1">
        <v>45743</v>
      </c>
      <c r="C562" t="s">
        <v>15</v>
      </c>
      <c r="D562" t="s">
        <v>39</v>
      </c>
      <c r="E562" t="s">
        <v>27</v>
      </c>
      <c r="F562" t="s">
        <v>79</v>
      </c>
      <c r="G562">
        <v>2</v>
      </c>
      <c r="H562">
        <v>2577.42</v>
      </c>
      <c r="I562">
        <v>0.21</v>
      </c>
      <c r="J562">
        <v>4072.32</v>
      </c>
      <c r="K562">
        <f t="shared" si="24"/>
        <v>5154.84</v>
      </c>
      <c r="L562">
        <f t="shared" si="25"/>
        <v>1082.52</v>
      </c>
      <c r="M562">
        <f t="shared" si="26"/>
        <v>4072.32</v>
      </c>
      <c r="N562" t="s">
        <v>41</v>
      </c>
      <c r="O562" t="s">
        <v>20</v>
      </c>
      <c r="P562" t="s">
        <v>30</v>
      </c>
      <c r="Q562" t="s">
        <v>22</v>
      </c>
    </row>
    <row r="563" spans="1:17" x14ac:dyDescent="0.3">
      <c r="A563" t="s">
        <v>624</v>
      </c>
      <c r="B563" s="1">
        <v>45768</v>
      </c>
      <c r="C563" t="s">
        <v>15</v>
      </c>
      <c r="D563" t="s">
        <v>43</v>
      </c>
      <c r="E563" t="s">
        <v>99</v>
      </c>
      <c r="F563" t="s">
        <v>111</v>
      </c>
      <c r="G563">
        <v>1</v>
      </c>
      <c r="H563">
        <v>3058.73</v>
      </c>
      <c r="I563">
        <v>0.23</v>
      </c>
      <c r="J563">
        <v>2355.2199999999998</v>
      </c>
      <c r="K563">
        <f t="shared" si="24"/>
        <v>3058.73</v>
      </c>
      <c r="L563">
        <f t="shared" si="25"/>
        <v>703.51000000000022</v>
      </c>
      <c r="M563">
        <f t="shared" si="26"/>
        <v>2355.2199999999998</v>
      </c>
      <c r="N563" t="s">
        <v>58</v>
      </c>
      <c r="O563" t="s">
        <v>29</v>
      </c>
      <c r="P563" t="s">
        <v>21</v>
      </c>
      <c r="Q563" t="s">
        <v>22</v>
      </c>
    </row>
    <row r="564" spans="1:17" x14ac:dyDescent="0.3">
      <c r="A564" t="s">
        <v>625</v>
      </c>
      <c r="B564" s="1">
        <v>45661</v>
      </c>
      <c r="C564" t="s">
        <v>15</v>
      </c>
      <c r="D564" t="s">
        <v>16</v>
      </c>
      <c r="E564" t="s">
        <v>99</v>
      </c>
      <c r="F564" t="s">
        <v>100</v>
      </c>
      <c r="G564">
        <v>2</v>
      </c>
      <c r="H564">
        <v>4016.92</v>
      </c>
      <c r="I564">
        <v>0.22</v>
      </c>
      <c r="J564">
        <v>6266.4</v>
      </c>
      <c r="K564">
        <f t="shared" si="24"/>
        <v>8033.84</v>
      </c>
      <c r="L564">
        <f t="shared" si="25"/>
        <v>1767.4400000000005</v>
      </c>
      <c r="M564">
        <f t="shared" si="26"/>
        <v>6266.4</v>
      </c>
      <c r="N564" t="s">
        <v>19</v>
      </c>
      <c r="O564" t="s">
        <v>34</v>
      </c>
      <c r="P564" t="s">
        <v>30</v>
      </c>
      <c r="Q564" t="s">
        <v>59</v>
      </c>
    </row>
    <row r="565" spans="1:17" x14ac:dyDescent="0.3">
      <c r="A565" t="s">
        <v>626</v>
      </c>
      <c r="B565" s="1">
        <v>45681</v>
      </c>
      <c r="C565" t="s">
        <v>48</v>
      </c>
      <c r="D565" t="s">
        <v>43</v>
      </c>
      <c r="E565" t="s">
        <v>27</v>
      </c>
      <c r="F565" t="s">
        <v>68</v>
      </c>
      <c r="G565">
        <v>2</v>
      </c>
      <c r="H565">
        <v>3337.27</v>
      </c>
      <c r="I565">
        <v>0.18</v>
      </c>
      <c r="J565">
        <v>5473.12</v>
      </c>
      <c r="K565">
        <f t="shared" si="24"/>
        <v>6674.54</v>
      </c>
      <c r="L565">
        <f t="shared" si="25"/>
        <v>1201.42</v>
      </c>
      <c r="M565">
        <f t="shared" si="26"/>
        <v>5473.12</v>
      </c>
      <c r="N565" t="s">
        <v>41</v>
      </c>
      <c r="O565" t="s">
        <v>34</v>
      </c>
      <c r="P565" t="s">
        <v>54</v>
      </c>
      <c r="Q565" t="s">
        <v>22</v>
      </c>
    </row>
    <row r="566" spans="1:17" x14ac:dyDescent="0.3">
      <c r="A566" t="s">
        <v>627</v>
      </c>
      <c r="B566" s="1">
        <v>45674</v>
      </c>
      <c r="C566" t="s">
        <v>15</v>
      </c>
      <c r="D566" t="s">
        <v>43</v>
      </c>
      <c r="E566" t="s">
        <v>99</v>
      </c>
      <c r="F566" t="s">
        <v>120</v>
      </c>
      <c r="G566">
        <v>2</v>
      </c>
      <c r="H566">
        <v>2373.67</v>
      </c>
      <c r="I566">
        <v>0.12</v>
      </c>
      <c r="J566">
        <v>4177.66</v>
      </c>
      <c r="K566">
        <f t="shared" si="24"/>
        <v>4747.34</v>
      </c>
      <c r="L566">
        <f t="shared" si="25"/>
        <v>569.68000000000029</v>
      </c>
      <c r="M566">
        <f t="shared" si="26"/>
        <v>4177.66</v>
      </c>
      <c r="N566" t="s">
        <v>58</v>
      </c>
      <c r="O566" t="s">
        <v>20</v>
      </c>
      <c r="P566" t="s">
        <v>30</v>
      </c>
      <c r="Q566" t="s">
        <v>22</v>
      </c>
    </row>
    <row r="567" spans="1:17" x14ac:dyDescent="0.3">
      <c r="A567" t="s">
        <v>628</v>
      </c>
      <c r="B567" s="1">
        <v>45831</v>
      </c>
      <c r="C567" t="s">
        <v>15</v>
      </c>
      <c r="D567" t="s">
        <v>25</v>
      </c>
      <c r="E567" t="s">
        <v>49</v>
      </c>
      <c r="F567" t="s">
        <v>50</v>
      </c>
      <c r="G567">
        <v>4</v>
      </c>
      <c r="H567">
        <v>158.13</v>
      </c>
      <c r="I567">
        <v>0.23</v>
      </c>
      <c r="J567">
        <v>487.04</v>
      </c>
      <c r="K567">
        <f t="shared" si="24"/>
        <v>632.52</v>
      </c>
      <c r="L567">
        <f t="shared" si="25"/>
        <v>145.47999999999996</v>
      </c>
      <c r="M567">
        <f t="shared" si="26"/>
        <v>487.04</v>
      </c>
      <c r="N567" t="s">
        <v>19</v>
      </c>
      <c r="O567" t="s">
        <v>29</v>
      </c>
      <c r="P567" t="s">
        <v>30</v>
      </c>
      <c r="Q567" t="s">
        <v>22</v>
      </c>
    </row>
    <row r="568" spans="1:17" x14ac:dyDescent="0.3">
      <c r="A568" t="s">
        <v>629</v>
      </c>
      <c r="B568" s="1">
        <v>45794</v>
      </c>
      <c r="C568" t="s">
        <v>24</v>
      </c>
      <c r="D568" t="s">
        <v>39</v>
      </c>
      <c r="E568" t="s">
        <v>27</v>
      </c>
      <c r="F568" t="s">
        <v>79</v>
      </c>
      <c r="G568">
        <v>3</v>
      </c>
      <c r="H568">
        <v>4785.3</v>
      </c>
      <c r="I568">
        <v>0.11</v>
      </c>
      <c r="J568">
        <v>12776.75</v>
      </c>
      <c r="K568">
        <f t="shared" si="24"/>
        <v>14355.900000000001</v>
      </c>
      <c r="L568">
        <f t="shared" si="25"/>
        <v>1579.1500000000015</v>
      </c>
      <c r="M568">
        <f t="shared" si="26"/>
        <v>12776.75</v>
      </c>
      <c r="N568" t="s">
        <v>33</v>
      </c>
      <c r="O568" t="s">
        <v>29</v>
      </c>
      <c r="P568" t="s">
        <v>21</v>
      </c>
      <c r="Q568" t="s">
        <v>22</v>
      </c>
    </row>
    <row r="569" spans="1:17" x14ac:dyDescent="0.3">
      <c r="A569" t="s">
        <v>630</v>
      </c>
      <c r="B569" s="1">
        <v>45835</v>
      </c>
      <c r="C569" t="s">
        <v>15</v>
      </c>
      <c r="D569" t="s">
        <v>43</v>
      </c>
      <c r="E569" t="s">
        <v>99</v>
      </c>
      <c r="F569" t="s">
        <v>120</v>
      </c>
      <c r="G569">
        <v>4</v>
      </c>
      <c r="H569">
        <v>3888.44</v>
      </c>
      <c r="I569">
        <v>0.19</v>
      </c>
      <c r="J569">
        <v>12598.55</v>
      </c>
      <c r="K569">
        <f t="shared" si="24"/>
        <v>15553.76</v>
      </c>
      <c r="L569">
        <f t="shared" si="25"/>
        <v>2955.2100000000009</v>
      </c>
      <c r="M569">
        <f t="shared" si="26"/>
        <v>12598.55</v>
      </c>
      <c r="N569" t="s">
        <v>33</v>
      </c>
      <c r="O569" t="s">
        <v>34</v>
      </c>
      <c r="P569" t="s">
        <v>21</v>
      </c>
      <c r="Q569" t="s">
        <v>22</v>
      </c>
    </row>
    <row r="570" spans="1:17" x14ac:dyDescent="0.3">
      <c r="A570" t="s">
        <v>631</v>
      </c>
      <c r="B570" s="1">
        <v>45688</v>
      </c>
      <c r="C570" t="s">
        <v>36</v>
      </c>
      <c r="D570" t="s">
        <v>16</v>
      </c>
      <c r="E570" t="s">
        <v>61</v>
      </c>
      <c r="F570" t="s">
        <v>66</v>
      </c>
      <c r="G570">
        <v>1</v>
      </c>
      <c r="H570">
        <v>4175.28</v>
      </c>
      <c r="I570">
        <v>0</v>
      </c>
      <c r="J570">
        <v>4175.28</v>
      </c>
      <c r="K570">
        <f t="shared" si="24"/>
        <v>4175.28</v>
      </c>
      <c r="L570">
        <f t="shared" si="25"/>
        <v>0</v>
      </c>
      <c r="M570">
        <f t="shared" si="26"/>
        <v>4175.28</v>
      </c>
      <c r="N570" t="s">
        <v>58</v>
      </c>
      <c r="O570" t="s">
        <v>29</v>
      </c>
      <c r="P570" t="s">
        <v>54</v>
      </c>
      <c r="Q570" t="s">
        <v>22</v>
      </c>
    </row>
    <row r="571" spans="1:17" x14ac:dyDescent="0.3">
      <c r="A571" t="s">
        <v>632</v>
      </c>
      <c r="B571" s="1">
        <v>45765</v>
      </c>
      <c r="C571" t="s">
        <v>15</v>
      </c>
      <c r="D571" t="s">
        <v>43</v>
      </c>
      <c r="E571" t="s">
        <v>99</v>
      </c>
      <c r="F571" t="s">
        <v>100</v>
      </c>
      <c r="G571">
        <v>1</v>
      </c>
      <c r="H571">
        <v>216.13</v>
      </c>
      <c r="I571">
        <v>0.02</v>
      </c>
      <c r="J571">
        <v>211.81</v>
      </c>
      <c r="K571">
        <f t="shared" si="24"/>
        <v>216.13</v>
      </c>
      <c r="L571">
        <f t="shared" si="25"/>
        <v>4.3199999999999932</v>
      </c>
      <c r="M571">
        <f t="shared" si="26"/>
        <v>211.81</v>
      </c>
      <c r="N571" t="s">
        <v>46</v>
      </c>
      <c r="O571" t="s">
        <v>20</v>
      </c>
      <c r="P571" t="s">
        <v>21</v>
      </c>
      <c r="Q571" t="s">
        <v>59</v>
      </c>
    </row>
    <row r="572" spans="1:17" x14ac:dyDescent="0.3">
      <c r="A572" t="s">
        <v>633</v>
      </c>
      <c r="B572" s="1">
        <v>45666</v>
      </c>
      <c r="C572" t="s">
        <v>24</v>
      </c>
      <c r="D572" t="s">
        <v>43</v>
      </c>
      <c r="E572" t="s">
        <v>17</v>
      </c>
      <c r="F572" t="s">
        <v>18</v>
      </c>
      <c r="G572">
        <v>4</v>
      </c>
      <c r="H572">
        <v>3316.33</v>
      </c>
      <c r="I572">
        <v>0.22</v>
      </c>
      <c r="J572">
        <v>10346.950000000001</v>
      </c>
      <c r="K572">
        <f t="shared" si="24"/>
        <v>13265.32</v>
      </c>
      <c r="L572">
        <f t="shared" si="25"/>
        <v>2918.369999999999</v>
      </c>
      <c r="M572">
        <f t="shared" si="26"/>
        <v>10346.950000000001</v>
      </c>
      <c r="N572" t="s">
        <v>33</v>
      </c>
      <c r="O572" t="s">
        <v>20</v>
      </c>
      <c r="P572" t="s">
        <v>21</v>
      </c>
      <c r="Q572" t="s">
        <v>37</v>
      </c>
    </row>
    <row r="573" spans="1:17" x14ac:dyDescent="0.3">
      <c r="A573" t="s">
        <v>634</v>
      </c>
      <c r="B573" s="1">
        <v>45822</v>
      </c>
      <c r="C573" t="s">
        <v>15</v>
      </c>
      <c r="D573" t="s">
        <v>25</v>
      </c>
      <c r="E573" t="s">
        <v>61</v>
      </c>
      <c r="F573" t="s">
        <v>66</v>
      </c>
      <c r="G573">
        <v>1</v>
      </c>
      <c r="H573">
        <v>3230.02</v>
      </c>
      <c r="I573">
        <v>0.23</v>
      </c>
      <c r="J573">
        <v>2487.12</v>
      </c>
      <c r="K573">
        <f t="shared" si="24"/>
        <v>3230.02</v>
      </c>
      <c r="L573">
        <f t="shared" si="25"/>
        <v>742.90000000000009</v>
      </c>
      <c r="M573">
        <f t="shared" si="26"/>
        <v>2487.12</v>
      </c>
      <c r="N573" t="s">
        <v>41</v>
      </c>
      <c r="O573" t="s">
        <v>29</v>
      </c>
      <c r="P573" t="s">
        <v>30</v>
      </c>
      <c r="Q573" t="s">
        <v>22</v>
      </c>
    </row>
    <row r="574" spans="1:17" x14ac:dyDescent="0.3">
      <c r="A574" t="s">
        <v>635</v>
      </c>
      <c r="B574" s="1">
        <v>45731</v>
      </c>
      <c r="C574" t="s">
        <v>52</v>
      </c>
      <c r="D574" t="s">
        <v>39</v>
      </c>
      <c r="E574" t="s">
        <v>99</v>
      </c>
      <c r="F574" t="s">
        <v>111</v>
      </c>
      <c r="G574">
        <v>1</v>
      </c>
      <c r="H574">
        <v>1975.72</v>
      </c>
      <c r="I574">
        <v>0.08</v>
      </c>
      <c r="J574">
        <v>1817.66</v>
      </c>
      <c r="K574">
        <f t="shared" si="24"/>
        <v>1975.72</v>
      </c>
      <c r="L574">
        <f t="shared" si="25"/>
        <v>158.05999999999995</v>
      </c>
      <c r="M574">
        <f t="shared" si="26"/>
        <v>1817.66</v>
      </c>
      <c r="N574" t="s">
        <v>58</v>
      </c>
      <c r="O574" t="s">
        <v>34</v>
      </c>
      <c r="P574" t="s">
        <v>54</v>
      </c>
      <c r="Q574" t="s">
        <v>59</v>
      </c>
    </row>
    <row r="575" spans="1:17" x14ac:dyDescent="0.3">
      <c r="A575" t="s">
        <v>636</v>
      </c>
      <c r="B575" s="1">
        <v>45773</v>
      </c>
      <c r="C575" t="s">
        <v>48</v>
      </c>
      <c r="D575" t="s">
        <v>16</v>
      </c>
      <c r="E575" t="s">
        <v>99</v>
      </c>
      <c r="F575" t="s">
        <v>100</v>
      </c>
      <c r="G575">
        <v>2</v>
      </c>
      <c r="H575">
        <v>3090.48</v>
      </c>
      <c r="I575">
        <v>0.04</v>
      </c>
      <c r="J575">
        <v>5933.72</v>
      </c>
      <c r="K575">
        <f t="shared" si="24"/>
        <v>6180.96</v>
      </c>
      <c r="L575">
        <f t="shared" si="25"/>
        <v>247.23999999999978</v>
      </c>
      <c r="M575">
        <f t="shared" si="26"/>
        <v>5933.72</v>
      </c>
      <c r="N575" t="s">
        <v>58</v>
      </c>
      <c r="O575" t="s">
        <v>34</v>
      </c>
      <c r="P575" t="s">
        <v>30</v>
      </c>
      <c r="Q575" t="s">
        <v>22</v>
      </c>
    </row>
    <row r="576" spans="1:17" x14ac:dyDescent="0.3">
      <c r="A576" t="s">
        <v>637</v>
      </c>
      <c r="B576" s="1">
        <v>45767</v>
      </c>
      <c r="C576" t="s">
        <v>36</v>
      </c>
      <c r="D576" t="s">
        <v>39</v>
      </c>
      <c r="E576" t="s">
        <v>49</v>
      </c>
      <c r="F576" t="s">
        <v>73</v>
      </c>
      <c r="G576">
        <v>3</v>
      </c>
      <c r="H576">
        <v>606.11</v>
      </c>
      <c r="I576">
        <v>0.02</v>
      </c>
      <c r="J576">
        <v>1781.96</v>
      </c>
      <c r="K576">
        <f t="shared" si="24"/>
        <v>1818.33</v>
      </c>
      <c r="L576">
        <f t="shared" si="25"/>
        <v>36.369999999999891</v>
      </c>
      <c r="M576">
        <f t="shared" si="26"/>
        <v>1781.96</v>
      </c>
      <c r="N576" t="s">
        <v>58</v>
      </c>
      <c r="O576" t="s">
        <v>34</v>
      </c>
      <c r="P576" t="s">
        <v>21</v>
      </c>
      <c r="Q576" t="s">
        <v>88</v>
      </c>
    </row>
    <row r="577" spans="1:17" x14ac:dyDescent="0.3">
      <c r="A577" t="s">
        <v>638</v>
      </c>
      <c r="B577" s="1">
        <v>45688</v>
      </c>
      <c r="C577" t="s">
        <v>52</v>
      </c>
      <c r="D577" t="s">
        <v>16</v>
      </c>
      <c r="E577" t="s">
        <v>17</v>
      </c>
      <c r="F577" t="s">
        <v>40</v>
      </c>
      <c r="G577">
        <v>4</v>
      </c>
      <c r="H577">
        <v>1405.54</v>
      </c>
      <c r="I577">
        <v>0.18</v>
      </c>
      <c r="J577">
        <v>4610.17</v>
      </c>
      <c r="K577">
        <f t="shared" si="24"/>
        <v>5622.16</v>
      </c>
      <c r="L577">
        <f t="shared" si="25"/>
        <v>1011.9899999999998</v>
      </c>
      <c r="M577">
        <f t="shared" si="26"/>
        <v>4610.17</v>
      </c>
      <c r="N577" t="s">
        <v>58</v>
      </c>
      <c r="O577" t="s">
        <v>20</v>
      </c>
      <c r="P577" t="s">
        <v>30</v>
      </c>
      <c r="Q577" t="s">
        <v>22</v>
      </c>
    </row>
    <row r="578" spans="1:17" x14ac:dyDescent="0.3">
      <c r="A578" t="s">
        <v>639</v>
      </c>
      <c r="B578" s="1">
        <v>45743</v>
      </c>
      <c r="C578" t="s">
        <v>48</v>
      </c>
      <c r="D578" t="s">
        <v>25</v>
      </c>
      <c r="E578" t="s">
        <v>49</v>
      </c>
      <c r="F578" t="s">
        <v>50</v>
      </c>
      <c r="G578">
        <v>1</v>
      </c>
      <c r="H578">
        <v>2746.63</v>
      </c>
      <c r="I578">
        <v>0</v>
      </c>
      <c r="J578">
        <v>2746.63</v>
      </c>
      <c r="K578">
        <f t="shared" si="24"/>
        <v>2746.63</v>
      </c>
      <c r="L578">
        <f t="shared" si="25"/>
        <v>0</v>
      </c>
      <c r="M578">
        <f t="shared" si="26"/>
        <v>2746.63</v>
      </c>
      <c r="N578" t="s">
        <v>41</v>
      </c>
      <c r="O578" t="s">
        <v>29</v>
      </c>
      <c r="P578" t="s">
        <v>21</v>
      </c>
      <c r="Q578" t="s">
        <v>22</v>
      </c>
    </row>
    <row r="579" spans="1:17" x14ac:dyDescent="0.3">
      <c r="A579" t="s">
        <v>640</v>
      </c>
      <c r="B579" s="1">
        <v>45684</v>
      </c>
      <c r="C579" t="s">
        <v>15</v>
      </c>
      <c r="D579" t="s">
        <v>39</v>
      </c>
      <c r="E579" t="s">
        <v>27</v>
      </c>
      <c r="F579" t="s">
        <v>28</v>
      </c>
      <c r="G579">
        <v>1</v>
      </c>
      <c r="H579">
        <v>3198.14</v>
      </c>
      <c r="I579">
        <v>0.24</v>
      </c>
      <c r="J579">
        <v>2430.59</v>
      </c>
      <c r="K579">
        <f t="shared" ref="K579:K642" si="27">G579*H579</f>
        <v>3198.14</v>
      </c>
      <c r="L579">
        <f t="shared" ref="L579:L642" si="28">K579-J579</f>
        <v>767.54999999999973</v>
      </c>
      <c r="M579">
        <f t="shared" ref="M579:M642" si="29">K579-L579</f>
        <v>2430.59</v>
      </c>
      <c r="N579" t="s">
        <v>46</v>
      </c>
      <c r="O579" t="s">
        <v>34</v>
      </c>
      <c r="P579" t="s">
        <v>54</v>
      </c>
      <c r="Q579" t="s">
        <v>22</v>
      </c>
    </row>
    <row r="580" spans="1:17" x14ac:dyDescent="0.3">
      <c r="A580" t="s">
        <v>641</v>
      </c>
      <c r="B580" s="1">
        <v>45668</v>
      </c>
      <c r="C580" t="s">
        <v>48</v>
      </c>
      <c r="D580" t="s">
        <v>43</v>
      </c>
      <c r="E580" t="s">
        <v>99</v>
      </c>
      <c r="F580" t="s">
        <v>120</v>
      </c>
      <c r="G580">
        <v>2</v>
      </c>
      <c r="H580">
        <v>965.43</v>
      </c>
      <c r="I580">
        <v>0.01</v>
      </c>
      <c r="J580">
        <v>1911.55</v>
      </c>
      <c r="K580">
        <f t="shared" si="27"/>
        <v>1930.86</v>
      </c>
      <c r="L580">
        <f t="shared" si="28"/>
        <v>19.309999999999945</v>
      </c>
      <c r="M580">
        <f t="shared" si="29"/>
        <v>1911.55</v>
      </c>
      <c r="N580" t="s">
        <v>46</v>
      </c>
      <c r="O580" t="s">
        <v>29</v>
      </c>
      <c r="P580" t="s">
        <v>30</v>
      </c>
      <c r="Q580" t="s">
        <v>22</v>
      </c>
    </row>
    <row r="581" spans="1:17" x14ac:dyDescent="0.3">
      <c r="A581" t="s">
        <v>642</v>
      </c>
      <c r="B581" s="1">
        <v>45719</v>
      </c>
      <c r="C581" t="s">
        <v>15</v>
      </c>
      <c r="D581" t="s">
        <v>16</v>
      </c>
      <c r="E581" t="s">
        <v>49</v>
      </c>
      <c r="F581" t="s">
        <v>56</v>
      </c>
      <c r="G581">
        <v>4</v>
      </c>
      <c r="H581">
        <v>3703.09</v>
      </c>
      <c r="I581">
        <v>0.03</v>
      </c>
      <c r="J581">
        <v>14367.99</v>
      </c>
      <c r="K581">
        <f t="shared" si="27"/>
        <v>14812.36</v>
      </c>
      <c r="L581">
        <f t="shared" si="28"/>
        <v>444.3700000000008</v>
      </c>
      <c r="M581">
        <f t="shared" si="29"/>
        <v>14367.99</v>
      </c>
      <c r="N581" t="s">
        <v>41</v>
      </c>
      <c r="O581" t="s">
        <v>20</v>
      </c>
      <c r="P581" t="s">
        <v>54</v>
      </c>
      <c r="Q581" t="s">
        <v>22</v>
      </c>
    </row>
    <row r="582" spans="1:17" x14ac:dyDescent="0.3">
      <c r="A582" t="s">
        <v>643</v>
      </c>
      <c r="B582" s="1">
        <v>45730</v>
      </c>
      <c r="C582" t="s">
        <v>48</v>
      </c>
      <c r="D582" t="s">
        <v>16</v>
      </c>
      <c r="E582" t="s">
        <v>27</v>
      </c>
      <c r="F582" t="s">
        <v>68</v>
      </c>
      <c r="G582">
        <v>5</v>
      </c>
      <c r="H582">
        <v>3252.7</v>
      </c>
      <c r="I582">
        <v>0.12</v>
      </c>
      <c r="J582">
        <v>14311.88</v>
      </c>
      <c r="K582">
        <f t="shared" si="27"/>
        <v>16263.5</v>
      </c>
      <c r="L582">
        <f t="shared" si="28"/>
        <v>1951.6200000000008</v>
      </c>
      <c r="M582">
        <f t="shared" si="29"/>
        <v>14311.88</v>
      </c>
      <c r="N582" t="s">
        <v>41</v>
      </c>
      <c r="O582" t="s">
        <v>20</v>
      </c>
      <c r="P582" t="s">
        <v>30</v>
      </c>
      <c r="Q582" t="s">
        <v>22</v>
      </c>
    </row>
    <row r="583" spans="1:17" x14ac:dyDescent="0.3">
      <c r="A583" t="s">
        <v>644</v>
      </c>
      <c r="B583" s="1">
        <v>45834</v>
      </c>
      <c r="C583" t="s">
        <v>24</v>
      </c>
      <c r="D583" t="s">
        <v>43</v>
      </c>
      <c r="E583" t="s">
        <v>17</v>
      </c>
      <c r="F583" t="s">
        <v>32</v>
      </c>
      <c r="G583">
        <v>2</v>
      </c>
      <c r="H583">
        <v>4054.81</v>
      </c>
      <c r="I583">
        <v>0.17</v>
      </c>
      <c r="J583">
        <v>6730.98</v>
      </c>
      <c r="K583">
        <f t="shared" si="27"/>
        <v>8109.62</v>
      </c>
      <c r="L583">
        <f t="shared" si="28"/>
        <v>1378.6400000000003</v>
      </c>
      <c r="M583">
        <f t="shared" si="29"/>
        <v>6730.98</v>
      </c>
      <c r="N583" t="s">
        <v>41</v>
      </c>
      <c r="O583" t="s">
        <v>20</v>
      </c>
      <c r="P583" t="s">
        <v>30</v>
      </c>
      <c r="Q583" t="s">
        <v>22</v>
      </c>
    </row>
    <row r="584" spans="1:17" x14ac:dyDescent="0.3">
      <c r="A584" t="s">
        <v>645</v>
      </c>
      <c r="B584" s="1">
        <v>45841</v>
      </c>
      <c r="C584" t="s">
        <v>24</v>
      </c>
      <c r="D584" t="s">
        <v>43</v>
      </c>
      <c r="E584" t="s">
        <v>61</v>
      </c>
      <c r="F584" t="s">
        <v>62</v>
      </c>
      <c r="G584">
        <v>1</v>
      </c>
      <c r="H584">
        <v>2408.98</v>
      </c>
      <c r="I584">
        <v>0.23</v>
      </c>
      <c r="J584">
        <v>1854.91</v>
      </c>
      <c r="K584">
        <f t="shared" si="27"/>
        <v>2408.98</v>
      </c>
      <c r="L584">
        <f t="shared" si="28"/>
        <v>554.06999999999994</v>
      </c>
      <c r="M584">
        <f t="shared" si="29"/>
        <v>1854.91</v>
      </c>
      <c r="N584" t="s">
        <v>19</v>
      </c>
      <c r="O584" t="s">
        <v>34</v>
      </c>
      <c r="P584" t="s">
        <v>54</v>
      </c>
      <c r="Q584" t="s">
        <v>22</v>
      </c>
    </row>
    <row r="585" spans="1:17" x14ac:dyDescent="0.3">
      <c r="A585" t="s">
        <v>646</v>
      </c>
      <c r="B585" s="1">
        <v>45814</v>
      </c>
      <c r="C585" t="s">
        <v>52</v>
      </c>
      <c r="D585" t="s">
        <v>16</v>
      </c>
      <c r="E585" t="s">
        <v>61</v>
      </c>
      <c r="F585" t="s">
        <v>62</v>
      </c>
      <c r="G585">
        <v>1</v>
      </c>
      <c r="H585">
        <v>2335.3000000000002</v>
      </c>
      <c r="I585">
        <v>0.04</v>
      </c>
      <c r="J585">
        <v>2241.89</v>
      </c>
      <c r="K585">
        <f t="shared" si="27"/>
        <v>2335.3000000000002</v>
      </c>
      <c r="L585">
        <f t="shared" si="28"/>
        <v>93.410000000000309</v>
      </c>
      <c r="M585">
        <f t="shared" si="29"/>
        <v>2241.89</v>
      </c>
      <c r="N585" t="s">
        <v>58</v>
      </c>
      <c r="O585" t="s">
        <v>34</v>
      </c>
      <c r="P585" t="s">
        <v>21</v>
      </c>
      <c r="Q585" t="s">
        <v>88</v>
      </c>
    </row>
    <row r="586" spans="1:17" x14ac:dyDescent="0.3">
      <c r="A586" t="s">
        <v>647</v>
      </c>
      <c r="B586" s="1">
        <v>45827</v>
      </c>
      <c r="C586" t="s">
        <v>48</v>
      </c>
      <c r="D586" t="s">
        <v>25</v>
      </c>
      <c r="E586" t="s">
        <v>17</v>
      </c>
      <c r="F586" t="s">
        <v>18</v>
      </c>
      <c r="G586">
        <v>2</v>
      </c>
      <c r="H586">
        <v>409.24</v>
      </c>
      <c r="I586">
        <v>0.05</v>
      </c>
      <c r="J586">
        <v>777.56</v>
      </c>
      <c r="K586">
        <f t="shared" si="27"/>
        <v>818.48</v>
      </c>
      <c r="L586">
        <f t="shared" si="28"/>
        <v>40.920000000000073</v>
      </c>
      <c r="M586">
        <f t="shared" si="29"/>
        <v>777.56</v>
      </c>
      <c r="N586" t="s">
        <v>33</v>
      </c>
      <c r="O586" t="s">
        <v>29</v>
      </c>
      <c r="P586" t="s">
        <v>30</v>
      </c>
      <c r="Q586" t="s">
        <v>22</v>
      </c>
    </row>
    <row r="587" spans="1:17" x14ac:dyDescent="0.3">
      <c r="A587" t="s">
        <v>648</v>
      </c>
      <c r="B587" s="1">
        <v>45667</v>
      </c>
      <c r="C587" t="s">
        <v>15</v>
      </c>
      <c r="D587" t="s">
        <v>43</v>
      </c>
      <c r="E587" t="s">
        <v>27</v>
      </c>
      <c r="F587" t="s">
        <v>68</v>
      </c>
      <c r="G587">
        <v>5</v>
      </c>
      <c r="H587">
        <v>949.89</v>
      </c>
      <c r="I587">
        <v>0.02</v>
      </c>
      <c r="J587">
        <v>4654.46</v>
      </c>
      <c r="K587">
        <f t="shared" si="27"/>
        <v>4749.45</v>
      </c>
      <c r="L587">
        <f t="shared" si="28"/>
        <v>94.989999999999782</v>
      </c>
      <c r="M587">
        <f t="shared" si="29"/>
        <v>4654.46</v>
      </c>
      <c r="N587" t="s">
        <v>19</v>
      </c>
      <c r="O587" t="s">
        <v>20</v>
      </c>
      <c r="P587" t="s">
        <v>30</v>
      </c>
      <c r="Q587" t="s">
        <v>88</v>
      </c>
    </row>
    <row r="588" spans="1:17" x14ac:dyDescent="0.3">
      <c r="A588" t="s">
        <v>649</v>
      </c>
      <c r="B588" s="1">
        <v>45834</v>
      </c>
      <c r="C588" t="s">
        <v>36</v>
      </c>
      <c r="D588" t="s">
        <v>25</v>
      </c>
      <c r="E588" t="s">
        <v>61</v>
      </c>
      <c r="F588" t="s">
        <v>66</v>
      </c>
      <c r="G588">
        <v>2</v>
      </c>
      <c r="H588">
        <v>4635.8100000000004</v>
      </c>
      <c r="I588">
        <v>0.01</v>
      </c>
      <c r="J588">
        <v>9178.9</v>
      </c>
      <c r="K588">
        <f t="shared" si="27"/>
        <v>9271.6200000000008</v>
      </c>
      <c r="L588">
        <f t="shared" si="28"/>
        <v>92.720000000001164</v>
      </c>
      <c r="M588">
        <f t="shared" si="29"/>
        <v>9178.9</v>
      </c>
      <c r="N588" t="s">
        <v>19</v>
      </c>
      <c r="O588" t="s">
        <v>34</v>
      </c>
      <c r="P588" t="s">
        <v>54</v>
      </c>
      <c r="Q588" t="s">
        <v>88</v>
      </c>
    </row>
    <row r="589" spans="1:17" x14ac:dyDescent="0.3">
      <c r="A589" t="s">
        <v>650</v>
      </c>
      <c r="B589" s="1">
        <v>45729</v>
      </c>
      <c r="C589" t="s">
        <v>24</v>
      </c>
      <c r="D589" t="s">
        <v>39</v>
      </c>
      <c r="E589" t="s">
        <v>17</v>
      </c>
      <c r="F589" t="s">
        <v>40</v>
      </c>
      <c r="G589">
        <v>2</v>
      </c>
      <c r="H589">
        <v>4638.07</v>
      </c>
      <c r="I589">
        <v>0.18</v>
      </c>
      <c r="J589">
        <v>7606.43</v>
      </c>
      <c r="K589">
        <f t="shared" si="27"/>
        <v>9276.14</v>
      </c>
      <c r="L589">
        <f t="shared" si="28"/>
        <v>1669.7099999999991</v>
      </c>
      <c r="M589">
        <f t="shared" si="29"/>
        <v>7606.43</v>
      </c>
      <c r="N589" t="s">
        <v>58</v>
      </c>
      <c r="O589" t="s">
        <v>20</v>
      </c>
      <c r="P589" t="s">
        <v>21</v>
      </c>
      <c r="Q589" t="s">
        <v>22</v>
      </c>
    </row>
    <row r="590" spans="1:17" x14ac:dyDescent="0.3">
      <c r="A590" t="s">
        <v>651</v>
      </c>
      <c r="B590" s="1">
        <v>45700</v>
      </c>
      <c r="C590" t="s">
        <v>52</v>
      </c>
      <c r="D590" t="s">
        <v>16</v>
      </c>
      <c r="E590" t="s">
        <v>49</v>
      </c>
      <c r="F590" t="s">
        <v>73</v>
      </c>
      <c r="G590">
        <v>3</v>
      </c>
      <c r="H590">
        <v>2663.13</v>
      </c>
      <c r="I590">
        <v>0.1</v>
      </c>
      <c r="J590">
        <v>7190.45</v>
      </c>
      <c r="K590">
        <f t="shared" si="27"/>
        <v>7989.39</v>
      </c>
      <c r="L590">
        <f t="shared" si="28"/>
        <v>798.94000000000051</v>
      </c>
      <c r="M590">
        <f t="shared" si="29"/>
        <v>7190.45</v>
      </c>
      <c r="N590" t="s">
        <v>19</v>
      </c>
      <c r="O590" t="s">
        <v>29</v>
      </c>
      <c r="P590" t="s">
        <v>54</v>
      </c>
      <c r="Q590" t="s">
        <v>22</v>
      </c>
    </row>
    <row r="591" spans="1:17" x14ac:dyDescent="0.3">
      <c r="A591" t="s">
        <v>652</v>
      </c>
      <c r="B591" s="1">
        <v>45792</v>
      </c>
      <c r="C591" t="s">
        <v>15</v>
      </c>
      <c r="D591" t="s">
        <v>16</v>
      </c>
      <c r="E591" t="s">
        <v>49</v>
      </c>
      <c r="F591" t="s">
        <v>56</v>
      </c>
      <c r="G591">
        <v>1</v>
      </c>
      <c r="H591">
        <v>2832.78</v>
      </c>
      <c r="I591">
        <v>0.05</v>
      </c>
      <c r="J591">
        <v>2691.14</v>
      </c>
      <c r="K591">
        <f t="shared" si="27"/>
        <v>2832.78</v>
      </c>
      <c r="L591">
        <f t="shared" si="28"/>
        <v>141.64000000000033</v>
      </c>
      <c r="M591">
        <f t="shared" si="29"/>
        <v>2691.14</v>
      </c>
      <c r="N591" t="s">
        <v>46</v>
      </c>
      <c r="O591" t="s">
        <v>34</v>
      </c>
      <c r="P591" t="s">
        <v>21</v>
      </c>
      <c r="Q591" t="s">
        <v>22</v>
      </c>
    </row>
    <row r="592" spans="1:17" x14ac:dyDescent="0.3">
      <c r="A592" t="s">
        <v>653</v>
      </c>
      <c r="B592" s="1">
        <v>45708</v>
      </c>
      <c r="C592" t="s">
        <v>48</v>
      </c>
      <c r="D592" t="s">
        <v>25</v>
      </c>
      <c r="E592" t="s">
        <v>27</v>
      </c>
      <c r="F592" t="s">
        <v>68</v>
      </c>
      <c r="G592">
        <v>1</v>
      </c>
      <c r="H592">
        <v>1049.22</v>
      </c>
      <c r="I592">
        <v>0.2</v>
      </c>
      <c r="J592">
        <v>839.38</v>
      </c>
      <c r="K592">
        <f t="shared" si="27"/>
        <v>1049.22</v>
      </c>
      <c r="L592">
        <f t="shared" si="28"/>
        <v>209.84000000000003</v>
      </c>
      <c r="M592">
        <f t="shared" si="29"/>
        <v>839.38</v>
      </c>
      <c r="N592" t="s">
        <v>19</v>
      </c>
      <c r="O592" t="s">
        <v>34</v>
      </c>
      <c r="P592" t="s">
        <v>21</v>
      </c>
      <c r="Q592" t="s">
        <v>22</v>
      </c>
    </row>
    <row r="593" spans="1:17" x14ac:dyDescent="0.3">
      <c r="A593" t="s">
        <v>654</v>
      </c>
      <c r="B593" s="1">
        <v>45789</v>
      </c>
      <c r="C593" t="s">
        <v>24</v>
      </c>
      <c r="D593" t="s">
        <v>16</v>
      </c>
      <c r="E593" t="s">
        <v>61</v>
      </c>
      <c r="F593" t="s">
        <v>62</v>
      </c>
      <c r="G593">
        <v>2</v>
      </c>
      <c r="H593">
        <v>2229.89</v>
      </c>
      <c r="I593">
        <v>0.08</v>
      </c>
      <c r="J593">
        <v>4103</v>
      </c>
      <c r="K593">
        <f t="shared" si="27"/>
        <v>4459.78</v>
      </c>
      <c r="L593">
        <f t="shared" si="28"/>
        <v>356.77999999999975</v>
      </c>
      <c r="M593">
        <f t="shared" si="29"/>
        <v>4103</v>
      </c>
      <c r="N593" t="s">
        <v>46</v>
      </c>
      <c r="O593" t="s">
        <v>34</v>
      </c>
      <c r="P593" t="s">
        <v>30</v>
      </c>
      <c r="Q593" t="s">
        <v>22</v>
      </c>
    </row>
    <row r="594" spans="1:17" x14ac:dyDescent="0.3">
      <c r="A594" t="s">
        <v>655</v>
      </c>
      <c r="B594" s="1">
        <v>45679</v>
      </c>
      <c r="C594" t="s">
        <v>52</v>
      </c>
      <c r="D594" t="s">
        <v>25</v>
      </c>
      <c r="E594" t="s">
        <v>17</v>
      </c>
      <c r="F594" t="s">
        <v>44</v>
      </c>
      <c r="G594">
        <v>5</v>
      </c>
      <c r="H594">
        <v>668.72</v>
      </c>
      <c r="I594">
        <v>0.22</v>
      </c>
      <c r="J594">
        <v>2608.0100000000002</v>
      </c>
      <c r="K594">
        <f t="shared" si="27"/>
        <v>3343.6000000000004</v>
      </c>
      <c r="L594">
        <f t="shared" si="28"/>
        <v>735.59000000000015</v>
      </c>
      <c r="M594">
        <f t="shared" si="29"/>
        <v>2608.0100000000002</v>
      </c>
      <c r="N594" t="s">
        <v>58</v>
      </c>
      <c r="O594" t="s">
        <v>34</v>
      </c>
      <c r="P594" t="s">
        <v>21</v>
      </c>
      <c r="Q594" t="s">
        <v>22</v>
      </c>
    </row>
    <row r="595" spans="1:17" x14ac:dyDescent="0.3">
      <c r="A595" t="s">
        <v>656</v>
      </c>
      <c r="B595" s="1">
        <v>45728</v>
      </c>
      <c r="C595" t="s">
        <v>52</v>
      </c>
      <c r="D595" t="s">
        <v>25</v>
      </c>
      <c r="E595" t="s">
        <v>99</v>
      </c>
      <c r="F595" t="s">
        <v>115</v>
      </c>
      <c r="G595">
        <v>1</v>
      </c>
      <c r="H595">
        <v>1698.05</v>
      </c>
      <c r="I595">
        <v>0.02</v>
      </c>
      <c r="J595">
        <v>1664.09</v>
      </c>
      <c r="K595">
        <f t="shared" si="27"/>
        <v>1698.05</v>
      </c>
      <c r="L595">
        <f t="shared" si="28"/>
        <v>33.960000000000036</v>
      </c>
      <c r="M595">
        <f t="shared" si="29"/>
        <v>1664.09</v>
      </c>
      <c r="N595" t="s">
        <v>46</v>
      </c>
      <c r="O595" t="s">
        <v>20</v>
      </c>
      <c r="P595" t="s">
        <v>21</v>
      </c>
      <c r="Q595" t="s">
        <v>37</v>
      </c>
    </row>
    <row r="596" spans="1:17" x14ac:dyDescent="0.3">
      <c r="A596" t="s">
        <v>657</v>
      </c>
      <c r="B596" s="1">
        <v>45811</v>
      </c>
      <c r="C596" t="s">
        <v>24</v>
      </c>
      <c r="D596" t="s">
        <v>25</v>
      </c>
      <c r="E596" t="s">
        <v>49</v>
      </c>
      <c r="F596" t="s">
        <v>73</v>
      </c>
      <c r="G596">
        <v>4</v>
      </c>
      <c r="H596">
        <v>366.26</v>
      </c>
      <c r="I596">
        <v>0.11</v>
      </c>
      <c r="J596">
        <v>1303.8900000000001</v>
      </c>
      <c r="K596">
        <f t="shared" si="27"/>
        <v>1465.04</v>
      </c>
      <c r="L596">
        <f t="shared" si="28"/>
        <v>161.14999999999986</v>
      </c>
      <c r="M596">
        <f t="shared" si="29"/>
        <v>1303.8900000000001</v>
      </c>
      <c r="N596" t="s">
        <v>41</v>
      </c>
      <c r="O596" t="s">
        <v>29</v>
      </c>
      <c r="P596" t="s">
        <v>54</v>
      </c>
      <c r="Q596" t="s">
        <v>22</v>
      </c>
    </row>
    <row r="597" spans="1:17" x14ac:dyDescent="0.3">
      <c r="A597" t="s">
        <v>658</v>
      </c>
      <c r="B597" s="1">
        <v>45768</v>
      </c>
      <c r="C597" t="s">
        <v>48</v>
      </c>
      <c r="D597" t="s">
        <v>16</v>
      </c>
      <c r="E597" t="s">
        <v>99</v>
      </c>
      <c r="F597" t="s">
        <v>100</v>
      </c>
      <c r="G597">
        <v>3</v>
      </c>
      <c r="H597">
        <v>4880.22</v>
      </c>
      <c r="I597">
        <v>0.05</v>
      </c>
      <c r="J597">
        <v>13908.63</v>
      </c>
      <c r="K597">
        <f t="shared" si="27"/>
        <v>14640.66</v>
      </c>
      <c r="L597">
        <f t="shared" si="28"/>
        <v>732.03000000000065</v>
      </c>
      <c r="M597">
        <f t="shared" si="29"/>
        <v>13908.63</v>
      </c>
      <c r="N597" t="s">
        <v>19</v>
      </c>
      <c r="O597" t="s">
        <v>29</v>
      </c>
      <c r="P597" t="s">
        <v>54</v>
      </c>
      <c r="Q597" t="s">
        <v>22</v>
      </c>
    </row>
    <row r="598" spans="1:17" x14ac:dyDescent="0.3">
      <c r="A598" t="s">
        <v>659</v>
      </c>
      <c r="B598" s="1">
        <v>45831</v>
      </c>
      <c r="C598" t="s">
        <v>52</v>
      </c>
      <c r="D598" t="s">
        <v>39</v>
      </c>
      <c r="E598" t="s">
        <v>17</v>
      </c>
      <c r="F598" t="s">
        <v>32</v>
      </c>
      <c r="G598">
        <v>4</v>
      </c>
      <c r="H598">
        <v>2149.3000000000002</v>
      </c>
      <c r="I598">
        <v>0.19</v>
      </c>
      <c r="J598">
        <v>6963.73</v>
      </c>
      <c r="K598">
        <f t="shared" si="27"/>
        <v>8597.2000000000007</v>
      </c>
      <c r="L598">
        <f t="shared" si="28"/>
        <v>1633.4700000000012</v>
      </c>
      <c r="M598">
        <f t="shared" si="29"/>
        <v>6963.73</v>
      </c>
      <c r="N598" t="s">
        <v>58</v>
      </c>
      <c r="O598" t="s">
        <v>34</v>
      </c>
      <c r="P598" t="s">
        <v>54</v>
      </c>
      <c r="Q598" t="s">
        <v>22</v>
      </c>
    </row>
    <row r="599" spans="1:17" x14ac:dyDescent="0.3">
      <c r="A599" t="s">
        <v>660</v>
      </c>
      <c r="B599" s="1">
        <v>45829</v>
      </c>
      <c r="C599" t="s">
        <v>36</v>
      </c>
      <c r="D599" t="s">
        <v>25</v>
      </c>
      <c r="E599" t="s">
        <v>27</v>
      </c>
      <c r="F599" t="s">
        <v>68</v>
      </c>
      <c r="G599">
        <v>1</v>
      </c>
      <c r="H599">
        <v>2117.31</v>
      </c>
      <c r="I599">
        <v>0.13</v>
      </c>
      <c r="J599">
        <v>1842.06</v>
      </c>
      <c r="K599">
        <f t="shared" si="27"/>
        <v>2117.31</v>
      </c>
      <c r="L599">
        <f t="shared" si="28"/>
        <v>275.25</v>
      </c>
      <c r="M599">
        <f t="shared" si="29"/>
        <v>1842.06</v>
      </c>
      <c r="N599" t="s">
        <v>33</v>
      </c>
      <c r="O599" t="s">
        <v>20</v>
      </c>
      <c r="P599" t="s">
        <v>54</v>
      </c>
      <c r="Q599" t="s">
        <v>88</v>
      </c>
    </row>
    <row r="600" spans="1:17" x14ac:dyDescent="0.3">
      <c r="A600" t="s">
        <v>661</v>
      </c>
      <c r="B600" s="1">
        <v>45738</v>
      </c>
      <c r="C600" t="s">
        <v>48</v>
      </c>
      <c r="D600" t="s">
        <v>43</v>
      </c>
      <c r="E600" t="s">
        <v>99</v>
      </c>
      <c r="F600" t="s">
        <v>120</v>
      </c>
      <c r="G600">
        <v>3</v>
      </c>
      <c r="H600">
        <v>2227.8200000000002</v>
      </c>
      <c r="I600">
        <v>0.06</v>
      </c>
      <c r="J600">
        <v>6282.45</v>
      </c>
      <c r="K600">
        <f t="shared" si="27"/>
        <v>6683.4600000000009</v>
      </c>
      <c r="L600">
        <f t="shared" si="28"/>
        <v>401.01000000000113</v>
      </c>
      <c r="M600">
        <f t="shared" si="29"/>
        <v>6282.45</v>
      </c>
      <c r="N600" t="s">
        <v>19</v>
      </c>
      <c r="O600" t="s">
        <v>20</v>
      </c>
      <c r="P600" t="s">
        <v>21</v>
      </c>
      <c r="Q600" t="s">
        <v>37</v>
      </c>
    </row>
    <row r="601" spans="1:17" x14ac:dyDescent="0.3">
      <c r="A601" t="s">
        <v>662</v>
      </c>
      <c r="B601" s="1">
        <v>45780</v>
      </c>
      <c r="C601" t="s">
        <v>24</v>
      </c>
      <c r="D601" t="s">
        <v>16</v>
      </c>
      <c r="E601" t="s">
        <v>17</v>
      </c>
      <c r="F601" t="s">
        <v>40</v>
      </c>
      <c r="G601">
        <v>5</v>
      </c>
      <c r="H601">
        <v>264.74</v>
      </c>
      <c r="I601">
        <v>0.13</v>
      </c>
      <c r="J601">
        <v>1151.6199999999999</v>
      </c>
      <c r="K601">
        <f t="shared" si="27"/>
        <v>1323.7</v>
      </c>
      <c r="L601">
        <f t="shared" si="28"/>
        <v>172.08000000000015</v>
      </c>
      <c r="M601">
        <f t="shared" si="29"/>
        <v>1151.6199999999999</v>
      </c>
      <c r="N601" t="s">
        <v>58</v>
      </c>
      <c r="O601" t="s">
        <v>34</v>
      </c>
      <c r="P601" t="s">
        <v>30</v>
      </c>
      <c r="Q601" t="s">
        <v>22</v>
      </c>
    </row>
    <row r="602" spans="1:17" x14ac:dyDescent="0.3">
      <c r="A602" t="s">
        <v>663</v>
      </c>
      <c r="B602" s="1">
        <v>45805</v>
      </c>
      <c r="C602" t="s">
        <v>36</v>
      </c>
      <c r="D602" t="s">
        <v>43</v>
      </c>
      <c r="E602" t="s">
        <v>61</v>
      </c>
      <c r="F602" t="s">
        <v>62</v>
      </c>
      <c r="G602">
        <v>4</v>
      </c>
      <c r="H602">
        <v>4754.68</v>
      </c>
      <c r="I602">
        <v>0.03</v>
      </c>
      <c r="J602">
        <v>18448.16</v>
      </c>
      <c r="K602">
        <f t="shared" si="27"/>
        <v>19018.72</v>
      </c>
      <c r="L602">
        <f t="shared" si="28"/>
        <v>570.56000000000131</v>
      </c>
      <c r="M602">
        <f t="shared" si="29"/>
        <v>18448.16</v>
      </c>
      <c r="N602" t="s">
        <v>58</v>
      </c>
      <c r="O602" t="s">
        <v>29</v>
      </c>
      <c r="P602" t="s">
        <v>30</v>
      </c>
      <c r="Q602" t="s">
        <v>22</v>
      </c>
    </row>
    <row r="603" spans="1:17" x14ac:dyDescent="0.3">
      <c r="A603" t="s">
        <v>664</v>
      </c>
      <c r="B603" s="1">
        <v>45690</v>
      </c>
      <c r="C603" t="s">
        <v>48</v>
      </c>
      <c r="D603" t="s">
        <v>25</v>
      </c>
      <c r="E603" t="s">
        <v>17</v>
      </c>
      <c r="F603" t="s">
        <v>18</v>
      </c>
      <c r="G603">
        <v>4</v>
      </c>
      <c r="H603">
        <v>4303.82</v>
      </c>
      <c r="I603">
        <v>0.19</v>
      </c>
      <c r="J603">
        <v>13944.38</v>
      </c>
      <c r="K603">
        <f t="shared" si="27"/>
        <v>17215.28</v>
      </c>
      <c r="L603">
        <f t="shared" si="28"/>
        <v>3270.8999999999996</v>
      </c>
      <c r="M603">
        <f t="shared" si="29"/>
        <v>13944.38</v>
      </c>
      <c r="N603" t="s">
        <v>46</v>
      </c>
      <c r="O603" t="s">
        <v>20</v>
      </c>
      <c r="P603" t="s">
        <v>54</v>
      </c>
      <c r="Q603" t="s">
        <v>22</v>
      </c>
    </row>
    <row r="604" spans="1:17" x14ac:dyDescent="0.3">
      <c r="A604" t="s">
        <v>665</v>
      </c>
      <c r="B604" s="1">
        <v>45839</v>
      </c>
      <c r="C604" t="s">
        <v>52</v>
      </c>
      <c r="D604" t="s">
        <v>16</v>
      </c>
      <c r="E604" t="s">
        <v>61</v>
      </c>
      <c r="F604" t="s">
        <v>92</v>
      </c>
      <c r="G604">
        <v>4</v>
      </c>
      <c r="H604">
        <v>3549.12</v>
      </c>
      <c r="I604">
        <v>0</v>
      </c>
      <c r="J604">
        <v>14196.48</v>
      </c>
      <c r="K604">
        <f t="shared" si="27"/>
        <v>14196.48</v>
      </c>
      <c r="L604">
        <f t="shared" si="28"/>
        <v>0</v>
      </c>
      <c r="M604">
        <f t="shared" si="29"/>
        <v>14196.48</v>
      </c>
      <c r="N604" t="s">
        <v>46</v>
      </c>
      <c r="O604" t="s">
        <v>29</v>
      </c>
      <c r="P604" t="s">
        <v>21</v>
      </c>
      <c r="Q604" t="s">
        <v>22</v>
      </c>
    </row>
    <row r="605" spans="1:17" x14ac:dyDescent="0.3">
      <c r="A605" t="s">
        <v>666</v>
      </c>
      <c r="B605" s="1">
        <v>45840</v>
      </c>
      <c r="C605" t="s">
        <v>15</v>
      </c>
      <c r="D605" t="s">
        <v>16</v>
      </c>
      <c r="E605" t="s">
        <v>99</v>
      </c>
      <c r="F605" t="s">
        <v>120</v>
      </c>
      <c r="G605">
        <v>5</v>
      </c>
      <c r="H605">
        <v>2757.93</v>
      </c>
      <c r="I605">
        <v>0.2</v>
      </c>
      <c r="J605">
        <v>11031.72</v>
      </c>
      <c r="K605">
        <f t="shared" si="27"/>
        <v>13789.65</v>
      </c>
      <c r="L605">
        <f t="shared" si="28"/>
        <v>2757.9300000000003</v>
      </c>
      <c r="M605">
        <f t="shared" si="29"/>
        <v>11031.72</v>
      </c>
      <c r="N605" t="s">
        <v>41</v>
      </c>
      <c r="O605" t="s">
        <v>34</v>
      </c>
      <c r="P605" t="s">
        <v>21</v>
      </c>
      <c r="Q605" t="s">
        <v>22</v>
      </c>
    </row>
    <row r="606" spans="1:17" x14ac:dyDescent="0.3">
      <c r="A606" t="s">
        <v>667</v>
      </c>
      <c r="B606" s="1">
        <v>45705</v>
      </c>
      <c r="C606" t="s">
        <v>36</v>
      </c>
      <c r="D606" t="s">
        <v>39</v>
      </c>
      <c r="E606" t="s">
        <v>99</v>
      </c>
      <c r="F606" t="s">
        <v>120</v>
      </c>
      <c r="G606">
        <v>1</v>
      </c>
      <c r="H606">
        <v>1976.48</v>
      </c>
      <c r="I606">
        <v>0.12</v>
      </c>
      <c r="J606">
        <v>1739.3</v>
      </c>
      <c r="K606">
        <f t="shared" si="27"/>
        <v>1976.48</v>
      </c>
      <c r="L606">
        <f t="shared" si="28"/>
        <v>237.18000000000006</v>
      </c>
      <c r="M606">
        <f t="shared" si="29"/>
        <v>1739.3</v>
      </c>
      <c r="N606" t="s">
        <v>46</v>
      </c>
      <c r="O606" t="s">
        <v>20</v>
      </c>
      <c r="P606" t="s">
        <v>54</v>
      </c>
      <c r="Q606" t="s">
        <v>22</v>
      </c>
    </row>
    <row r="607" spans="1:17" x14ac:dyDescent="0.3">
      <c r="A607" t="s">
        <v>668</v>
      </c>
      <c r="B607" s="1">
        <v>45827</v>
      </c>
      <c r="C607" t="s">
        <v>36</v>
      </c>
      <c r="D607" t="s">
        <v>43</v>
      </c>
      <c r="E607" t="s">
        <v>27</v>
      </c>
      <c r="F607" t="s">
        <v>79</v>
      </c>
      <c r="G607">
        <v>3</v>
      </c>
      <c r="H607">
        <v>1269.3</v>
      </c>
      <c r="I607">
        <v>0.03</v>
      </c>
      <c r="J607">
        <v>3693.66</v>
      </c>
      <c r="K607">
        <f t="shared" si="27"/>
        <v>3807.8999999999996</v>
      </c>
      <c r="L607">
        <f t="shared" si="28"/>
        <v>114.23999999999978</v>
      </c>
      <c r="M607">
        <f t="shared" si="29"/>
        <v>3693.66</v>
      </c>
      <c r="N607" t="s">
        <v>19</v>
      </c>
      <c r="O607" t="s">
        <v>20</v>
      </c>
      <c r="P607" t="s">
        <v>30</v>
      </c>
      <c r="Q607" t="s">
        <v>88</v>
      </c>
    </row>
    <row r="608" spans="1:17" x14ac:dyDescent="0.3">
      <c r="A608" t="s">
        <v>669</v>
      </c>
      <c r="B608" s="1">
        <v>45691</v>
      </c>
      <c r="C608" t="s">
        <v>15</v>
      </c>
      <c r="D608" t="s">
        <v>25</v>
      </c>
      <c r="E608" t="s">
        <v>61</v>
      </c>
      <c r="F608" t="s">
        <v>66</v>
      </c>
      <c r="G608">
        <v>4</v>
      </c>
      <c r="H608">
        <v>1458.01</v>
      </c>
      <c r="I608">
        <v>0.02</v>
      </c>
      <c r="J608">
        <v>5715.4</v>
      </c>
      <c r="K608">
        <f t="shared" si="27"/>
        <v>5832.04</v>
      </c>
      <c r="L608">
        <f t="shared" si="28"/>
        <v>116.64000000000033</v>
      </c>
      <c r="M608">
        <f t="shared" si="29"/>
        <v>5715.4</v>
      </c>
      <c r="N608" t="s">
        <v>46</v>
      </c>
      <c r="O608" t="s">
        <v>29</v>
      </c>
      <c r="P608" t="s">
        <v>30</v>
      </c>
      <c r="Q608" t="s">
        <v>22</v>
      </c>
    </row>
    <row r="609" spans="1:17" x14ac:dyDescent="0.3">
      <c r="A609" t="s">
        <v>670</v>
      </c>
      <c r="B609" s="1">
        <v>45815</v>
      </c>
      <c r="C609" t="s">
        <v>48</v>
      </c>
      <c r="D609" t="s">
        <v>16</v>
      </c>
      <c r="E609" t="s">
        <v>27</v>
      </c>
      <c r="F609" t="s">
        <v>79</v>
      </c>
      <c r="G609">
        <v>5</v>
      </c>
      <c r="H609">
        <v>4507.3100000000004</v>
      </c>
      <c r="I609">
        <v>0.11</v>
      </c>
      <c r="J609">
        <v>20057.53</v>
      </c>
      <c r="K609">
        <f t="shared" si="27"/>
        <v>22536.550000000003</v>
      </c>
      <c r="L609">
        <f t="shared" si="28"/>
        <v>2479.0200000000041</v>
      </c>
      <c r="M609">
        <f t="shared" si="29"/>
        <v>20057.53</v>
      </c>
      <c r="N609" t="s">
        <v>33</v>
      </c>
      <c r="O609" t="s">
        <v>29</v>
      </c>
      <c r="P609" t="s">
        <v>30</v>
      </c>
      <c r="Q609" t="s">
        <v>22</v>
      </c>
    </row>
    <row r="610" spans="1:17" x14ac:dyDescent="0.3">
      <c r="A610" t="s">
        <v>671</v>
      </c>
      <c r="B610" s="1">
        <v>45817</v>
      </c>
      <c r="C610" t="s">
        <v>24</v>
      </c>
      <c r="D610" t="s">
        <v>39</v>
      </c>
      <c r="E610" t="s">
        <v>49</v>
      </c>
      <c r="F610" t="s">
        <v>56</v>
      </c>
      <c r="G610">
        <v>3</v>
      </c>
      <c r="H610">
        <v>4795.46</v>
      </c>
      <c r="I610">
        <v>0.02</v>
      </c>
      <c r="J610">
        <v>14098.65</v>
      </c>
      <c r="K610">
        <f t="shared" si="27"/>
        <v>14386.380000000001</v>
      </c>
      <c r="L610">
        <f t="shared" si="28"/>
        <v>287.73000000000138</v>
      </c>
      <c r="M610">
        <f t="shared" si="29"/>
        <v>14098.65</v>
      </c>
      <c r="N610" t="s">
        <v>41</v>
      </c>
      <c r="O610" t="s">
        <v>20</v>
      </c>
      <c r="P610" t="s">
        <v>54</v>
      </c>
      <c r="Q610" t="s">
        <v>22</v>
      </c>
    </row>
    <row r="611" spans="1:17" x14ac:dyDescent="0.3">
      <c r="A611" t="s">
        <v>672</v>
      </c>
      <c r="B611" s="1">
        <v>45694</v>
      </c>
      <c r="C611" t="s">
        <v>52</v>
      </c>
      <c r="D611" t="s">
        <v>43</v>
      </c>
      <c r="E611" t="s">
        <v>61</v>
      </c>
      <c r="F611" t="s">
        <v>92</v>
      </c>
      <c r="G611">
        <v>1</v>
      </c>
      <c r="H611">
        <v>1536.53</v>
      </c>
      <c r="I611">
        <v>0.24</v>
      </c>
      <c r="J611">
        <v>1167.76</v>
      </c>
      <c r="K611">
        <f t="shared" si="27"/>
        <v>1536.53</v>
      </c>
      <c r="L611">
        <f t="shared" si="28"/>
        <v>368.77</v>
      </c>
      <c r="M611">
        <f t="shared" si="29"/>
        <v>1167.76</v>
      </c>
      <c r="N611" t="s">
        <v>19</v>
      </c>
      <c r="O611" t="s">
        <v>29</v>
      </c>
      <c r="P611" t="s">
        <v>21</v>
      </c>
      <c r="Q611" t="s">
        <v>22</v>
      </c>
    </row>
    <row r="612" spans="1:17" x14ac:dyDescent="0.3">
      <c r="A612" t="s">
        <v>673</v>
      </c>
      <c r="B612" s="1">
        <v>45831</v>
      </c>
      <c r="C612" t="s">
        <v>24</v>
      </c>
      <c r="D612" t="s">
        <v>39</v>
      </c>
      <c r="E612" t="s">
        <v>49</v>
      </c>
      <c r="F612" t="s">
        <v>50</v>
      </c>
      <c r="G612">
        <v>1</v>
      </c>
      <c r="H612">
        <v>207.98</v>
      </c>
      <c r="I612">
        <v>0.2</v>
      </c>
      <c r="J612">
        <v>166.38</v>
      </c>
      <c r="K612">
        <f t="shared" si="27"/>
        <v>207.98</v>
      </c>
      <c r="L612">
        <f t="shared" si="28"/>
        <v>41.599999999999994</v>
      </c>
      <c r="M612">
        <f t="shared" si="29"/>
        <v>166.38</v>
      </c>
      <c r="N612" t="s">
        <v>46</v>
      </c>
      <c r="O612" t="s">
        <v>20</v>
      </c>
      <c r="P612" t="s">
        <v>21</v>
      </c>
      <c r="Q612" t="s">
        <v>22</v>
      </c>
    </row>
    <row r="613" spans="1:17" x14ac:dyDescent="0.3">
      <c r="A613" t="s">
        <v>674</v>
      </c>
      <c r="B613" s="1">
        <v>45740</v>
      </c>
      <c r="C613" t="s">
        <v>48</v>
      </c>
      <c r="D613" t="s">
        <v>43</v>
      </c>
      <c r="E613" t="s">
        <v>99</v>
      </c>
      <c r="F613" t="s">
        <v>111</v>
      </c>
      <c r="G613">
        <v>5</v>
      </c>
      <c r="H613">
        <v>4225.3500000000004</v>
      </c>
      <c r="I613">
        <v>0.11</v>
      </c>
      <c r="J613">
        <v>18802.810000000001</v>
      </c>
      <c r="K613">
        <f t="shared" si="27"/>
        <v>21126.75</v>
      </c>
      <c r="L613">
        <f t="shared" si="28"/>
        <v>2323.9399999999987</v>
      </c>
      <c r="M613">
        <f t="shared" si="29"/>
        <v>18802.810000000001</v>
      </c>
      <c r="N613" t="s">
        <v>33</v>
      </c>
      <c r="O613" t="s">
        <v>29</v>
      </c>
      <c r="P613" t="s">
        <v>30</v>
      </c>
      <c r="Q613" t="s">
        <v>37</v>
      </c>
    </row>
    <row r="614" spans="1:17" x14ac:dyDescent="0.3">
      <c r="A614" t="s">
        <v>675</v>
      </c>
      <c r="B614" s="1">
        <v>45664</v>
      </c>
      <c r="C614" t="s">
        <v>15</v>
      </c>
      <c r="D614" t="s">
        <v>43</v>
      </c>
      <c r="E614" t="s">
        <v>99</v>
      </c>
      <c r="F614" t="s">
        <v>100</v>
      </c>
      <c r="G614">
        <v>3</v>
      </c>
      <c r="H614">
        <v>4856.55</v>
      </c>
      <c r="I614">
        <v>0.19</v>
      </c>
      <c r="J614">
        <v>11801.42</v>
      </c>
      <c r="K614">
        <f t="shared" si="27"/>
        <v>14569.650000000001</v>
      </c>
      <c r="L614">
        <f t="shared" si="28"/>
        <v>2768.2300000000014</v>
      </c>
      <c r="M614">
        <f t="shared" si="29"/>
        <v>11801.42</v>
      </c>
      <c r="N614" t="s">
        <v>19</v>
      </c>
      <c r="O614" t="s">
        <v>34</v>
      </c>
      <c r="P614" t="s">
        <v>54</v>
      </c>
      <c r="Q614" t="s">
        <v>22</v>
      </c>
    </row>
    <row r="615" spans="1:17" x14ac:dyDescent="0.3">
      <c r="A615" t="s">
        <v>676</v>
      </c>
      <c r="B615" s="1">
        <v>45694</v>
      </c>
      <c r="C615" t="s">
        <v>36</v>
      </c>
      <c r="D615" t="s">
        <v>43</v>
      </c>
      <c r="E615" t="s">
        <v>49</v>
      </c>
      <c r="F615" t="s">
        <v>73</v>
      </c>
      <c r="G615">
        <v>5</v>
      </c>
      <c r="H615">
        <v>1497.71</v>
      </c>
      <c r="I615">
        <v>0.24</v>
      </c>
      <c r="J615">
        <v>5691.3</v>
      </c>
      <c r="K615">
        <f t="shared" si="27"/>
        <v>7488.55</v>
      </c>
      <c r="L615">
        <f t="shared" si="28"/>
        <v>1797.25</v>
      </c>
      <c r="M615">
        <f t="shared" si="29"/>
        <v>5691.3</v>
      </c>
      <c r="N615" t="s">
        <v>19</v>
      </c>
      <c r="O615" t="s">
        <v>29</v>
      </c>
      <c r="P615" t="s">
        <v>21</v>
      </c>
      <c r="Q615" t="s">
        <v>22</v>
      </c>
    </row>
    <row r="616" spans="1:17" x14ac:dyDescent="0.3">
      <c r="A616" t="s">
        <v>677</v>
      </c>
      <c r="B616" s="1">
        <v>45803</v>
      </c>
      <c r="C616" t="s">
        <v>15</v>
      </c>
      <c r="D616" t="s">
        <v>16</v>
      </c>
      <c r="E616" t="s">
        <v>17</v>
      </c>
      <c r="F616" t="s">
        <v>18</v>
      </c>
      <c r="G616">
        <v>4</v>
      </c>
      <c r="H616">
        <v>1376</v>
      </c>
      <c r="I616">
        <v>0.05</v>
      </c>
      <c r="J616">
        <v>5228.8</v>
      </c>
      <c r="K616">
        <f t="shared" si="27"/>
        <v>5504</v>
      </c>
      <c r="L616">
        <f t="shared" si="28"/>
        <v>275.19999999999982</v>
      </c>
      <c r="M616">
        <f t="shared" si="29"/>
        <v>5228.8</v>
      </c>
      <c r="N616" t="s">
        <v>33</v>
      </c>
      <c r="O616" t="s">
        <v>20</v>
      </c>
      <c r="P616" t="s">
        <v>21</v>
      </c>
      <c r="Q616" t="s">
        <v>22</v>
      </c>
    </row>
    <row r="617" spans="1:17" x14ac:dyDescent="0.3">
      <c r="A617" t="s">
        <v>678</v>
      </c>
      <c r="B617" s="1">
        <v>45839</v>
      </c>
      <c r="C617" t="s">
        <v>15</v>
      </c>
      <c r="D617" t="s">
        <v>25</v>
      </c>
      <c r="E617" t="s">
        <v>99</v>
      </c>
      <c r="F617" t="s">
        <v>100</v>
      </c>
      <c r="G617">
        <v>2</v>
      </c>
      <c r="H617">
        <v>2714.85</v>
      </c>
      <c r="I617">
        <v>0.03</v>
      </c>
      <c r="J617">
        <v>5266.81</v>
      </c>
      <c r="K617">
        <f t="shared" si="27"/>
        <v>5429.7</v>
      </c>
      <c r="L617">
        <f t="shared" si="28"/>
        <v>162.88999999999942</v>
      </c>
      <c r="M617">
        <f t="shared" si="29"/>
        <v>5266.81</v>
      </c>
      <c r="N617" t="s">
        <v>41</v>
      </c>
      <c r="O617" t="s">
        <v>29</v>
      </c>
      <c r="P617" t="s">
        <v>54</v>
      </c>
      <c r="Q617" t="s">
        <v>37</v>
      </c>
    </row>
    <row r="618" spans="1:17" x14ac:dyDescent="0.3">
      <c r="A618" t="s">
        <v>679</v>
      </c>
      <c r="B618" s="1">
        <v>45724</v>
      </c>
      <c r="C618" t="s">
        <v>15</v>
      </c>
      <c r="D618" t="s">
        <v>39</v>
      </c>
      <c r="E618" t="s">
        <v>61</v>
      </c>
      <c r="F618" t="s">
        <v>92</v>
      </c>
      <c r="G618">
        <v>5</v>
      </c>
      <c r="H618">
        <v>4880.45</v>
      </c>
      <c r="I618">
        <v>0.08</v>
      </c>
      <c r="J618">
        <v>22450.07</v>
      </c>
      <c r="K618">
        <f t="shared" si="27"/>
        <v>24402.25</v>
      </c>
      <c r="L618">
        <f t="shared" si="28"/>
        <v>1952.1800000000003</v>
      </c>
      <c r="M618">
        <f t="shared" si="29"/>
        <v>22450.07</v>
      </c>
      <c r="N618" t="s">
        <v>19</v>
      </c>
      <c r="O618" t="s">
        <v>20</v>
      </c>
      <c r="P618" t="s">
        <v>21</v>
      </c>
      <c r="Q618" t="s">
        <v>22</v>
      </c>
    </row>
    <row r="619" spans="1:17" x14ac:dyDescent="0.3">
      <c r="A619" t="s">
        <v>680</v>
      </c>
      <c r="B619" s="1">
        <v>45811</v>
      </c>
      <c r="C619" t="s">
        <v>36</v>
      </c>
      <c r="D619" t="s">
        <v>16</v>
      </c>
      <c r="E619" t="s">
        <v>99</v>
      </c>
      <c r="F619" t="s">
        <v>100</v>
      </c>
      <c r="G619">
        <v>1</v>
      </c>
      <c r="H619">
        <v>3685.04</v>
      </c>
      <c r="I619">
        <v>0.23</v>
      </c>
      <c r="J619">
        <v>2837.48</v>
      </c>
      <c r="K619">
        <f t="shared" si="27"/>
        <v>3685.04</v>
      </c>
      <c r="L619">
        <f t="shared" si="28"/>
        <v>847.56</v>
      </c>
      <c r="M619">
        <f t="shared" si="29"/>
        <v>2837.48</v>
      </c>
      <c r="N619" t="s">
        <v>41</v>
      </c>
      <c r="O619" t="s">
        <v>34</v>
      </c>
      <c r="P619" t="s">
        <v>54</v>
      </c>
      <c r="Q619" t="s">
        <v>22</v>
      </c>
    </row>
    <row r="620" spans="1:17" x14ac:dyDescent="0.3">
      <c r="A620" t="s">
        <v>681</v>
      </c>
      <c r="B620" s="1">
        <v>45840</v>
      </c>
      <c r="C620" t="s">
        <v>48</v>
      </c>
      <c r="D620" t="s">
        <v>43</v>
      </c>
      <c r="E620" t="s">
        <v>49</v>
      </c>
      <c r="F620" t="s">
        <v>73</v>
      </c>
      <c r="G620">
        <v>3</v>
      </c>
      <c r="H620">
        <v>369.66</v>
      </c>
      <c r="I620">
        <v>0.16</v>
      </c>
      <c r="J620">
        <v>931.54</v>
      </c>
      <c r="K620">
        <f t="shared" si="27"/>
        <v>1108.98</v>
      </c>
      <c r="L620">
        <f t="shared" si="28"/>
        <v>177.44000000000005</v>
      </c>
      <c r="M620">
        <f t="shared" si="29"/>
        <v>931.54</v>
      </c>
      <c r="N620" t="s">
        <v>46</v>
      </c>
      <c r="O620" t="s">
        <v>20</v>
      </c>
      <c r="P620" t="s">
        <v>21</v>
      </c>
      <c r="Q620" t="s">
        <v>88</v>
      </c>
    </row>
    <row r="621" spans="1:17" x14ac:dyDescent="0.3">
      <c r="A621" t="s">
        <v>682</v>
      </c>
      <c r="B621" s="1">
        <v>45739</v>
      </c>
      <c r="C621" t="s">
        <v>24</v>
      </c>
      <c r="D621" t="s">
        <v>25</v>
      </c>
      <c r="E621" t="s">
        <v>99</v>
      </c>
      <c r="F621" t="s">
        <v>100</v>
      </c>
      <c r="G621">
        <v>4</v>
      </c>
      <c r="H621">
        <v>3417.61</v>
      </c>
      <c r="I621">
        <v>0.24</v>
      </c>
      <c r="J621">
        <v>10389.530000000001</v>
      </c>
      <c r="K621">
        <f t="shared" si="27"/>
        <v>13670.44</v>
      </c>
      <c r="L621">
        <f t="shared" si="28"/>
        <v>3280.91</v>
      </c>
      <c r="M621">
        <f t="shared" si="29"/>
        <v>10389.530000000001</v>
      </c>
      <c r="N621" t="s">
        <v>58</v>
      </c>
      <c r="O621" t="s">
        <v>29</v>
      </c>
      <c r="P621" t="s">
        <v>21</v>
      </c>
      <c r="Q621" t="s">
        <v>22</v>
      </c>
    </row>
    <row r="622" spans="1:17" x14ac:dyDescent="0.3">
      <c r="A622" t="s">
        <v>683</v>
      </c>
      <c r="B622" s="1">
        <v>45815</v>
      </c>
      <c r="C622" t="s">
        <v>15</v>
      </c>
      <c r="D622" t="s">
        <v>39</v>
      </c>
      <c r="E622" t="s">
        <v>99</v>
      </c>
      <c r="F622" t="s">
        <v>120</v>
      </c>
      <c r="G622">
        <v>4</v>
      </c>
      <c r="H622">
        <v>1911.19</v>
      </c>
      <c r="I622">
        <v>0.09</v>
      </c>
      <c r="J622">
        <v>6956.73</v>
      </c>
      <c r="K622">
        <f t="shared" si="27"/>
        <v>7644.76</v>
      </c>
      <c r="L622">
        <f t="shared" si="28"/>
        <v>688.03000000000065</v>
      </c>
      <c r="M622">
        <f t="shared" si="29"/>
        <v>6956.73</v>
      </c>
      <c r="N622" t="s">
        <v>41</v>
      </c>
      <c r="O622" t="s">
        <v>20</v>
      </c>
      <c r="P622" t="s">
        <v>30</v>
      </c>
      <c r="Q622" t="s">
        <v>22</v>
      </c>
    </row>
    <row r="623" spans="1:17" x14ac:dyDescent="0.3">
      <c r="A623" t="s">
        <v>684</v>
      </c>
      <c r="B623" s="1">
        <v>45790</v>
      </c>
      <c r="C623" t="s">
        <v>52</v>
      </c>
      <c r="D623" t="s">
        <v>25</v>
      </c>
      <c r="E623" t="s">
        <v>49</v>
      </c>
      <c r="F623" t="s">
        <v>56</v>
      </c>
      <c r="G623">
        <v>4</v>
      </c>
      <c r="H623">
        <v>4038.06</v>
      </c>
      <c r="I623">
        <v>7.0000000000000007E-2</v>
      </c>
      <c r="J623">
        <v>15021.58</v>
      </c>
      <c r="K623">
        <f t="shared" si="27"/>
        <v>16152.24</v>
      </c>
      <c r="L623">
        <f t="shared" si="28"/>
        <v>1130.6599999999999</v>
      </c>
      <c r="M623">
        <f t="shared" si="29"/>
        <v>15021.58</v>
      </c>
      <c r="N623" t="s">
        <v>41</v>
      </c>
      <c r="O623" t="s">
        <v>29</v>
      </c>
      <c r="P623" t="s">
        <v>21</v>
      </c>
      <c r="Q623" t="s">
        <v>22</v>
      </c>
    </row>
    <row r="624" spans="1:17" x14ac:dyDescent="0.3">
      <c r="A624" t="s">
        <v>685</v>
      </c>
      <c r="B624" s="1">
        <v>45827</v>
      </c>
      <c r="C624" t="s">
        <v>36</v>
      </c>
      <c r="D624" t="s">
        <v>39</v>
      </c>
      <c r="E624" t="s">
        <v>49</v>
      </c>
      <c r="F624" t="s">
        <v>73</v>
      </c>
      <c r="G624">
        <v>2</v>
      </c>
      <c r="H624">
        <v>1118.1400000000001</v>
      </c>
      <c r="I624">
        <v>0.12</v>
      </c>
      <c r="J624">
        <v>1967.93</v>
      </c>
      <c r="K624">
        <f t="shared" si="27"/>
        <v>2236.2800000000002</v>
      </c>
      <c r="L624">
        <f t="shared" si="28"/>
        <v>268.35000000000014</v>
      </c>
      <c r="M624">
        <f t="shared" si="29"/>
        <v>1967.93</v>
      </c>
      <c r="N624" t="s">
        <v>33</v>
      </c>
      <c r="O624" t="s">
        <v>20</v>
      </c>
      <c r="P624" t="s">
        <v>21</v>
      </c>
      <c r="Q624" t="s">
        <v>22</v>
      </c>
    </row>
    <row r="625" spans="1:17" x14ac:dyDescent="0.3">
      <c r="A625" t="s">
        <v>686</v>
      </c>
      <c r="B625" s="1">
        <v>45802</v>
      </c>
      <c r="C625" t="s">
        <v>24</v>
      </c>
      <c r="D625" t="s">
        <v>43</v>
      </c>
      <c r="E625" t="s">
        <v>27</v>
      </c>
      <c r="F625" t="s">
        <v>87</v>
      </c>
      <c r="G625">
        <v>3</v>
      </c>
      <c r="H625">
        <v>2131.12</v>
      </c>
      <c r="I625">
        <v>0.14000000000000001</v>
      </c>
      <c r="J625">
        <v>5498.29</v>
      </c>
      <c r="K625">
        <f t="shared" si="27"/>
        <v>6393.36</v>
      </c>
      <c r="L625">
        <f t="shared" si="28"/>
        <v>895.06999999999971</v>
      </c>
      <c r="M625">
        <f t="shared" si="29"/>
        <v>5498.29</v>
      </c>
      <c r="N625" t="s">
        <v>58</v>
      </c>
      <c r="O625" t="s">
        <v>34</v>
      </c>
      <c r="P625" t="s">
        <v>21</v>
      </c>
      <c r="Q625" t="s">
        <v>22</v>
      </c>
    </row>
    <row r="626" spans="1:17" x14ac:dyDescent="0.3">
      <c r="A626" t="s">
        <v>687</v>
      </c>
      <c r="B626" s="1">
        <v>45817</v>
      </c>
      <c r="C626" t="s">
        <v>36</v>
      </c>
      <c r="D626" t="s">
        <v>25</v>
      </c>
      <c r="E626" t="s">
        <v>49</v>
      </c>
      <c r="F626" t="s">
        <v>53</v>
      </c>
      <c r="G626">
        <v>3</v>
      </c>
      <c r="H626">
        <v>4189.47</v>
      </c>
      <c r="I626">
        <v>0.08</v>
      </c>
      <c r="J626">
        <v>11562.94</v>
      </c>
      <c r="K626">
        <f t="shared" si="27"/>
        <v>12568.41</v>
      </c>
      <c r="L626">
        <f t="shared" si="28"/>
        <v>1005.4699999999993</v>
      </c>
      <c r="M626">
        <f t="shared" si="29"/>
        <v>11562.94</v>
      </c>
      <c r="N626" t="s">
        <v>41</v>
      </c>
      <c r="O626" t="s">
        <v>20</v>
      </c>
      <c r="P626" t="s">
        <v>21</v>
      </c>
      <c r="Q626" t="s">
        <v>22</v>
      </c>
    </row>
    <row r="627" spans="1:17" x14ac:dyDescent="0.3">
      <c r="A627" t="s">
        <v>688</v>
      </c>
      <c r="B627" s="1">
        <v>45708</v>
      </c>
      <c r="C627" t="s">
        <v>15</v>
      </c>
      <c r="D627" t="s">
        <v>25</v>
      </c>
      <c r="E627" t="s">
        <v>17</v>
      </c>
      <c r="F627" t="s">
        <v>44</v>
      </c>
      <c r="G627">
        <v>4</v>
      </c>
      <c r="H627">
        <v>708.47</v>
      </c>
      <c r="I627">
        <v>0.17</v>
      </c>
      <c r="J627">
        <v>2352.12</v>
      </c>
      <c r="K627">
        <f t="shared" si="27"/>
        <v>2833.88</v>
      </c>
      <c r="L627">
        <f t="shared" si="28"/>
        <v>481.76000000000022</v>
      </c>
      <c r="M627">
        <f t="shared" si="29"/>
        <v>2352.12</v>
      </c>
      <c r="N627" t="s">
        <v>46</v>
      </c>
      <c r="O627" t="s">
        <v>29</v>
      </c>
      <c r="P627" t="s">
        <v>30</v>
      </c>
      <c r="Q627" t="s">
        <v>22</v>
      </c>
    </row>
    <row r="628" spans="1:17" x14ac:dyDescent="0.3">
      <c r="A628" t="s">
        <v>689</v>
      </c>
      <c r="B628" s="1">
        <v>45711</v>
      </c>
      <c r="C628" t="s">
        <v>24</v>
      </c>
      <c r="D628" t="s">
        <v>25</v>
      </c>
      <c r="E628" t="s">
        <v>61</v>
      </c>
      <c r="F628" t="s">
        <v>62</v>
      </c>
      <c r="G628">
        <v>1</v>
      </c>
      <c r="H628">
        <v>3034.57</v>
      </c>
      <c r="I628">
        <v>0.09</v>
      </c>
      <c r="J628">
        <v>2761.46</v>
      </c>
      <c r="K628">
        <f t="shared" si="27"/>
        <v>3034.57</v>
      </c>
      <c r="L628">
        <f t="shared" si="28"/>
        <v>273.11000000000013</v>
      </c>
      <c r="M628">
        <f t="shared" si="29"/>
        <v>2761.46</v>
      </c>
      <c r="N628" t="s">
        <v>46</v>
      </c>
      <c r="O628" t="s">
        <v>34</v>
      </c>
      <c r="P628" t="s">
        <v>30</v>
      </c>
      <c r="Q628" t="s">
        <v>37</v>
      </c>
    </row>
    <row r="629" spans="1:17" x14ac:dyDescent="0.3">
      <c r="A629" t="s">
        <v>690</v>
      </c>
      <c r="B629" s="1">
        <v>45690</v>
      </c>
      <c r="C629" t="s">
        <v>15</v>
      </c>
      <c r="D629" t="s">
        <v>16</v>
      </c>
      <c r="E629" t="s">
        <v>49</v>
      </c>
      <c r="F629" t="s">
        <v>56</v>
      </c>
      <c r="G629">
        <v>5</v>
      </c>
      <c r="H629">
        <v>185.97</v>
      </c>
      <c r="I629">
        <v>0.06</v>
      </c>
      <c r="J629">
        <v>874.06</v>
      </c>
      <c r="K629">
        <f t="shared" si="27"/>
        <v>929.85</v>
      </c>
      <c r="L629">
        <f t="shared" si="28"/>
        <v>55.790000000000077</v>
      </c>
      <c r="M629">
        <f t="shared" si="29"/>
        <v>874.06</v>
      </c>
      <c r="N629" t="s">
        <v>33</v>
      </c>
      <c r="O629" t="s">
        <v>29</v>
      </c>
      <c r="P629" t="s">
        <v>21</v>
      </c>
      <c r="Q629" t="s">
        <v>22</v>
      </c>
    </row>
    <row r="630" spans="1:17" x14ac:dyDescent="0.3">
      <c r="A630" t="s">
        <v>691</v>
      </c>
      <c r="B630" s="1">
        <v>45812</v>
      </c>
      <c r="C630" t="s">
        <v>15</v>
      </c>
      <c r="D630" t="s">
        <v>16</v>
      </c>
      <c r="E630" t="s">
        <v>49</v>
      </c>
      <c r="F630" t="s">
        <v>73</v>
      </c>
      <c r="G630">
        <v>3</v>
      </c>
      <c r="H630">
        <v>1869.7</v>
      </c>
      <c r="I630">
        <v>0.16</v>
      </c>
      <c r="J630">
        <v>4711.6400000000003</v>
      </c>
      <c r="K630">
        <f t="shared" si="27"/>
        <v>5609.1</v>
      </c>
      <c r="L630">
        <f t="shared" si="28"/>
        <v>897.46</v>
      </c>
      <c r="M630">
        <f t="shared" si="29"/>
        <v>4711.6400000000003</v>
      </c>
      <c r="N630" t="s">
        <v>19</v>
      </c>
      <c r="O630" t="s">
        <v>20</v>
      </c>
      <c r="P630" t="s">
        <v>30</v>
      </c>
      <c r="Q630" t="s">
        <v>22</v>
      </c>
    </row>
    <row r="631" spans="1:17" x14ac:dyDescent="0.3">
      <c r="A631" t="s">
        <v>692</v>
      </c>
      <c r="B631" s="1">
        <v>45796</v>
      </c>
      <c r="C631" t="s">
        <v>36</v>
      </c>
      <c r="D631" t="s">
        <v>39</v>
      </c>
      <c r="E631" t="s">
        <v>27</v>
      </c>
      <c r="F631" t="s">
        <v>79</v>
      </c>
      <c r="G631">
        <v>2</v>
      </c>
      <c r="H631">
        <v>3846.98</v>
      </c>
      <c r="I631">
        <v>0.15</v>
      </c>
      <c r="J631">
        <v>6539.87</v>
      </c>
      <c r="K631">
        <f t="shared" si="27"/>
        <v>7693.96</v>
      </c>
      <c r="L631">
        <f t="shared" si="28"/>
        <v>1154.0900000000001</v>
      </c>
      <c r="M631">
        <f t="shared" si="29"/>
        <v>6539.87</v>
      </c>
      <c r="N631" t="s">
        <v>19</v>
      </c>
      <c r="O631" t="s">
        <v>29</v>
      </c>
      <c r="P631" t="s">
        <v>54</v>
      </c>
      <c r="Q631" t="s">
        <v>37</v>
      </c>
    </row>
    <row r="632" spans="1:17" x14ac:dyDescent="0.3">
      <c r="A632" t="s">
        <v>693</v>
      </c>
      <c r="B632" s="1">
        <v>45680</v>
      </c>
      <c r="C632" t="s">
        <v>15</v>
      </c>
      <c r="D632" t="s">
        <v>39</v>
      </c>
      <c r="E632" t="s">
        <v>99</v>
      </c>
      <c r="F632" t="s">
        <v>111</v>
      </c>
      <c r="G632">
        <v>5</v>
      </c>
      <c r="H632">
        <v>1822.98</v>
      </c>
      <c r="I632">
        <v>0.04</v>
      </c>
      <c r="J632">
        <v>8750.2999999999993</v>
      </c>
      <c r="K632">
        <f t="shared" si="27"/>
        <v>9114.9</v>
      </c>
      <c r="L632">
        <f t="shared" si="28"/>
        <v>364.60000000000036</v>
      </c>
      <c r="M632">
        <f t="shared" si="29"/>
        <v>8750.2999999999993</v>
      </c>
      <c r="N632" t="s">
        <v>58</v>
      </c>
      <c r="O632" t="s">
        <v>29</v>
      </c>
      <c r="P632" t="s">
        <v>54</v>
      </c>
      <c r="Q632" t="s">
        <v>22</v>
      </c>
    </row>
    <row r="633" spans="1:17" x14ac:dyDescent="0.3">
      <c r="A633" t="s">
        <v>694</v>
      </c>
      <c r="B633" s="1">
        <v>45734</v>
      </c>
      <c r="C633" t="s">
        <v>15</v>
      </c>
      <c r="D633" t="s">
        <v>16</v>
      </c>
      <c r="E633" t="s">
        <v>49</v>
      </c>
      <c r="F633" t="s">
        <v>50</v>
      </c>
      <c r="G633">
        <v>2</v>
      </c>
      <c r="H633">
        <v>857.32</v>
      </c>
      <c r="I633">
        <v>0.06</v>
      </c>
      <c r="J633">
        <v>1611.76</v>
      </c>
      <c r="K633">
        <f t="shared" si="27"/>
        <v>1714.64</v>
      </c>
      <c r="L633">
        <f t="shared" si="28"/>
        <v>102.88000000000011</v>
      </c>
      <c r="M633">
        <f t="shared" si="29"/>
        <v>1611.76</v>
      </c>
      <c r="N633" t="s">
        <v>19</v>
      </c>
      <c r="O633" t="s">
        <v>20</v>
      </c>
      <c r="P633" t="s">
        <v>54</v>
      </c>
      <c r="Q633" t="s">
        <v>22</v>
      </c>
    </row>
    <row r="634" spans="1:17" x14ac:dyDescent="0.3">
      <c r="A634" t="s">
        <v>695</v>
      </c>
      <c r="B634" s="1">
        <v>45829</v>
      </c>
      <c r="C634" t="s">
        <v>52</v>
      </c>
      <c r="D634" t="s">
        <v>39</v>
      </c>
      <c r="E634" t="s">
        <v>17</v>
      </c>
      <c r="F634" t="s">
        <v>18</v>
      </c>
      <c r="G634">
        <v>3</v>
      </c>
      <c r="H634">
        <v>1626.71</v>
      </c>
      <c r="I634">
        <v>0.09</v>
      </c>
      <c r="J634">
        <v>4440.92</v>
      </c>
      <c r="K634">
        <f t="shared" si="27"/>
        <v>4880.13</v>
      </c>
      <c r="L634">
        <f t="shared" si="28"/>
        <v>439.21000000000004</v>
      </c>
      <c r="M634">
        <f t="shared" si="29"/>
        <v>4440.92</v>
      </c>
      <c r="N634" t="s">
        <v>58</v>
      </c>
      <c r="O634" t="s">
        <v>34</v>
      </c>
      <c r="P634" t="s">
        <v>30</v>
      </c>
      <c r="Q634" t="s">
        <v>22</v>
      </c>
    </row>
    <row r="635" spans="1:17" x14ac:dyDescent="0.3">
      <c r="A635" t="s">
        <v>696</v>
      </c>
      <c r="B635" s="1">
        <v>45667</v>
      </c>
      <c r="C635" t="s">
        <v>24</v>
      </c>
      <c r="D635" t="s">
        <v>43</v>
      </c>
      <c r="E635" t="s">
        <v>99</v>
      </c>
      <c r="F635" t="s">
        <v>120</v>
      </c>
      <c r="G635">
        <v>2</v>
      </c>
      <c r="H635">
        <v>3471.43</v>
      </c>
      <c r="I635">
        <v>0.08</v>
      </c>
      <c r="J635">
        <v>6387.43</v>
      </c>
      <c r="K635">
        <f t="shared" si="27"/>
        <v>6942.86</v>
      </c>
      <c r="L635">
        <f t="shared" si="28"/>
        <v>555.42999999999938</v>
      </c>
      <c r="M635">
        <f t="shared" si="29"/>
        <v>6387.43</v>
      </c>
      <c r="N635" t="s">
        <v>19</v>
      </c>
      <c r="O635" t="s">
        <v>20</v>
      </c>
      <c r="P635" t="s">
        <v>54</v>
      </c>
      <c r="Q635" t="s">
        <v>59</v>
      </c>
    </row>
    <row r="636" spans="1:17" x14ac:dyDescent="0.3">
      <c r="A636" t="s">
        <v>697</v>
      </c>
      <c r="B636" s="1">
        <v>45826</v>
      </c>
      <c r="C636" t="s">
        <v>24</v>
      </c>
      <c r="D636" t="s">
        <v>16</v>
      </c>
      <c r="E636" t="s">
        <v>49</v>
      </c>
      <c r="F636" t="s">
        <v>56</v>
      </c>
      <c r="G636">
        <v>4</v>
      </c>
      <c r="H636">
        <v>308.33</v>
      </c>
      <c r="I636">
        <v>0.03</v>
      </c>
      <c r="J636">
        <v>1196.32</v>
      </c>
      <c r="K636">
        <f t="shared" si="27"/>
        <v>1233.32</v>
      </c>
      <c r="L636">
        <f t="shared" si="28"/>
        <v>37</v>
      </c>
      <c r="M636">
        <f t="shared" si="29"/>
        <v>1196.32</v>
      </c>
      <c r="N636" t="s">
        <v>58</v>
      </c>
      <c r="O636" t="s">
        <v>34</v>
      </c>
      <c r="P636" t="s">
        <v>21</v>
      </c>
      <c r="Q636" t="s">
        <v>22</v>
      </c>
    </row>
    <row r="637" spans="1:17" x14ac:dyDescent="0.3">
      <c r="A637" t="s">
        <v>698</v>
      </c>
      <c r="B637" s="1">
        <v>45751</v>
      </c>
      <c r="C637" t="s">
        <v>24</v>
      </c>
      <c r="D637" t="s">
        <v>43</v>
      </c>
      <c r="E637" t="s">
        <v>99</v>
      </c>
      <c r="F637" t="s">
        <v>120</v>
      </c>
      <c r="G637">
        <v>1</v>
      </c>
      <c r="H637">
        <v>3797.3</v>
      </c>
      <c r="I637">
        <v>0.2</v>
      </c>
      <c r="J637">
        <v>3037.84</v>
      </c>
      <c r="K637">
        <f t="shared" si="27"/>
        <v>3797.3</v>
      </c>
      <c r="L637">
        <f t="shared" si="28"/>
        <v>759.46</v>
      </c>
      <c r="M637">
        <f t="shared" si="29"/>
        <v>3037.84</v>
      </c>
      <c r="N637" t="s">
        <v>46</v>
      </c>
      <c r="O637" t="s">
        <v>29</v>
      </c>
      <c r="P637" t="s">
        <v>21</v>
      </c>
      <c r="Q637" t="s">
        <v>22</v>
      </c>
    </row>
    <row r="638" spans="1:17" x14ac:dyDescent="0.3">
      <c r="A638" t="s">
        <v>699</v>
      </c>
      <c r="B638" s="1">
        <v>45703</v>
      </c>
      <c r="C638" t="s">
        <v>15</v>
      </c>
      <c r="D638" t="s">
        <v>39</v>
      </c>
      <c r="E638" t="s">
        <v>61</v>
      </c>
      <c r="F638" t="s">
        <v>75</v>
      </c>
      <c r="G638">
        <v>2</v>
      </c>
      <c r="H638">
        <v>4244.72</v>
      </c>
      <c r="I638">
        <v>0.24</v>
      </c>
      <c r="J638">
        <v>6451.97</v>
      </c>
      <c r="K638">
        <f t="shared" si="27"/>
        <v>8489.44</v>
      </c>
      <c r="L638">
        <f t="shared" si="28"/>
        <v>2037.4700000000003</v>
      </c>
      <c r="M638">
        <f t="shared" si="29"/>
        <v>6451.97</v>
      </c>
      <c r="N638" t="s">
        <v>58</v>
      </c>
      <c r="O638" t="s">
        <v>20</v>
      </c>
      <c r="P638" t="s">
        <v>21</v>
      </c>
      <c r="Q638" t="s">
        <v>22</v>
      </c>
    </row>
    <row r="639" spans="1:17" x14ac:dyDescent="0.3">
      <c r="A639" t="s">
        <v>700</v>
      </c>
      <c r="B639" s="1">
        <v>45698</v>
      </c>
      <c r="C639" t="s">
        <v>36</v>
      </c>
      <c r="D639" t="s">
        <v>43</v>
      </c>
      <c r="E639" t="s">
        <v>27</v>
      </c>
      <c r="F639" t="s">
        <v>68</v>
      </c>
      <c r="G639">
        <v>1</v>
      </c>
      <c r="H639">
        <v>4115.97</v>
      </c>
      <c r="I639">
        <v>0.19</v>
      </c>
      <c r="J639">
        <v>3333.94</v>
      </c>
      <c r="K639">
        <f t="shared" si="27"/>
        <v>4115.97</v>
      </c>
      <c r="L639">
        <f t="shared" si="28"/>
        <v>782.0300000000002</v>
      </c>
      <c r="M639">
        <f t="shared" si="29"/>
        <v>3333.94</v>
      </c>
      <c r="N639" t="s">
        <v>33</v>
      </c>
      <c r="O639" t="s">
        <v>20</v>
      </c>
      <c r="P639" t="s">
        <v>21</v>
      </c>
      <c r="Q639" t="s">
        <v>22</v>
      </c>
    </row>
    <row r="640" spans="1:17" x14ac:dyDescent="0.3">
      <c r="A640" t="s">
        <v>701</v>
      </c>
      <c r="B640" s="1">
        <v>45818</v>
      </c>
      <c r="C640" t="s">
        <v>36</v>
      </c>
      <c r="D640" t="s">
        <v>25</v>
      </c>
      <c r="E640" t="s">
        <v>99</v>
      </c>
      <c r="F640" t="s">
        <v>100</v>
      </c>
      <c r="G640">
        <v>1</v>
      </c>
      <c r="H640">
        <v>4628.74</v>
      </c>
      <c r="I640">
        <v>0.23</v>
      </c>
      <c r="J640">
        <v>3564.13</v>
      </c>
      <c r="K640">
        <f t="shared" si="27"/>
        <v>4628.74</v>
      </c>
      <c r="L640">
        <f t="shared" si="28"/>
        <v>1064.6099999999997</v>
      </c>
      <c r="M640">
        <f t="shared" si="29"/>
        <v>3564.13</v>
      </c>
      <c r="N640" t="s">
        <v>58</v>
      </c>
      <c r="O640" t="s">
        <v>29</v>
      </c>
      <c r="P640" t="s">
        <v>21</v>
      </c>
      <c r="Q640" t="s">
        <v>22</v>
      </c>
    </row>
    <row r="641" spans="1:17" x14ac:dyDescent="0.3">
      <c r="A641" t="s">
        <v>702</v>
      </c>
      <c r="B641" s="1">
        <v>45838</v>
      </c>
      <c r="C641" t="s">
        <v>48</v>
      </c>
      <c r="D641" t="s">
        <v>43</v>
      </c>
      <c r="E641" t="s">
        <v>27</v>
      </c>
      <c r="F641" t="s">
        <v>68</v>
      </c>
      <c r="G641">
        <v>3</v>
      </c>
      <c r="H641">
        <v>4908.38</v>
      </c>
      <c r="I641">
        <v>0.11</v>
      </c>
      <c r="J641">
        <v>13105.37</v>
      </c>
      <c r="K641">
        <f t="shared" si="27"/>
        <v>14725.14</v>
      </c>
      <c r="L641">
        <f t="shared" si="28"/>
        <v>1619.7699999999986</v>
      </c>
      <c r="M641">
        <f t="shared" si="29"/>
        <v>13105.37</v>
      </c>
      <c r="N641" t="s">
        <v>58</v>
      </c>
      <c r="O641" t="s">
        <v>20</v>
      </c>
      <c r="P641" t="s">
        <v>21</v>
      </c>
      <c r="Q641" t="s">
        <v>22</v>
      </c>
    </row>
    <row r="642" spans="1:17" x14ac:dyDescent="0.3">
      <c r="A642" t="s">
        <v>703</v>
      </c>
      <c r="B642" s="1">
        <v>45749</v>
      </c>
      <c r="C642" t="s">
        <v>48</v>
      </c>
      <c r="D642" t="s">
        <v>16</v>
      </c>
      <c r="E642" t="s">
        <v>99</v>
      </c>
      <c r="F642" t="s">
        <v>120</v>
      </c>
      <c r="G642">
        <v>2</v>
      </c>
      <c r="H642">
        <v>2529.5</v>
      </c>
      <c r="I642">
        <v>0.09</v>
      </c>
      <c r="J642">
        <v>4603.6899999999996</v>
      </c>
      <c r="K642">
        <f t="shared" si="27"/>
        <v>5059</v>
      </c>
      <c r="L642">
        <f t="shared" si="28"/>
        <v>455.3100000000004</v>
      </c>
      <c r="M642">
        <f t="shared" si="29"/>
        <v>4603.6899999999996</v>
      </c>
      <c r="N642" t="s">
        <v>58</v>
      </c>
      <c r="O642" t="s">
        <v>29</v>
      </c>
      <c r="P642" t="s">
        <v>30</v>
      </c>
      <c r="Q642" t="s">
        <v>22</v>
      </c>
    </row>
    <row r="643" spans="1:17" x14ac:dyDescent="0.3">
      <c r="A643" t="s">
        <v>704</v>
      </c>
      <c r="B643" s="1">
        <v>45727</v>
      </c>
      <c r="C643" t="s">
        <v>48</v>
      </c>
      <c r="D643" t="s">
        <v>43</v>
      </c>
      <c r="E643" t="s">
        <v>49</v>
      </c>
      <c r="F643" t="s">
        <v>56</v>
      </c>
      <c r="G643">
        <v>5</v>
      </c>
      <c r="H643">
        <v>3707.25</v>
      </c>
      <c r="I643">
        <v>0.17</v>
      </c>
      <c r="J643">
        <v>15385.09</v>
      </c>
      <c r="K643">
        <f t="shared" ref="K643:K706" si="30">G643*H643</f>
        <v>18536.25</v>
      </c>
      <c r="L643">
        <f t="shared" ref="L643:L706" si="31">K643-J643</f>
        <v>3151.16</v>
      </c>
      <c r="M643">
        <f t="shared" ref="M643:M706" si="32">K643-L643</f>
        <v>15385.09</v>
      </c>
      <c r="N643" t="s">
        <v>46</v>
      </c>
      <c r="O643" t="s">
        <v>34</v>
      </c>
      <c r="P643" t="s">
        <v>30</v>
      </c>
      <c r="Q643" t="s">
        <v>22</v>
      </c>
    </row>
    <row r="644" spans="1:17" x14ac:dyDescent="0.3">
      <c r="A644" t="s">
        <v>705</v>
      </c>
      <c r="B644" s="1">
        <v>45719</v>
      </c>
      <c r="C644" t="s">
        <v>52</v>
      </c>
      <c r="D644" t="s">
        <v>16</v>
      </c>
      <c r="E644" t="s">
        <v>99</v>
      </c>
      <c r="F644" t="s">
        <v>115</v>
      </c>
      <c r="G644">
        <v>3</v>
      </c>
      <c r="H644">
        <v>978.56</v>
      </c>
      <c r="I644">
        <v>0.25</v>
      </c>
      <c r="J644">
        <v>2201.7600000000002</v>
      </c>
      <c r="K644">
        <f t="shared" si="30"/>
        <v>2935.68</v>
      </c>
      <c r="L644">
        <f t="shared" si="31"/>
        <v>733.91999999999962</v>
      </c>
      <c r="M644">
        <f t="shared" si="32"/>
        <v>2201.7600000000002</v>
      </c>
      <c r="N644" t="s">
        <v>58</v>
      </c>
      <c r="O644" t="s">
        <v>34</v>
      </c>
      <c r="P644" t="s">
        <v>30</v>
      </c>
      <c r="Q644" t="s">
        <v>22</v>
      </c>
    </row>
    <row r="645" spans="1:17" x14ac:dyDescent="0.3">
      <c r="A645" t="s">
        <v>706</v>
      </c>
      <c r="B645" s="1">
        <v>45819</v>
      </c>
      <c r="C645" t="s">
        <v>24</v>
      </c>
      <c r="D645" t="s">
        <v>43</v>
      </c>
      <c r="E645" t="s">
        <v>27</v>
      </c>
      <c r="F645" t="s">
        <v>79</v>
      </c>
      <c r="G645">
        <v>4</v>
      </c>
      <c r="H645">
        <v>3505.68</v>
      </c>
      <c r="I645">
        <v>0.24</v>
      </c>
      <c r="J645">
        <v>10657.27</v>
      </c>
      <c r="K645">
        <f t="shared" si="30"/>
        <v>14022.72</v>
      </c>
      <c r="L645">
        <f t="shared" si="31"/>
        <v>3365.4499999999989</v>
      </c>
      <c r="M645">
        <f t="shared" si="32"/>
        <v>10657.27</v>
      </c>
      <c r="N645" t="s">
        <v>19</v>
      </c>
      <c r="O645" t="s">
        <v>34</v>
      </c>
      <c r="P645" t="s">
        <v>21</v>
      </c>
      <c r="Q645" t="s">
        <v>22</v>
      </c>
    </row>
    <row r="646" spans="1:17" x14ac:dyDescent="0.3">
      <c r="A646" t="s">
        <v>707</v>
      </c>
      <c r="B646" s="1">
        <v>45814</v>
      </c>
      <c r="C646" t="s">
        <v>52</v>
      </c>
      <c r="D646" t="s">
        <v>39</v>
      </c>
      <c r="E646" t="s">
        <v>61</v>
      </c>
      <c r="F646" t="s">
        <v>66</v>
      </c>
      <c r="G646">
        <v>1</v>
      </c>
      <c r="H646">
        <v>1241.06</v>
      </c>
      <c r="I646">
        <v>0.11</v>
      </c>
      <c r="J646">
        <v>1104.54</v>
      </c>
      <c r="K646">
        <f t="shared" si="30"/>
        <v>1241.06</v>
      </c>
      <c r="L646">
        <f t="shared" si="31"/>
        <v>136.51999999999998</v>
      </c>
      <c r="M646">
        <f t="shared" si="32"/>
        <v>1104.54</v>
      </c>
      <c r="N646" t="s">
        <v>33</v>
      </c>
      <c r="O646" t="s">
        <v>34</v>
      </c>
      <c r="P646" t="s">
        <v>30</v>
      </c>
      <c r="Q646" t="s">
        <v>88</v>
      </c>
    </row>
    <row r="647" spans="1:17" x14ac:dyDescent="0.3">
      <c r="A647" t="s">
        <v>708</v>
      </c>
      <c r="B647" s="1">
        <v>45829</v>
      </c>
      <c r="C647" t="s">
        <v>48</v>
      </c>
      <c r="D647" t="s">
        <v>39</v>
      </c>
      <c r="E647" t="s">
        <v>27</v>
      </c>
      <c r="F647" t="s">
        <v>28</v>
      </c>
      <c r="G647">
        <v>5</v>
      </c>
      <c r="H647">
        <v>4755.68</v>
      </c>
      <c r="I647">
        <v>0.25</v>
      </c>
      <c r="J647">
        <v>17833.8</v>
      </c>
      <c r="K647">
        <f t="shared" si="30"/>
        <v>23778.400000000001</v>
      </c>
      <c r="L647">
        <f t="shared" si="31"/>
        <v>5944.6000000000022</v>
      </c>
      <c r="M647">
        <f t="shared" si="32"/>
        <v>17833.8</v>
      </c>
      <c r="N647" t="s">
        <v>46</v>
      </c>
      <c r="O647" t="s">
        <v>34</v>
      </c>
      <c r="P647" t="s">
        <v>21</v>
      </c>
      <c r="Q647" t="s">
        <v>22</v>
      </c>
    </row>
    <row r="648" spans="1:17" x14ac:dyDescent="0.3">
      <c r="A648" t="s">
        <v>709</v>
      </c>
      <c r="B648" s="1">
        <v>45704</v>
      </c>
      <c r="C648" t="s">
        <v>24</v>
      </c>
      <c r="D648" t="s">
        <v>16</v>
      </c>
      <c r="E648" t="s">
        <v>49</v>
      </c>
      <c r="F648" t="s">
        <v>56</v>
      </c>
      <c r="G648">
        <v>4</v>
      </c>
      <c r="H648">
        <v>1231.03</v>
      </c>
      <c r="I648">
        <v>0.24</v>
      </c>
      <c r="J648">
        <v>3742.33</v>
      </c>
      <c r="K648">
        <f t="shared" si="30"/>
        <v>4924.12</v>
      </c>
      <c r="L648">
        <f t="shared" si="31"/>
        <v>1181.79</v>
      </c>
      <c r="M648">
        <f t="shared" si="32"/>
        <v>3742.33</v>
      </c>
      <c r="N648" t="s">
        <v>46</v>
      </c>
      <c r="O648" t="s">
        <v>34</v>
      </c>
      <c r="P648" t="s">
        <v>54</v>
      </c>
      <c r="Q648" t="s">
        <v>22</v>
      </c>
    </row>
    <row r="649" spans="1:17" x14ac:dyDescent="0.3">
      <c r="A649" t="s">
        <v>710</v>
      </c>
      <c r="B649" s="1">
        <v>45703</v>
      </c>
      <c r="C649" t="s">
        <v>24</v>
      </c>
      <c r="D649" t="s">
        <v>16</v>
      </c>
      <c r="E649" t="s">
        <v>17</v>
      </c>
      <c r="F649" t="s">
        <v>40</v>
      </c>
      <c r="G649">
        <v>5</v>
      </c>
      <c r="H649">
        <v>3428.1</v>
      </c>
      <c r="I649">
        <v>0.04</v>
      </c>
      <c r="J649">
        <v>16454.88</v>
      </c>
      <c r="K649">
        <f t="shared" si="30"/>
        <v>17140.5</v>
      </c>
      <c r="L649">
        <f t="shared" si="31"/>
        <v>685.61999999999898</v>
      </c>
      <c r="M649">
        <f t="shared" si="32"/>
        <v>16454.88</v>
      </c>
      <c r="N649" t="s">
        <v>19</v>
      </c>
      <c r="O649" t="s">
        <v>34</v>
      </c>
      <c r="P649" t="s">
        <v>21</v>
      </c>
      <c r="Q649" t="s">
        <v>88</v>
      </c>
    </row>
    <row r="650" spans="1:17" x14ac:dyDescent="0.3">
      <c r="A650" t="s">
        <v>711</v>
      </c>
      <c r="B650" s="1">
        <v>45664</v>
      </c>
      <c r="C650" t="s">
        <v>48</v>
      </c>
      <c r="D650" t="s">
        <v>16</v>
      </c>
      <c r="E650" t="s">
        <v>27</v>
      </c>
      <c r="F650" t="s">
        <v>87</v>
      </c>
      <c r="G650">
        <v>4</v>
      </c>
      <c r="H650">
        <v>2502.23</v>
      </c>
      <c r="I650">
        <v>7.0000000000000007E-2</v>
      </c>
      <c r="J650">
        <v>9308.2999999999993</v>
      </c>
      <c r="K650">
        <f t="shared" si="30"/>
        <v>10008.92</v>
      </c>
      <c r="L650">
        <f t="shared" si="31"/>
        <v>700.6200000000008</v>
      </c>
      <c r="M650">
        <f t="shared" si="32"/>
        <v>9308.2999999999993</v>
      </c>
      <c r="N650" t="s">
        <v>19</v>
      </c>
      <c r="O650" t="s">
        <v>34</v>
      </c>
      <c r="P650" t="s">
        <v>30</v>
      </c>
      <c r="Q650" t="s">
        <v>59</v>
      </c>
    </row>
    <row r="651" spans="1:17" x14ac:dyDescent="0.3">
      <c r="A651" t="s">
        <v>712</v>
      </c>
      <c r="B651" s="1">
        <v>45788</v>
      </c>
      <c r="C651" t="s">
        <v>24</v>
      </c>
      <c r="D651" t="s">
        <v>16</v>
      </c>
      <c r="E651" t="s">
        <v>17</v>
      </c>
      <c r="F651" t="s">
        <v>40</v>
      </c>
      <c r="G651">
        <v>3</v>
      </c>
      <c r="H651">
        <v>4279.08</v>
      </c>
      <c r="I651">
        <v>0.11</v>
      </c>
      <c r="J651">
        <v>11425.14</v>
      </c>
      <c r="K651">
        <f t="shared" si="30"/>
        <v>12837.24</v>
      </c>
      <c r="L651">
        <f t="shared" si="31"/>
        <v>1412.1000000000004</v>
      </c>
      <c r="M651">
        <f t="shared" si="32"/>
        <v>11425.14</v>
      </c>
      <c r="N651" t="s">
        <v>41</v>
      </c>
      <c r="O651" t="s">
        <v>34</v>
      </c>
      <c r="P651" t="s">
        <v>54</v>
      </c>
      <c r="Q651" t="s">
        <v>22</v>
      </c>
    </row>
    <row r="652" spans="1:17" x14ac:dyDescent="0.3">
      <c r="A652" t="s">
        <v>713</v>
      </c>
      <c r="B652" s="1">
        <v>45697</v>
      </c>
      <c r="C652" t="s">
        <v>48</v>
      </c>
      <c r="D652" t="s">
        <v>25</v>
      </c>
      <c r="E652" t="s">
        <v>99</v>
      </c>
      <c r="F652" t="s">
        <v>100</v>
      </c>
      <c r="G652">
        <v>3</v>
      </c>
      <c r="H652">
        <v>3607.04</v>
      </c>
      <c r="I652">
        <v>0.12</v>
      </c>
      <c r="J652">
        <v>9522.59</v>
      </c>
      <c r="K652">
        <f t="shared" si="30"/>
        <v>10821.119999999999</v>
      </c>
      <c r="L652">
        <f t="shared" si="31"/>
        <v>1298.5299999999988</v>
      </c>
      <c r="M652">
        <f t="shared" si="32"/>
        <v>9522.59</v>
      </c>
      <c r="N652" t="s">
        <v>41</v>
      </c>
      <c r="O652" t="s">
        <v>20</v>
      </c>
      <c r="P652" t="s">
        <v>54</v>
      </c>
      <c r="Q652" t="s">
        <v>22</v>
      </c>
    </row>
    <row r="653" spans="1:17" x14ac:dyDescent="0.3">
      <c r="A653" t="s">
        <v>714</v>
      </c>
      <c r="B653" s="1">
        <v>45737</v>
      </c>
      <c r="C653" t="s">
        <v>48</v>
      </c>
      <c r="D653" t="s">
        <v>25</v>
      </c>
      <c r="E653" t="s">
        <v>27</v>
      </c>
      <c r="F653" t="s">
        <v>87</v>
      </c>
      <c r="G653">
        <v>5</v>
      </c>
      <c r="H653">
        <v>373.11</v>
      </c>
      <c r="I653">
        <v>7.0000000000000007E-2</v>
      </c>
      <c r="J653">
        <v>1734.96</v>
      </c>
      <c r="K653">
        <f t="shared" si="30"/>
        <v>1865.5500000000002</v>
      </c>
      <c r="L653">
        <f t="shared" si="31"/>
        <v>130.59000000000015</v>
      </c>
      <c r="M653">
        <f t="shared" si="32"/>
        <v>1734.96</v>
      </c>
      <c r="N653" t="s">
        <v>33</v>
      </c>
      <c r="O653" t="s">
        <v>20</v>
      </c>
      <c r="P653" t="s">
        <v>21</v>
      </c>
      <c r="Q653" t="s">
        <v>22</v>
      </c>
    </row>
    <row r="654" spans="1:17" x14ac:dyDescent="0.3">
      <c r="A654" t="s">
        <v>715</v>
      </c>
      <c r="B654" s="1">
        <v>45723</v>
      </c>
      <c r="C654" t="s">
        <v>15</v>
      </c>
      <c r="D654" t="s">
        <v>16</v>
      </c>
      <c r="E654" t="s">
        <v>99</v>
      </c>
      <c r="F654" t="s">
        <v>111</v>
      </c>
      <c r="G654">
        <v>5</v>
      </c>
      <c r="H654">
        <v>321.08</v>
      </c>
      <c r="I654">
        <v>0.21</v>
      </c>
      <c r="J654">
        <v>1268.27</v>
      </c>
      <c r="K654">
        <f t="shared" si="30"/>
        <v>1605.3999999999999</v>
      </c>
      <c r="L654">
        <f t="shared" si="31"/>
        <v>337.12999999999988</v>
      </c>
      <c r="M654">
        <f t="shared" si="32"/>
        <v>1268.27</v>
      </c>
      <c r="N654" t="s">
        <v>58</v>
      </c>
      <c r="O654" t="s">
        <v>20</v>
      </c>
      <c r="P654" t="s">
        <v>30</v>
      </c>
      <c r="Q654" t="s">
        <v>88</v>
      </c>
    </row>
    <row r="655" spans="1:17" x14ac:dyDescent="0.3">
      <c r="A655" t="s">
        <v>716</v>
      </c>
      <c r="B655" s="1">
        <v>45714</v>
      </c>
      <c r="C655" t="s">
        <v>24</v>
      </c>
      <c r="D655" t="s">
        <v>43</v>
      </c>
      <c r="E655" t="s">
        <v>99</v>
      </c>
      <c r="F655" t="s">
        <v>115</v>
      </c>
      <c r="G655">
        <v>3</v>
      </c>
      <c r="H655">
        <v>2118.46</v>
      </c>
      <c r="I655">
        <v>0.01</v>
      </c>
      <c r="J655">
        <v>6291.83</v>
      </c>
      <c r="K655">
        <f t="shared" si="30"/>
        <v>6355.38</v>
      </c>
      <c r="L655">
        <f t="shared" si="31"/>
        <v>63.550000000000182</v>
      </c>
      <c r="M655">
        <f t="shared" si="32"/>
        <v>6291.83</v>
      </c>
      <c r="N655" t="s">
        <v>41</v>
      </c>
      <c r="O655" t="s">
        <v>34</v>
      </c>
      <c r="P655" t="s">
        <v>54</v>
      </c>
      <c r="Q655" t="s">
        <v>22</v>
      </c>
    </row>
    <row r="656" spans="1:17" x14ac:dyDescent="0.3">
      <c r="A656" t="s">
        <v>717</v>
      </c>
      <c r="B656" s="1">
        <v>45827</v>
      </c>
      <c r="C656" t="s">
        <v>24</v>
      </c>
      <c r="D656" t="s">
        <v>25</v>
      </c>
      <c r="E656" t="s">
        <v>99</v>
      </c>
      <c r="F656" t="s">
        <v>120</v>
      </c>
      <c r="G656">
        <v>3</v>
      </c>
      <c r="H656">
        <v>931.92</v>
      </c>
      <c r="I656">
        <v>0.13</v>
      </c>
      <c r="J656">
        <v>2432.31</v>
      </c>
      <c r="K656">
        <f t="shared" si="30"/>
        <v>2795.7599999999998</v>
      </c>
      <c r="L656">
        <f t="shared" si="31"/>
        <v>363.44999999999982</v>
      </c>
      <c r="M656">
        <f t="shared" si="32"/>
        <v>2432.31</v>
      </c>
      <c r="N656" t="s">
        <v>46</v>
      </c>
      <c r="O656" t="s">
        <v>20</v>
      </c>
      <c r="P656" t="s">
        <v>54</v>
      </c>
      <c r="Q656" t="s">
        <v>22</v>
      </c>
    </row>
    <row r="657" spans="1:17" x14ac:dyDescent="0.3">
      <c r="A657" t="s">
        <v>718</v>
      </c>
      <c r="B657" s="1">
        <v>45673</v>
      </c>
      <c r="C657" t="s">
        <v>15</v>
      </c>
      <c r="D657" t="s">
        <v>25</v>
      </c>
      <c r="E657" t="s">
        <v>49</v>
      </c>
      <c r="F657" t="s">
        <v>50</v>
      </c>
      <c r="G657">
        <v>4</v>
      </c>
      <c r="H657">
        <v>2981.15</v>
      </c>
      <c r="I657">
        <v>0.25</v>
      </c>
      <c r="J657">
        <v>8943.4500000000007</v>
      </c>
      <c r="K657">
        <f t="shared" si="30"/>
        <v>11924.6</v>
      </c>
      <c r="L657">
        <f t="shared" si="31"/>
        <v>2981.1499999999996</v>
      </c>
      <c r="M657">
        <f t="shared" si="32"/>
        <v>8943.4500000000007</v>
      </c>
      <c r="N657" t="s">
        <v>58</v>
      </c>
      <c r="O657" t="s">
        <v>29</v>
      </c>
      <c r="P657" t="s">
        <v>30</v>
      </c>
      <c r="Q657" t="s">
        <v>22</v>
      </c>
    </row>
    <row r="658" spans="1:17" x14ac:dyDescent="0.3">
      <c r="A658" t="s">
        <v>719</v>
      </c>
      <c r="B658" s="1">
        <v>45810</v>
      </c>
      <c r="C658" t="s">
        <v>24</v>
      </c>
      <c r="D658" t="s">
        <v>43</v>
      </c>
      <c r="E658" t="s">
        <v>17</v>
      </c>
      <c r="F658" t="s">
        <v>40</v>
      </c>
      <c r="G658">
        <v>4</v>
      </c>
      <c r="H658">
        <v>2563.5700000000002</v>
      </c>
      <c r="I658">
        <v>0.19</v>
      </c>
      <c r="J658">
        <v>8305.9699999999993</v>
      </c>
      <c r="K658">
        <f t="shared" si="30"/>
        <v>10254.280000000001</v>
      </c>
      <c r="L658">
        <f t="shared" si="31"/>
        <v>1948.3100000000013</v>
      </c>
      <c r="M658">
        <f t="shared" si="32"/>
        <v>8305.9699999999993</v>
      </c>
      <c r="N658" t="s">
        <v>19</v>
      </c>
      <c r="O658" t="s">
        <v>34</v>
      </c>
      <c r="P658" t="s">
        <v>30</v>
      </c>
      <c r="Q658" t="s">
        <v>22</v>
      </c>
    </row>
    <row r="659" spans="1:17" x14ac:dyDescent="0.3">
      <c r="A659" t="s">
        <v>720</v>
      </c>
      <c r="B659" s="1">
        <v>45714</v>
      </c>
      <c r="C659" t="s">
        <v>52</v>
      </c>
      <c r="D659" t="s">
        <v>39</v>
      </c>
      <c r="E659" t="s">
        <v>99</v>
      </c>
      <c r="F659" t="s">
        <v>115</v>
      </c>
      <c r="G659">
        <v>1</v>
      </c>
      <c r="H659">
        <v>4217.8599999999997</v>
      </c>
      <c r="I659">
        <v>0.13</v>
      </c>
      <c r="J659">
        <v>3669.54</v>
      </c>
      <c r="K659">
        <f t="shared" si="30"/>
        <v>4217.8599999999997</v>
      </c>
      <c r="L659">
        <f t="shared" si="31"/>
        <v>548.31999999999971</v>
      </c>
      <c r="M659">
        <f t="shared" si="32"/>
        <v>3669.54</v>
      </c>
      <c r="N659" t="s">
        <v>41</v>
      </c>
      <c r="O659" t="s">
        <v>29</v>
      </c>
      <c r="P659" t="s">
        <v>30</v>
      </c>
      <c r="Q659" t="s">
        <v>22</v>
      </c>
    </row>
    <row r="660" spans="1:17" x14ac:dyDescent="0.3">
      <c r="A660" t="s">
        <v>721</v>
      </c>
      <c r="B660" s="1">
        <v>45728</v>
      </c>
      <c r="C660" t="s">
        <v>52</v>
      </c>
      <c r="D660" t="s">
        <v>39</v>
      </c>
      <c r="E660" t="s">
        <v>27</v>
      </c>
      <c r="F660" t="s">
        <v>87</v>
      </c>
      <c r="G660">
        <v>1</v>
      </c>
      <c r="H660">
        <v>3616.76</v>
      </c>
      <c r="I660">
        <v>0.14000000000000001</v>
      </c>
      <c r="J660">
        <v>3110.41</v>
      </c>
      <c r="K660">
        <f t="shared" si="30"/>
        <v>3616.76</v>
      </c>
      <c r="L660">
        <f t="shared" si="31"/>
        <v>506.35000000000036</v>
      </c>
      <c r="M660">
        <f t="shared" si="32"/>
        <v>3110.41</v>
      </c>
      <c r="N660" t="s">
        <v>33</v>
      </c>
      <c r="O660" t="s">
        <v>29</v>
      </c>
      <c r="P660" t="s">
        <v>21</v>
      </c>
      <c r="Q660" t="s">
        <v>22</v>
      </c>
    </row>
    <row r="661" spans="1:17" x14ac:dyDescent="0.3">
      <c r="A661" t="s">
        <v>722</v>
      </c>
      <c r="B661" s="1">
        <v>45784</v>
      </c>
      <c r="C661" t="s">
        <v>48</v>
      </c>
      <c r="D661" t="s">
        <v>25</v>
      </c>
      <c r="E661" t="s">
        <v>27</v>
      </c>
      <c r="F661" t="s">
        <v>87</v>
      </c>
      <c r="G661">
        <v>1</v>
      </c>
      <c r="H661">
        <v>3292.53</v>
      </c>
      <c r="I661">
        <v>0.08</v>
      </c>
      <c r="J661">
        <v>3029.13</v>
      </c>
      <c r="K661">
        <f t="shared" si="30"/>
        <v>3292.53</v>
      </c>
      <c r="L661">
        <f t="shared" si="31"/>
        <v>263.40000000000009</v>
      </c>
      <c r="M661">
        <f t="shared" si="32"/>
        <v>3029.13</v>
      </c>
      <c r="N661" t="s">
        <v>19</v>
      </c>
      <c r="O661" t="s">
        <v>34</v>
      </c>
      <c r="P661" t="s">
        <v>30</v>
      </c>
      <c r="Q661" t="s">
        <v>22</v>
      </c>
    </row>
    <row r="662" spans="1:17" x14ac:dyDescent="0.3">
      <c r="A662" t="s">
        <v>723</v>
      </c>
      <c r="B662" s="1">
        <v>45758</v>
      </c>
      <c r="C662" t="s">
        <v>48</v>
      </c>
      <c r="D662" t="s">
        <v>43</v>
      </c>
      <c r="E662" t="s">
        <v>99</v>
      </c>
      <c r="F662" t="s">
        <v>100</v>
      </c>
      <c r="G662">
        <v>5</v>
      </c>
      <c r="H662">
        <v>2625.31</v>
      </c>
      <c r="I662">
        <v>0.17</v>
      </c>
      <c r="J662">
        <v>10895.04</v>
      </c>
      <c r="K662">
        <f t="shared" si="30"/>
        <v>13126.55</v>
      </c>
      <c r="L662">
        <f t="shared" si="31"/>
        <v>2231.5099999999984</v>
      </c>
      <c r="M662">
        <f t="shared" si="32"/>
        <v>10895.04</v>
      </c>
      <c r="N662" t="s">
        <v>41</v>
      </c>
      <c r="O662" t="s">
        <v>34</v>
      </c>
      <c r="P662" t="s">
        <v>21</v>
      </c>
      <c r="Q662" t="s">
        <v>37</v>
      </c>
    </row>
    <row r="663" spans="1:17" x14ac:dyDescent="0.3">
      <c r="A663" t="s">
        <v>724</v>
      </c>
      <c r="B663" s="1">
        <v>45737</v>
      </c>
      <c r="C663" t="s">
        <v>36</v>
      </c>
      <c r="D663" t="s">
        <v>25</v>
      </c>
      <c r="E663" t="s">
        <v>27</v>
      </c>
      <c r="F663" t="s">
        <v>68</v>
      </c>
      <c r="G663">
        <v>4</v>
      </c>
      <c r="H663">
        <v>1412.89</v>
      </c>
      <c r="I663">
        <v>0.16</v>
      </c>
      <c r="J663">
        <v>4747.3100000000004</v>
      </c>
      <c r="K663">
        <f t="shared" si="30"/>
        <v>5651.56</v>
      </c>
      <c r="L663">
        <f t="shared" si="31"/>
        <v>904.25</v>
      </c>
      <c r="M663">
        <f t="shared" si="32"/>
        <v>4747.3100000000004</v>
      </c>
      <c r="N663" t="s">
        <v>41</v>
      </c>
      <c r="O663" t="s">
        <v>20</v>
      </c>
      <c r="P663" t="s">
        <v>21</v>
      </c>
      <c r="Q663" t="s">
        <v>37</v>
      </c>
    </row>
    <row r="664" spans="1:17" x14ac:dyDescent="0.3">
      <c r="A664" t="s">
        <v>725</v>
      </c>
      <c r="B664" s="1">
        <v>45791</v>
      </c>
      <c r="C664" t="s">
        <v>15</v>
      </c>
      <c r="D664" t="s">
        <v>25</v>
      </c>
      <c r="E664" t="s">
        <v>17</v>
      </c>
      <c r="F664" t="s">
        <v>44</v>
      </c>
      <c r="G664">
        <v>2</v>
      </c>
      <c r="H664">
        <v>837.32</v>
      </c>
      <c r="I664">
        <v>0.17</v>
      </c>
      <c r="J664">
        <v>1389.95</v>
      </c>
      <c r="K664">
        <f t="shared" si="30"/>
        <v>1674.64</v>
      </c>
      <c r="L664">
        <f t="shared" si="31"/>
        <v>284.69000000000005</v>
      </c>
      <c r="M664">
        <f t="shared" si="32"/>
        <v>1389.95</v>
      </c>
      <c r="N664" t="s">
        <v>41</v>
      </c>
      <c r="O664" t="s">
        <v>20</v>
      </c>
      <c r="P664" t="s">
        <v>30</v>
      </c>
      <c r="Q664" t="s">
        <v>22</v>
      </c>
    </row>
    <row r="665" spans="1:17" x14ac:dyDescent="0.3">
      <c r="A665" t="s">
        <v>726</v>
      </c>
      <c r="B665" s="1">
        <v>45823</v>
      </c>
      <c r="C665" t="s">
        <v>48</v>
      </c>
      <c r="D665" t="s">
        <v>43</v>
      </c>
      <c r="E665" t="s">
        <v>17</v>
      </c>
      <c r="F665" t="s">
        <v>44</v>
      </c>
      <c r="G665">
        <v>2</v>
      </c>
      <c r="H665">
        <v>1356.59</v>
      </c>
      <c r="I665">
        <v>0.15</v>
      </c>
      <c r="J665">
        <v>2306.1999999999998</v>
      </c>
      <c r="K665">
        <f t="shared" si="30"/>
        <v>2713.18</v>
      </c>
      <c r="L665">
        <f t="shared" si="31"/>
        <v>406.98</v>
      </c>
      <c r="M665">
        <f t="shared" si="32"/>
        <v>2306.1999999999998</v>
      </c>
      <c r="N665" t="s">
        <v>46</v>
      </c>
      <c r="O665" t="s">
        <v>34</v>
      </c>
      <c r="P665" t="s">
        <v>30</v>
      </c>
      <c r="Q665" t="s">
        <v>22</v>
      </c>
    </row>
    <row r="666" spans="1:17" x14ac:dyDescent="0.3">
      <c r="A666" t="s">
        <v>727</v>
      </c>
      <c r="B666" s="1">
        <v>45764</v>
      </c>
      <c r="C666" t="s">
        <v>52</v>
      </c>
      <c r="D666" t="s">
        <v>16</v>
      </c>
      <c r="E666" t="s">
        <v>61</v>
      </c>
      <c r="F666" t="s">
        <v>62</v>
      </c>
      <c r="G666">
        <v>4</v>
      </c>
      <c r="H666">
        <v>2843.14</v>
      </c>
      <c r="I666">
        <v>0.11</v>
      </c>
      <c r="J666">
        <v>10121.58</v>
      </c>
      <c r="K666">
        <f t="shared" si="30"/>
        <v>11372.56</v>
      </c>
      <c r="L666">
        <f t="shared" si="31"/>
        <v>1250.9799999999996</v>
      </c>
      <c r="M666">
        <f t="shared" si="32"/>
        <v>10121.58</v>
      </c>
      <c r="N666" t="s">
        <v>46</v>
      </c>
      <c r="O666" t="s">
        <v>34</v>
      </c>
      <c r="P666" t="s">
        <v>21</v>
      </c>
      <c r="Q666" t="s">
        <v>22</v>
      </c>
    </row>
    <row r="667" spans="1:17" x14ac:dyDescent="0.3">
      <c r="A667" t="s">
        <v>728</v>
      </c>
      <c r="B667" s="1">
        <v>45724</v>
      </c>
      <c r="C667" t="s">
        <v>24</v>
      </c>
      <c r="D667" t="s">
        <v>25</v>
      </c>
      <c r="E667" t="s">
        <v>99</v>
      </c>
      <c r="F667" t="s">
        <v>100</v>
      </c>
      <c r="G667">
        <v>5</v>
      </c>
      <c r="H667">
        <v>962.33</v>
      </c>
      <c r="I667">
        <v>0.21</v>
      </c>
      <c r="J667">
        <v>3801.2</v>
      </c>
      <c r="K667">
        <f t="shared" si="30"/>
        <v>4811.6500000000005</v>
      </c>
      <c r="L667">
        <f t="shared" si="31"/>
        <v>1010.4500000000007</v>
      </c>
      <c r="M667">
        <f t="shared" si="32"/>
        <v>3801.2</v>
      </c>
      <c r="N667" t="s">
        <v>46</v>
      </c>
      <c r="O667" t="s">
        <v>34</v>
      </c>
      <c r="P667" t="s">
        <v>21</v>
      </c>
      <c r="Q667" t="s">
        <v>88</v>
      </c>
    </row>
    <row r="668" spans="1:17" x14ac:dyDescent="0.3">
      <c r="A668" t="s">
        <v>729</v>
      </c>
      <c r="B668" s="1">
        <v>45842</v>
      </c>
      <c r="C668" t="s">
        <v>15</v>
      </c>
      <c r="D668" t="s">
        <v>16</v>
      </c>
      <c r="E668" t="s">
        <v>17</v>
      </c>
      <c r="F668" t="s">
        <v>18</v>
      </c>
      <c r="G668">
        <v>1</v>
      </c>
      <c r="H668">
        <v>4512.82</v>
      </c>
      <c r="I668">
        <v>0.1</v>
      </c>
      <c r="J668">
        <v>4061.54</v>
      </c>
      <c r="K668">
        <f t="shared" si="30"/>
        <v>4512.82</v>
      </c>
      <c r="L668">
        <f t="shared" si="31"/>
        <v>451.27999999999975</v>
      </c>
      <c r="M668">
        <f t="shared" si="32"/>
        <v>4061.54</v>
      </c>
      <c r="N668" t="s">
        <v>33</v>
      </c>
      <c r="O668" t="s">
        <v>34</v>
      </c>
      <c r="P668" t="s">
        <v>30</v>
      </c>
      <c r="Q668" t="s">
        <v>22</v>
      </c>
    </row>
    <row r="669" spans="1:17" x14ac:dyDescent="0.3">
      <c r="A669" t="s">
        <v>730</v>
      </c>
      <c r="B669" s="1">
        <v>45665</v>
      </c>
      <c r="C669" t="s">
        <v>24</v>
      </c>
      <c r="D669" t="s">
        <v>39</v>
      </c>
      <c r="E669" t="s">
        <v>61</v>
      </c>
      <c r="F669" t="s">
        <v>75</v>
      </c>
      <c r="G669">
        <v>5</v>
      </c>
      <c r="H669">
        <v>4671.38</v>
      </c>
      <c r="I669">
        <v>0.13</v>
      </c>
      <c r="J669">
        <v>20320.5</v>
      </c>
      <c r="K669">
        <f t="shared" si="30"/>
        <v>23356.9</v>
      </c>
      <c r="L669">
        <f t="shared" si="31"/>
        <v>3036.4000000000015</v>
      </c>
      <c r="M669">
        <f t="shared" si="32"/>
        <v>20320.5</v>
      </c>
      <c r="N669" t="s">
        <v>33</v>
      </c>
      <c r="O669" t="s">
        <v>29</v>
      </c>
      <c r="P669" t="s">
        <v>21</v>
      </c>
      <c r="Q669" t="s">
        <v>22</v>
      </c>
    </row>
    <row r="670" spans="1:17" x14ac:dyDescent="0.3">
      <c r="A670" t="s">
        <v>731</v>
      </c>
      <c r="B670" s="1">
        <v>45682</v>
      </c>
      <c r="C670" t="s">
        <v>36</v>
      </c>
      <c r="D670" t="s">
        <v>43</v>
      </c>
      <c r="E670" t="s">
        <v>17</v>
      </c>
      <c r="F670" t="s">
        <v>44</v>
      </c>
      <c r="G670">
        <v>3</v>
      </c>
      <c r="H670">
        <v>4178.4399999999996</v>
      </c>
      <c r="I670">
        <v>0.18</v>
      </c>
      <c r="J670">
        <v>10278.959999999999</v>
      </c>
      <c r="K670">
        <f t="shared" si="30"/>
        <v>12535.32</v>
      </c>
      <c r="L670">
        <f t="shared" si="31"/>
        <v>2256.3600000000006</v>
      </c>
      <c r="M670">
        <f t="shared" si="32"/>
        <v>10278.959999999999</v>
      </c>
      <c r="N670" t="s">
        <v>58</v>
      </c>
      <c r="O670" t="s">
        <v>34</v>
      </c>
      <c r="P670" t="s">
        <v>21</v>
      </c>
      <c r="Q670" t="s">
        <v>37</v>
      </c>
    </row>
    <row r="671" spans="1:17" x14ac:dyDescent="0.3">
      <c r="A671" t="s">
        <v>732</v>
      </c>
      <c r="B671" s="1">
        <v>45830</v>
      </c>
      <c r="C671" t="s">
        <v>24</v>
      </c>
      <c r="D671" t="s">
        <v>16</v>
      </c>
      <c r="E671" t="s">
        <v>61</v>
      </c>
      <c r="F671" t="s">
        <v>75</v>
      </c>
      <c r="G671">
        <v>3</v>
      </c>
      <c r="H671">
        <v>2253.4299999999998</v>
      </c>
      <c r="I671">
        <v>0.06</v>
      </c>
      <c r="J671">
        <v>6354.67</v>
      </c>
      <c r="K671">
        <f t="shared" si="30"/>
        <v>6760.2899999999991</v>
      </c>
      <c r="L671">
        <f t="shared" si="31"/>
        <v>405.61999999999898</v>
      </c>
      <c r="M671">
        <f t="shared" si="32"/>
        <v>6354.67</v>
      </c>
      <c r="N671" t="s">
        <v>19</v>
      </c>
      <c r="O671" t="s">
        <v>20</v>
      </c>
      <c r="P671" t="s">
        <v>21</v>
      </c>
      <c r="Q671" t="s">
        <v>22</v>
      </c>
    </row>
    <row r="672" spans="1:17" x14ac:dyDescent="0.3">
      <c r="A672" t="s">
        <v>733</v>
      </c>
      <c r="B672" s="1">
        <v>45710</v>
      </c>
      <c r="C672" t="s">
        <v>15</v>
      </c>
      <c r="D672" t="s">
        <v>39</v>
      </c>
      <c r="E672" t="s">
        <v>99</v>
      </c>
      <c r="F672" t="s">
        <v>120</v>
      </c>
      <c r="G672">
        <v>4</v>
      </c>
      <c r="H672">
        <v>3445.42</v>
      </c>
      <c r="I672">
        <v>0.24</v>
      </c>
      <c r="J672">
        <v>10474.08</v>
      </c>
      <c r="K672">
        <f t="shared" si="30"/>
        <v>13781.68</v>
      </c>
      <c r="L672">
        <f t="shared" si="31"/>
        <v>3307.6000000000004</v>
      </c>
      <c r="M672">
        <f t="shared" si="32"/>
        <v>10474.08</v>
      </c>
      <c r="N672" t="s">
        <v>33</v>
      </c>
      <c r="O672" t="s">
        <v>34</v>
      </c>
      <c r="P672" t="s">
        <v>54</v>
      </c>
      <c r="Q672" t="s">
        <v>22</v>
      </c>
    </row>
    <row r="673" spans="1:17" x14ac:dyDescent="0.3">
      <c r="A673" t="s">
        <v>734</v>
      </c>
      <c r="B673" s="1">
        <v>45694</v>
      </c>
      <c r="C673" t="s">
        <v>24</v>
      </c>
      <c r="D673" t="s">
        <v>39</v>
      </c>
      <c r="E673" t="s">
        <v>99</v>
      </c>
      <c r="F673" t="s">
        <v>111</v>
      </c>
      <c r="G673">
        <v>1</v>
      </c>
      <c r="H673">
        <v>3484.34</v>
      </c>
      <c r="I673">
        <v>0.2</v>
      </c>
      <c r="J673">
        <v>2787.47</v>
      </c>
      <c r="K673">
        <f t="shared" si="30"/>
        <v>3484.34</v>
      </c>
      <c r="L673">
        <f t="shared" si="31"/>
        <v>696.87000000000035</v>
      </c>
      <c r="M673">
        <f t="shared" si="32"/>
        <v>2787.47</v>
      </c>
      <c r="N673" t="s">
        <v>33</v>
      </c>
      <c r="O673" t="s">
        <v>20</v>
      </c>
      <c r="P673" t="s">
        <v>54</v>
      </c>
      <c r="Q673" t="s">
        <v>22</v>
      </c>
    </row>
    <row r="674" spans="1:17" x14ac:dyDescent="0.3">
      <c r="A674" t="s">
        <v>735</v>
      </c>
      <c r="B674" s="1">
        <v>45772</v>
      </c>
      <c r="C674" t="s">
        <v>24</v>
      </c>
      <c r="D674" t="s">
        <v>39</v>
      </c>
      <c r="E674" t="s">
        <v>99</v>
      </c>
      <c r="F674" t="s">
        <v>111</v>
      </c>
      <c r="G674">
        <v>4</v>
      </c>
      <c r="H674">
        <v>2003.51</v>
      </c>
      <c r="I674">
        <v>0.23</v>
      </c>
      <c r="J674">
        <v>6170.81</v>
      </c>
      <c r="K674">
        <f t="shared" si="30"/>
        <v>8014.04</v>
      </c>
      <c r="L674">
        <f t="shared" si="31"/>
        <v>1843.2299999999996</v>
      </c>
      <c r="M674">
        <f t="shared" si="32"/>
        <v>6170.81</v>
      </c>
      <c r="N674" t="s">
        <v>33</v>
      </c>
      <c r="O674" t="s">
        <v>20</v>
      </c>
      <c r="P674" t="s">
        <v>30</v>
      </c>
      <c r="Q674" t="s">
        <v>22</v>
      </c>
    </row>
    <row r="675" spans="1:17" x14ac:dyDescent="0.3">
      <c r="A675" t="s">
        <v>736</v>
      </c>
      <c r="B675" s="1">
        <v>45711</v>
      </c>
      <c r="C675" t="s">
        <v>52</v>
      </c>
      <c r="D675" t="s">
        <v>16</v>
      </c>
      <c r="E675" t="s">
        <v>61</v>
      </c>
      <c r="F675" t="s">
        <v>66</v>
      </c>
      <c r="G675">
        <v>3</v>
      </c>
      <c r="H675">
        <v>4409.3900000000003</v>
      </c>
      <c r="I675">
        <v>0.19</v>
      </c>
      <c r="J675">
        <v>10714.82</v>
      </c>
      <c r="K675">
        <f t="shared" si="30"/>
        <v>13228.170000000002</v>
      </c>
      <c r="L675">
        <f t="shared" si="31"/>
        <v>2513.3500000000022</v>
      </c>
      <c r="M675">
        <f t="shared" si="32"/>
        <v>10714.82</v>
      </c>
      <c r="N675" t="s">
        <v>19</v>
      </c>
      <c r="O675" t="s">
        <v>34</v>
      </c>
      <c r="P675" t="s">
        <v>30</v>
      </c>
      <c r="Q675" t="s">
        <v>22</v>
      </c>
    </row>
    <row r="676" spans="1:17" x14ac:dyDescent="0.3">
      <c r="A676" t="s">
        <v>737</v>
      </c>
      <c r="B676" s="1">
        <v>45667</v>
      </c>
      <c r="C676" t="s">
        <v>48</v>
      </c>
      <c r="D676" t="s">
        <v>39</v>
      </c>
      <c r="E676" t="s">
        <v>17</v>
      </c>
      <c r="F676" t="s">
        <v>40</v>
      </c>
      <c r="G676">
        <v>4</v>
      </c>
      <c r="H676">
        <v>4396.13</v>
      </c>
      <c r="I676">
        <v>0.21</v>
      </c>
      <c r="J676">
        <v>13891.77</v>
      </c>
      <c r="K676">
        <f t="shared" si="30"/>
        <v>17584.52</v>
      </c>
      <c r="L676">
        <f t="shared" si="31"/>
        <v>3692.75</v>
      </c>
      <c r="M676">
        <f t="shared" si="32"/>
        <v>13891.77</v>
      </c>
      <c r="N676" t="s">
        <v>41</v>
      </c>
      <c r="O676" t="s">
        <v>34</v>
      </c>
      <c r="P676" t="s">
        <v>54</v>
      </c>
      <c r="Q676" t="s">
        <v>22</v>
      </c>
    </row>
    <row r="677" spans="1:17" x14ac:dyDescent="0.3">
      <c r="A677" t="s">
        <v>738</v>
      </c>
      <c r="B677" s="1">
        <v>45681</v>
      </c>
      <c r="C677" t="s">
        <v>36</v>
      </c>
      <c r="D677" t="s">
        <v>43</v>
      </c>
      <c r="E677" t="s">
        <v>99</v>
      </c>
      <c r="F677" t="s">
        <v>115</v>
      </c>
      <c r="G677">
        <v>3</v>
      </c>
      <c r="H677">
        <v>2320.98</v>
      </c>
      <c r="I677">
        <v>0.01</v>
      </c>
      <c r="J677">
        <v>6893.31</v>
      </c>
      <c r="K677">
        <f t="shared" si="30"/>
        <v>6962.9400000000005</v>
      </c>
      <c r="L677">
        <f t="shared" si="31"/>
        <v>69.630000000000109</v>
      </c>
      <c r="M677">
        <f t="shared" si="32"/>
        <v>6893.31</v>
      </c>
      <c r="N677" t="s">
        <v>33</v>
      </c>
      <c r="O677" t="s">
        <v>29</v>
      </c>
      <c r="P677" t="s">
        <v>54</v>
      </c>
      <c r="Q677" t="s">
        <v>22</v>
      </c>
    </row>
    <row r="678" spans="1:17" x14ac:dyDescent="0.3">
      <c r="A678" t="s">
        <v>739</v>
      </c>
      <c r="B678" s="1">
        <v>45775</v>
      </c>
      <c r="C678" t="s">
        <v>48</v>
      </c>
      <c r="D678" t="s">
        <v>43</v>
      </c>
      <c r="E678" t="s">
        <v>61</v>
      </c>
      <c r="F678" t="s">
        <v>62</v>
      </c>
      <c r="G678">
        <v>3</v>
      </c>
      <c r="H678">
        <v>1637.24</v>
      </c>
      <c r="I678">
        <v>0.02</v>
      </c>
      <c r="J678">
        <v>4813.49</v>
      </c>
      <c r="K678">
        <f t="shared" si="30"/>
        <v>4911.72</v>
      </c>
      <c r="L678">
        <f t="shared" si="31"/>
        <v>98.230000000000473</v>
      </c>
      <c r="M678">
        <f t="shared" si="32"/>
        <v>4813.49</v>
      </c>
      <c r="N678" t="s">
        <v>19</v>
      </c>
      <c r="O678" t="s">
        <v>29</v>
      </c>
      <c r="P678" t="s">
        <v>54</v>
      </c>
      <c r="Q678" t="s">
        <v>22</v>
      </c>
    </row>
    <row r="679" spans="1:17" x14ac:dyDescent="0.3">
      <c r="A679" t="s">
        <v>740</v>
      </c>
      <c r="B679" s="1">
        <v>45744</v>
      </c>
      <c r="C679" t="s">
        <v>15</v>
      </c>
      <c r="D679" t="s">
        <v>39</v>
      </c>
      <c r="E679" t="s">
        <v>61</v>
      </c>
      <c r="F679" t="s">
        <v>92</v>
      </c>
      <c r="G679">
        <v>2</v>
      </c>
      <c r="H679">
        <v>1377.33</v>
      </c>
      <c r="I679">
        <v>0.17</v>
      </c>
      <c r="J679">
        <v>2286.37</v>
      </c>
      <c r="K679">
        <f t="shared" si="30"/>
        <v>2754.66</v>
      </c>
      <c r="L679">
        <f t="shared" si="31"/>
        <v>468.28999999999996</v>
      </c>
      <c r="M679">
        <f t="shared" si="32"/>
        <v>2286.37</v>
      </c>
      <c r="N679" t="s">
        <v>41</v>
      </c>
      <c r="O679" t="s">
        <v>34</v>
      </c>
      <c r="P679" t="s">
        <v>30</v>
      </c>
      <c r="Q679" t="s">
        <v>22</v>
      </c>
    </row>
    <row r="680" spans="1:17" x14ac:dyDescent="0.3">
      <c r="A680" t="s">
        <v>741</v>
      </c>
      <c r="B680" s="1">
        <v>45727</v>
      </c>
      <c r="C680" t="s">
        <v>52</v>
      </c>
      <c r="D680" t="s">
        <v>43</v>
      </c>
      <c r="E680" t="s">
        <v>49</v>
      </c>
      <c r="F680" t="s">
        <v>53</v>
      </c>
      <c r="G680">
        <v>5</v>
      </c>
      <c r="H680">
        <v>1199.99</v>
      </c>
      <c r="I680">
        <v>0.24</v>
      </c>
      <c r="J680">
        <v>4559.96</v>
      </c>
      <c r="K680">
        <f t="shared" si="30"/>
        <v>5999.95</v>
      </c>
      <c r="L680">
        <f t="shared" si="31"/>
        <v>1439.9899999999998</v>
      </c>
      <c r="M680">
        <f t="shared" si="32"/>
        <v>4559.96</v>
      </c>
      <c r="N680" t="s">
        <v>41</v>
      </c>
      <c r="O680" t="s">
        <v>34</v>
      </c>
      <c r="P680" t="s">
        <v>21</v>
      </c>
      <c r="Q680" t="s">
        <v>37</v>
      </c>
    </row>
    <row r="681" spans="1:17" x14ac:dyDescent="0.3">
      <c r="A681" t="s">
        <v>742</v>
      </c>
      <c r="B681" s="1">
        <v>45801</v>
      </c>
      <c r="C681" t="s">
        <v>15</v>
      </c>
      <c r="D681" t="s">
        <v>16</v>
      </c>
      <c r="E681" t="s">
        <v>49</v>
      </c>
      <c r="F681" t="s">
        <v>73</v>
      </c>
      <c r="G681">
        <v>4</v>
      </c>
      <c r="H681">
        <v>3128.22</v>
      </c>
      <c r="I681">
        <v>0.15</v>
      </c>
      <c r="J681">
        <v>10635.95</v>
      </c>
      <c r="K681">
        <f t="shared" si="30"/>
        <v>12512.88</v>
      </c>
      <c r="L681">
        <f t="shared" si="31"/>
        <v>1876.9299999999985</v>
      </c>
      <c r="M681">
        <f t="shared" si="32"/>
        <v>10635.95</v>
      </c>
      <c r="N681" t="s">
        <v>19</v>
      </c>
      <c r="O681" t="s">
        <v>20</v>
      </c>
      <c r="P681" t="s">
        <v>54</v>
      </c>
      <c r="Q681" t="s">
        <v>59</v>
      </c>
    </row>
    <row r="682" spans="1:17" x14ac:dyDescent="0.3">
      <c r="A682" t="s">
        <v>743</v>
      </c>
      <c r="B682" s="1">
        <v>45812</v>
      </c>
      <c r="C682" t="s">
        <v>24</v>
      </c>
      <c r="D682" t="s">
        <v>43</v>
      </c>
      <c r="E682" t="s">
        <v>61</v>
      </c>
      <c r="F682" t="s">
        <v>62</v>
      </c>
      <c r="G682">
        <v>4</v>
      </c>
      <c r="H682">
        <v>4153.5600000000004</v>
      </c>
      <c r="I682">
        <v>0.12</v>
      </c>
      <c r="J682">
        <v>14620.53</v>
      </c>
      <c r="K682">
        <f t="shared" si="30"/>
        <v>16614.240000000002</v>
      </c>
      <c r="L682">
        <f t="shared" si="31"/>
        <v>1993.7100000000009</v>
      </c>
      <c r="M682">
        <f t="shared" si="32"/>
        <v>14620.53</v>
      </c>
      <c r="N682" t="s">
        <v>33</v>
      </c>
      <c r="O682" t="s">
        <v>34</v>
      </c>
      <c r="P682" t="s">
        <v>54</v>
      </c>
      <c r="Q682" t="s">
        <v>22</v>
      </c>
    </row>
    <row r="683" spans="1:17" x14ac:dyDescent="0.3">
      <c r="A683" t="s">
        <v>744</v>
      </c>
      <c r="B683" s="1">
        <v>45720</v>
      </c>
      <c r="C683" t="s">
        <v>48</v>
      </c>
      <c r="D683" t="s">
        <v>43</v>
      </c>
      <c r="E683" t="s">
        <v>99</v>
      </c>
      <c r="F683" t="s">
        <v>111</v>
      </c>
      <c r="G683">
        <v>4</v>
      </c>
      <c r="H683">
        <v>4296.05</v>
      </c>
      <c r="I683">
        <v>0.15</v>
      </c>
      <c r="J683">
        <v>14606.57</v>
      </c>
      <c r="K683">
        <f t="shared" si="30"/>
        <v>17184.2</v>
      </c>
      <c r="L683">
        <f t="shared" si="31"/>
        <v>2577.630000000001</v>
      </c>
      <c r="M683">
        <f t="shared" si="32"/>
        <v>14606.57</v>
      </c>
      <c r="N683" t="s">
        <v>41</v>
      </c>
      <c r="O683" t="s">
        <v>20</v>
      </c>
      <c r="P683" t="s">
        <v>30</v>
      </c>
      <c r="Q683" t="s">
        <v>22</v>
      </c>
    </row>
    <row r="684" spans="1:17" x14ac:dyDescent="0.3">
      <c r="A684" t="s">
        <v>745</v>
      </c>
      <c r="B684" s="1">
        <v>45744</v>
      </c>
      <c r="C684" t="s">
        <v>24</v>
      </c>
      <c r="D684" t="s">
        <v>25</v>
      </c>
      <c r="E684" t="s">
        <v>49</v>
      </c>
      <c r="F684" t="s">
        <v>73</v>
      </c>
      <c r="G684">
        <v>2</v>
      </c>
      <c r="H684">
        <v>3126.63</v>
      </c>
      <c r="I684">
        <v>0.23</v>
      </c>
      <c r="J684">
        <v>4815.01</v>
      </c>
      <c r="K684">
        <f t="shared" si="30"/>
        <v>6253.26</v>
      </c>
      <c r="L684">
        <f t="shared" si="31"/>
        <v>1438.25</v>
      </c>
      <c r="M684">
        <f t="shared" si="32"/>
        <v>4815.01</v>
      </c>
      <c r="N684" t="s">
        <v>46</v>
      </c>
      <c r="O684" t="s">
        <v>34</v>
      </c>
      <c r="P684" t="s">
        <v>30</v>
      </c>
      <c r="Q684" t="s">
        <v>22</v>
      </c>
    </row>
    <row r="685" spans="1:17" x14ac:dyDescent="0.3">
      <c r="A685" t="s">
        <v>746</v>
      </c>
      <c r="B685" s="1">
        <v>45777</v>
      </c>
      <c r="C685" t="s">
        <v>15</v>
      </c>
      <c r="D685" t="s">
        <v>39</v>
      </c>
      <c r="E685" t="s">
        <v>49</v>
      </c>
      <c r="F685" t="s">
        <v>73</v>
      </c>
      <c r="G685">
        <v>2</v>
      </c>
      <c r="H685">
        <v>3595.35</v>
      </c>
      <c r="I685">
        <v>0.18</v>
      </c>
      <c r="J685">
        <v>5896.37</v>
      </c>
      <c r="K685">
        <f t="shared" si="30"/>
        <v>7190.7</v>
      </c>
      <c r="L685">
        <f t="shared" si="31"/>
        <v>1294.33</v>
      </c>
      <c r="M685">
        <f t="shared" si="32"/>
        <v>5896.37</v>
      </c>
      <c r="N685" t="s">
        <v>41</v>
      </c>
      <c r="O685" t="s">
        <v>29</v>
      </c>
      <c r="P685" t="s">
        <v>21</v>
      </c>
      <c r="Q685" t="s">
        <v>22</v>
      </c>
    </row>
    <row r="686" spans="1:17" x14ac:dyDescent="0.3">
      <c r="A686" t="s">
        <v>747</v>
      </c>
      <c r="B686" s="1">
        <v>45759</v>
      </c>
      <c r="C686" t="s">
        <v>24</v>
      </c>
      <c r="D686" t="s">
        <v>16</v>
      </c>
      <c r="E686" t="s">
        <v>27</v>
      </c>
      <c r="F686" t="s">
        <v>79</v>
      </c>
      <c r="G686">
        <v>4</v>
      </c>
      <c r="H686">
        <v>4550.3100000000004</v>
      </c>
      <c r="I686">
        <v>0.25</v>
      </c>
      <c r="J686">
        <v>13650.93</v>
      </c>
      <c r="K686">
        <f t="shared" si="30"/>
        <v>18201.240000000002</v>
      </c>
      <c r="L686">
        <f t="shared" si="31"/>
        <v>4550.3100000000013</v>
      </c>
      <c r="M686">
        <f t="shared" si="32"/>
        <v>13650.93</v>
      </c>
      <c r="N686" t="s">
        <v>46</v>
      </c>
      <c r="O686" t="s">
        <v>20</v>
      </c>
      <c r="P686" t="s">
        <v>21</v>
      </c>
      <c r="Q686" t="s">
        <v>22</v>
      </c>
    </row>
    <row r="687" spans="1:17" x14ac:dyDescent="0.3">
      <c r="A687" t="s">
        <v>748</v>
      </c>
      <c r="B687" s="1">
        <v>45682</v>
      </c>
      <c r="C687" t="s">
        <v>15</v>
      </c>
      <c r="D687" t="s">
        <v>43</v>
      </c>
      <c r="E687" t="s">
        <v>27</v>
      </c>
      <c r="F687" t="s">
        <v>87</v>
      </c>
      <c r="G687">
        <v>3</v>
      </c>
      <c r="H687">
        <v>747.97</v>
      </c>
      <c r="I687">
        <v>0.22</v>
      </c>
      <c r="J687">
        <v>1750.25</v>
      </c>
      <c r="K687">
        <f t="shared" si="30"/>
        <v>2243.91</v>
      </c>
      <c r="L687">
        <f t="shared" si="31"/>
        <v>493.65999999999985</v>
      </c>
      <c r="M687">
        <f t="shared" si="32"/>
        <v>1750.25</v>
      </c>
      <c r="N687" t="s">
        <v>41</v>
      </c>
      <c r="O687" t="s">
        <v>29</v>
      </c>
      <c r="P687" t="s">
        <v>54</v>
      </c>
      <c r="Q687" t="s">
        <v>22</v>
      </c>
    </row>
    <row r="688" spans="1:17" x14ac:dyDescent="0.3">
      <c r="A688" t="s">
        <v>749</v>
      </c>
      <c r="B688" s="1">
        <v>45734</v>
      </c>
      <c r="C688" t="s">
        <v>15</v>
      </c>
      <c r="D688" t="s">
        <v>39</v>
      </c>
      <c r="E688" t="s">
        <v>27</v>
      </c>
      <c r="F688" t="s">
        <v>87</v>
      </c>
      <c r="G688">
        <v>1</v>
      </c>
      <c r="H688">
        <v>1654.86</v>
      </c>
      <c r="I688">
        <v>0.13</v>
      </c>
      <c r="J688">
        <v>1439.73</v>
      </c>
      <c r="K688">
        <f t="shared" si="30"/>
        <v>1654.86</v>
      </c>
      <c r="L688">
        <f t="shared" si="31"/>
        <v>215.12999999999988</v>
      </c>
      <c r="M688">
        <f t="shared" si="32"/>
        <v>1439.73</v>
      </c>
      <c r="N688" t="s">
        <v>41</v>
      </c>
      <c r="O688" t="s">
        <v>20</v>
      </c>
      <c r="P688" t="s">
        <v>54</v>
      </c>
      <c r="Q688" t="s">
        <v>22</v>
      </c>
    </row>
    <row r="689" spans="1:17" x14ac:dyDescent="0.3">
      <c r="A689" t="s">
        <v>750</v>
      </c>
      <c r="B689" s="1">
        <v>45834</v>
      </c>
      <c r="C689" t="s">
        <v>48</v>
      </c>
      <c r="D689" t="s">
        <v>39</v>
      </c>
      <c r="E689" t="s">
        <v>17</v>
      </c>
      <c r="F689" t="s">
        <v>44</v>
      </c>
      <c r="G689">
        <v>3</v>
      </c>
      <c r="H689">
        <v>4638.5600000000004</v>
      </c>
      <c r="I689">
        <v>7.0000000000000007E-2</v>
      </c>
      <c r="J689">
        <v>12941.58</v>
      </c>
      <c r="K689">
        <f t="shared" si="30"/>
        <v>13915.68</v>
      </c>
      <c r="L689">
        <f t="shared" si="31"/>
        <v>974.10000000000036</v>
      </c>
      <c r="M689">
        <f t="shared" si="32"/>
        <v>12941.58</v>
      </c>
      <c r="N689" t="s">
        <v>46</v>
      </c>
      <c r="O689" t="s">
        <v>29</v>
      </c>
      <c r="P689" t="s">
        <v>30</v>
      </c>
      <c r="Q689" t="s">
        <v>22</v>
      </c>
    </row>
    <row r="690" spans="1:17" x14ac:dyDescent="0.3">
      <c r="A690" t="s">
        <v>751</v>
      </c>
      <c r="B690" s="1">
        <v>45771</v>
      </c>
      <c r="C690" t="s">
        <v>15</v>
      </c>
      <c r="D690" t="s">
        <v>16</v>
      </c>
      <c r="E690" t="s">
        <v>49</v>
      </c>
      <c r="F690" t="s">
        <v>73</v>
      </c>
      <c r="G690">
        <v>5</v>
      </c>
      <c r="H690">
        <v>4279.8599999999997</v>
      </c>
      <c r="I690">
        <v>0.16</v>
      </c>
      <c r="J690">
        <v>17975.41</v>
      </c>
      <c r="K690">
        <f t="shared" si="30"/>
        <v>21399.3</v>
      </c>
      <c r="L690">
        <f t="shared" si="31"/>
        <v>3423.8899999999994</v>
      </c>
      <c r="M690">
        <f t="shared" si="32"/>
        <v>17975.41</v>
      </c>
      <c r="N690" t="s">
        <v>41</v>
      </c>
      <c r="O690" t="s">
        <v>20</v>
      </c>
      <c r="P690" t="s">
        <v>30</v>
      </c>
      <c r="Q690" t="s">
        <v>22</v>
      </c>
    </row>
    <row r="691" spans="1:17" x14ac:dyDescent="0.3">
      <c r="A691" t="s">
        <v>752</v>
      </c>
      <c r="B691" s="1">
        <v>45696</v>
      </c>
      <c r="C691" t="s">
        <v>52</v>
      </c>
      <c r="D691" t="s">
        <v>25</v>
      </c>
      <c r="E691" t="s">
        <v>17</v>
      </c>
      <c r="F691" t="s">
        <v>44</v>
      </c>
      <c r="G691">
        <v>3</v>
      </c>
      <c r="H691">
        <v>901.42</v>
      </c>
      <c r="I691">
        <v>0.12</v>
      </c>
      <c r="J691">
        <v>2379.75</v>
      </c>
      <c r="K691">
        <f t="shared" si="30"/>
        <v>2704.2599999999998</v>
      </c>
      <c r="L691">
        <f t="shared" si="31"/>
        <v>324.50999999999976</v>
      </c>
      <c r="M691">
        <f t="shared" si="32"/>
        <v>2379.75</v>
      </c>
      <c r="N691" t="s">
        <v>58</v>
      </c>
      <c r="O691" t="s">
        <v>34</v>
      </c>
      <c r="P691" t="s">
        <v>54</v>
      </c>
      <c r="Q691" t="s">
        <v>22</v>
      </c>
    </row>
    <row r="692" spans="1:17" x14ac:dyDescent="0.3">
      <c r="A692" t="s">
        <v>753</v>
      </c>
      <c r="B692" s="1">
        <v>45709</v>
      </c>
      <c r="C692" t="s">
        <v>48</v>
      </c>
      <c r="D692" t="s">
        <v>43</v>
      </c>
      <c r="E692" t="s">
        <v>99</v>
      </c>
      <c r="F692" t="s">
        <v>115</v>
      </c>
      <c r="G692">
        <v>2</v>
      </c>
      <c r="H692">
        <v>705.91</v>
      </c>
      <c r="I692">
        <v>0.02</v>
      </c>
      <c r="J692">
        <v>1383.58</v>
      </c>
      <c r="K692">
        <f t="shared" si="30"/>
        <v>1411.82</v>
      </c>
      <c r="L692">
        <f t="shared" si="31"/>
        <v>28.240000000000009</v>
      </c>
      <c r="M692">
        <f t="shared" si="32"/>
        <v>1383.58</v>
      </c>
      <c r="N692" t="s">
        <v>41</v>
      </c>
      <c r="O692" t="s">
        <v>20</v>
      </c>
      <c r="P692" t="s">
        <v>30</v>
      </c>
      <c r="Q692" t="s">
        <v>88</v>
      </c>
    </row>
    <row r="693" spans="1:17" x14ac:dyDescent="0.3">
      <c r="A693" t="s">
        <v>754</v>
      </c>
      <c r="B693" s="1">
        <v>45668</v>
      </c>
      <c r="C693" t="s">
        <v>36</v>
      </c>
      <c r="D693" t="s">
        <v>43</v>
      </c>
      <c r="E693" t="s">
        <v>27</v>
      </c>
      <c r="F693" t="s">
        <v>28</v>
      </c>
      <c r="G693">
        <v>5</v>
      </c>
      <c r="H693">
        <v>4990.22</v>
      </c>
      <c r="I693">
        <v>0</v>
      </c>
      <c r="J693">
        <v>24951.1</v>
      </c>
      <c r="K693">
        <f t="shared" si="30"/>
        <v>24951.100000000002</v>
      </c>
      <c r="L693">
        <f t="shared" si="31"/>
        <v>0</v>
      </c>
      <c r="M693">
        <f t="shared" si="32"/>
        <v>24951.100000000002</v>
      </c>
      <c r="N693" t="s">
        <v>33</v>
      </c>
      <c r="O693" t="s">
        <v>20</v>
      </c>
      <c r="P693" t="s">
        <v>21</v>
      </c>
      <c r="Q693" t="s">
        <v>22</v>
      </c>
    </row>
    <row r="694" spans="1:17" x14ac:dyDescent="0.3">
      <c r="A694" t="s">
        <v>755</v>
      </c>
      <c r="B694" s="1">
        <v>45797</v>
      </c>
      <c r="C694" t="s">
        <v>48</v>
      </c>
      <c r="D694" t="s">
        <v>25</v>
      </c>
      <c r="E694" t="s">
        <v>17</v>
      </c>
      <c r="F694" t="s">
        <v>44</v>
      </c>
      <c r="G694">
        <v>1</v>
      </c>
      <c r="H694">
        <v>1492.98</v>
      </c>
      <c r="I694">
        <v>0.25</v>
      </c>
      <c r="J694">
        <v>1119.74</v>
      </c>
      <c r="K694">
        <f t="shared" si="30"/>
        <v>1492.98</v>
      </c>
      <c r="L694">
        <f t="shared" si="31"/>
        <v>373.24</v>
      </c>
      <c r="M694">
        <f t="shared" si="32"/>
        <v>1119.74</v>
      </c>
      <c r="N694" t="s">
        <v>58</v>
      </c>
      <c r="O694" t="s">
        <v>34</v>
      </c>
      <c r="P694" t="s">
        <v>54</v>
      </c>
      <c r="Q694" t="s">
        <v>22</v>
      </c>
    </row>
    <row r="695" spans="1:17" x14ac:dyDescent="0.3">
      <c r="A695" t="s">
        <v>756</v>
      </c>
      <c r="B695" s="1">
        <v>45744</v>
      </c>
      <c r="C695" t="s">
        <v>52</v>
      </c>
      <c r="D695" t="s">
        <v>39</v>
      </c>
      <c r="E695" t="s">
        <v>17</v>
      </c>
      <c r="F695" t="s">
        <v>32</v>
      </c>
      <c r="G695">
        <v>4</v>
      </c>
      <c r="H695">
        <v>4170.43</v>
      </c>
      <c r="I695">
        <v>0.16</v>
      </c>
      <c r="J695">
        <v>14012.64</v>
      </c>
      <c r="K695">
        <f t="shared" si="30"/>
        <v>16681.72</v>
      </c>
      <c r="L695">
        <f t="shared" si="31"/>
        <v>2669.0800000000017</v>
      </c>
      <c r="M695">
        <f t="shared" si="32"/>
        <v>14012.64</v>
      </c>
      <c r="N695" t="s">
        <v>58</v>
      </c>
      <c r="O695" t="s">
        <v>20</v>
      </c>
      <c r="P695" t="s">
        <v>30</v>
      </c>
      <c r="Q695" t="s">
        <v>22</v>
      </c>
    </row>
    <row r="696" spans="1:17" x14ac:dyDescent="0.3">
      <c r="A696" t="s">
        <v>757</v>
      </c>
      <c r="B696" s="1">
        <v>45660</v>
      </c>
      <c r="C696" t="s">
        <v>24</v>
      </c>
      <c r="D696" t="s">
        <v>43</v>
      </c>
      <c r="E696" t="s">
        <v>17</v>
      </c>
      <c r="F696" t="s">
        <v>32</v>
      </c>
      <c r="G696">
        <v>3</v>
      </c>
      <c r="H696">
        <v>4742.3500000000004</v>
      </c>
      <c r="I696">
        <v>0.25</v>
      </c>
      <c r="J696">
        <v>10670.29</v>
      </c>
      <c r="K696">
        <f t="shared" si="30"/>
        <v>14227.050000000001</v>
      </c>
      <c r="L696">
        <f t="shared" si="31"/>
        <v>3556.76</v>
      </c>
      <c r="M696">
        <f t="shared" si="32"/>
        <v>10670.29</v>
      </c>
      <c r="N696" t="s">
        <v>33</v>
      </c>
      <c r="O696" t="s">
        <v>34</v>
      </c>
      <c r="P696" t="s">
        <v>21</v>
      </c>
      <c r="Q696" t="s">
        <v>22</v>
      </c>
    </row>
    <row r="697" spans="1:17" x14ac:dyDescent="0.3">
      <c r="A697" t="s">
        <v>758</v>
      </c>
      <c r="B697" s="1">
        <v>45760</v>
      </c>
      <c r="C697" t="s">
        <v>15</v>
      </c>
      <c r="D697" t="s">
        <v>25</v>
      </c>
      <c r="E697" t="s">
        <v>17</v>
      </c>
      <c r="F697" t="s">
        <v>32</v>
      </c>
      <c r="G697">
        <v>1</v>
      </c>
      <c r="H697">
        <v>2781.07</v>
      </c>
      <c r="I697">
        <v>0.15</v>
      </c>
      <c r="J697">
        <v>2363.91</v>
      </c>
      <c r="K697">
        <f t="shared" si="30"/>
        <v>2781.07</v>
      </c>
      <c r="L697">
        <f t="shared" si="31"/>
        <v>417.16000000000031</v>
      </c>
      <c r="M697">
        <f t="shared" si="32"/>
        <v>2363.91</v>
      </c>
      <c r="N697" t="s">
        <v>58</v>
      </c>
      <c r="O697" t="s">
        <v>29</v>
      </c>
      <c r="P697" t="s">
        <v>54</v>
      </c>
      <c r="Q697" t="s">
        <v>22</v>
      </c>
    </row>
    <row r="698" spans="1:17" x14ac:dyDescent="0.3">
      <c r="A698" t="s">
        <v>759</v>
      </c>
      <c r="B698" s="1">
        <v>45839</v>
      </c>
      <c r="C698" t="s">
        <v>24</v>
      </c>
      <c r="D698" t="s">
        <v>43</v>
      </c>
      <c r="E698" t="s">
        <v>61</v>
      </c>
      <c r="F698" t="s">
        <v>92</v>
      </c>
      <c r="G698">
        <v>2</v>
      </c>
      <c r="H698">
        <v>2003.66</v>
      </c>
      <c r="I698">
        <v>0.1</v>
      </c>
      <c r="J698">
        <v>3606.59</v>
      </c>
      <c r="K698">
        <f t="shared" si="30"/>
        <v>4007.32</v>
      </c>
      <c r="L698">
        <f t="shared" si="31"/>
        <v>400.73</v>
      </c>
      <c r="M698">
        <f t="shared" si="32"/>
        <v>3606.59</v>
      </c>
      <c r="N698" t="s">
        <v>58</v>
      </c>
      <c r="O698" t="s">
        <v>20</v>
      </c>
      <c r="P698" t="s">
        <v>21</v>
      </c>
      <c r="Q698" t="s">
        <v>22</v>
      </c>
    </row>
    <row r="699" spans="1:17" x14ac:dyDescent="0.3">
      <c r="A699" t="s">
        <v>760</v>
      </c>
      <c r="B699" s="1">
        <v>45816</v>
      </c>
      <c r="C699" t="s">
        <v>15</v>
      </c>
      <c r="D699" t="s">
        <v>43</v>
      </c>
      <c r="E699" t="s">
        <v>49</v>
      </c>
      <c r="F699" t="s">
        <v>50</v>
      </c>
      <c r="G699">
        <v>3</v>
      </c>
      <c r="H699">
        <v>3361.05</v>
      </c>
      <c r="I699">
        <v>0.21</v>
      </c>
      <c r="J699">
        <v>7965.69</v>
      </c>
      <c r="K699">
        <f t="shared" si="30"/>
        <v>10083.150000000001</v>
      </c>
      <c r="L699">
        <f t="shared" si="31"/>
        <v>2117.4600000000019</v>
      </c>
      <c r="M699">
        <f t="shared" si="32"/>
        <v>7965.69</v>
      </c>
      <c r="N699" t="s">
        <v>33</v>
      </c>
      <c r="O699" t="s">
        <v>20</v>
      </c>
      <c r="P699" t="s">
        <v>21</v>
      </c>
      <c r="Q699" t="s">
        <v>22</v>
      </c>
    </row>
    <row r="700" spans="1:17" x14ac:dyDescent="0.3">
      <c r="A700" t="s">
        <v>761</v>
      </c>
      <c r="B700" s="1">
        <v>45764</v>
      </c>
      <c r="C700" t="s">
        <v>15</v>
      </c>
      <c r="D700" t="s">
        <v>43</v>
      </c>
      <c r="E700" t="s">
        <v>49</v>
      </c>
      <c r="F700" t="s">
        <v>50</v>
      </c>
      <c r="G700">
        <v>4</v>
      </c>
      <c r="H700">
        <v>542.09</v>
      </c>
      <c r="I700">
        <v>0.11</v>
      </c>
      <c r="J700">
        <v>1929.84</v>
      </c>
      <c r="K700">
        <f t="shared" si="30"/>
        <v>2168.36</v>
      </c>
      <c r="L700">
        <f t="shared" si="31"/>
        <v>238.52000000000021</v>
      </c>
      <c r="M700">
        <f t="shared" si="32"/>
        <v>1929.84</v>
      </c>
      <c r="N700" t="s">
        <v>33</v>
      </c>
      <c r="O700" t="s">
        <v>29</v>
      </c>
      <c r="P700" t="s">
        <v>30</v>
      </c>
      <c r="Q700" t="s">
        <v>22</v>
      </c>
    </row>
    <row r="701" spans="1:17" x14ac:dyDescent="0.3">
      <c r="A701" t="s">
        <v>762</v>
      </c>
      <c r="B701" s="1">
        <v>45793</v>
      </c>
      <c r="C701" t="s">
        <v>24</v>
      </c>
      <c r="D701" t="s">
        <v>43</v>
      </c>
      <c r="E701" t="s">
        <v>49</v>
      </c>
      <c r="F701" t="s">
        <v>56</v>
      </c>
      <c r="G701">
        <v>4</v>
      </c>
      <c r="H701">
        <v>3414.56</v>
      </c>
      <c r="I701">
        <v>0.16</v>
      </c>
      <c r="J701">
        <v>11472.92</v>
      </c>
      <c r="K701">
        <f t="shared" si="30"/>
        <v>13658.24</v>
      </c>
      <c r="L701">
        <f t="shared" si="31"/>
        <v>2185.3199999999997</v>
      </c>
      <c r="M701">
        <f t="shared" si="32"/>
        <v>11472.92</v>
      </c>
      <c r="N701" t="s">
        <v>33</v>
      </c>
      <c r="O701" t="s">
        <v>34</v>
      </c>
      <c r="P701" t="s">
        <v>21</v>
      </c>
      <c r="Q701" t="s">
        <v>37</v>
      </c>
    </row>
    <row r="702" spans="1:17" x14ac:dyDescent="0.3">
      <c r="A702" t="s">
        <v>763</v>
      </c>
      <c r="B702" s="1">
        <v>45799</v>
      </c>
      <c r="C702" t="s">
        <v>15</v>
      </c>
      <c r="D702" t="s">
        <v>43</v>
      </c>
      <c r="E702" t="s">
        <v>27</v>
      </c>
      <c r="F702" t="s">
        <v>79</v>
      </c>
      <c r="G702">
        <v>1</v>
      </c>
      <c r="H702">
        <v>4545.32</v>
      </c>
      <c r="I702">
        <v>0.12</v>
      </c>
      <c r="J702">
        <v>3999.88</v>
      </c>
      <c r="K702">
        <f t="shared" si="30"/>
        <v>4545.32</v>
      </c>
      <c r="L702">
        <f t="shared" si="31"/>
        <v>545.4399999999996</v>
      </c>
      <c r="M702">
        <f t="shared" si="32"/>
        <v>3999.88</v>
      </c>
      <c r="N702" t="s">
        <v>41</v>
      </c>
      <c r="O702" t="s">
        <v>34</v>
      </c>
      <c r="P702" t="s">
        <v>54</v>
      </c>
      <c r="Q702" t="s">
        <v>22</v>
      </c>
    </row>
    <row r="703" spans="1:17" x14ac:dyDescent="0.3">
      <c r="A703" t="s">
        <v>764</v>
      </c>
      <c r="B703" s="1">
        <v>45842</v>
      </c>
      <c r="C703" t="s">
        <v>36</v>
      </c>
      <c r="D703" t="s">
        <v>16</v>
      </c>
      <c r="E703" t="s">
        <v>99</v>
      </c>
      <c r="F703" t="s">
        <v>100</v>
      </c>
      <c r="G703">
        <v>5</v>
      </c>
      <c r="H703">
        <v>333.87</v>
      </c>
      <c r="I703">
        <v>0.02</v>
      </c>
      <c r="J703">
        <v>1635.96</v>
      </c>
      <c r="K703">
        <f t="shared" si="30"/>
        <v>1669.35</v>
      </c>
      <c r="L703">
        <f t="shared" si="31"/>
        <v>33.389999999999873</v>
      </c>
      <c r="M703">
        <f t="shared" si="32"/>
        <v>1635.96</v>
      </c>
      <c r="N703" t="s">
        <v>41</v>
      </c>
      <c r="O703" t="s">
        <v>34</v>
      </c>
      <c r="P703" t="s">
        <v>54</v>
      </c>
      <c r="Q703" t="s">
        <v>22</v>
      </c>
    </row>
    <row r="704" spans="1:17" x14ac:dyDescent="0.3">
      <c r="A704" t="s">
        <v>765</v>
      </c>
      <c r="B704" s="1">
        <v>45804</v>
      </c>
      <c r="C704" t="s">
        <v>48</v>
      </c>
      <c r="D704" t="s">
        <v>16</v>
      </c>
      <c r="E704" t="s">
        <v>49</v>
      </c>
      <c r="F704" t="s">
        <v>56</v>
      </c>
      <c r="G704">
        <v>3</v>
      </c>
      <c r="H704">
        <v>1348.82</v>
      </c>
      <c r="I704">
        <v>0.02</v>
      </c>
      <c r="J704">
        <v>3965.53</v>
      </c>
      <c r="K704">
        <f t="shared" si="30"/>
        <v>4046.46</v>
      </c>
      <c r="L704">
        <f t="shared" si="31"/>
        <v>80.929999999999836</v>
      </c>
      <c r="M704">
        <f t="shared" si="32"/>
        <v>3965.53</v>
      </c>
      <c r="N704" t="s">
        <v>33</v>
      </c>
      <c r="O704" t="s">
        <v>34</v>
      </c>
      <c r="P704" t="s">
        <v>21</v>
      </c>
      <c r="Q704" t="s">
        <v>22</v>
      </c>
    </row>
    <row r="705" spans="1:17" x14ac:dyDescent="0.3">
      <c r="A705" t="s">
        <v>766</v>
      </c>
      <c r="B705" s="1">
        <v>45803</v>
      </c>
      <c r="C705" t="s">
        <v>52</v>
      </c>
      <c r="D705" t="s">
        <v>25</v>
      </c>
      <c r="E705" t="s">
        <v>49</v>
      </c>
      <c r="F705" t="s">
        <v>73</v>
      </c>
      <c r="G705">
        <v>1</v>
      </c>
      <c r="H705">
        <v>2139.63</v>
      </c>
      <c r="I705">
        <v>0.18</v>
      </c>
      <c r="J705">
        <v>1754.5</v>
      </c>
      <c r="K705">
        <f t="shared" si="30"/>
        <v>2139.63</v>
      </c>
      <c r="L705">
        <f t="shared" si="31"/>
        <v>385.13000000000011</v>
      </c>
      <c r="M705">
        <f t="shared" si="32"/>
        <v>1754.5</v>
      </c>
      <c r="N705" t="s">
        <v>41</v>
      </c>
      <c r="O705" t="s">
        <v>20</v>
      </c>
      <c r="P705" t="s">
        <v>30</v>
      </c>
      <c r="Q705" t="s">
        <v>88</v>
      </c>
    </row>
    <row r="706" spans="1:17" x14ac:dyDescent="0.3">
      <c r="A706" t="s">
        <v>767</v>
      </c>
      <c r="B706" s="1">
        <v>45790</v>
      </c>
      <c r="C706" t="s">
        <v>15</v>
      </c>
      <c r="D706" t="s">
        <v>16</v>
      </c>
      <c r="E706" t="s">
        <v>49</v>
      </c>
      <c r="F706" t="s">
        <v>53</v>
      </c>
      <c r="G706">
        <v>2</v>
      </c>
      <c r="H706">
        <v>483.28</v>
      </c>
      <c r="I706">
        <v>0.25</v>
      </c>
      <c r="J706">
        <v>724.92</v>
      </c>
      <c r="K706">
        <f t="shared" si="30"/>
        <v>966.56</v>
      </c>
      <c r="L706">
        <f t="shared" si="31"/>
        <v>241.64</v>
      </c>
      <c r="M706">
        <f t="shared" si="32"/>
        <v>724.92</v>
      </c>
      <c r="N706" t="s">
        <v>19</v>
      </c>
      <c r="O706" t="s">
        <v>20</v>
      </c>
      <c r="P706" t="s">
        <v>30</v>
      </c>
      <c r="Q706" t="s">
        <v>22</v>
      </c>
    </row>
    <row r="707" spans="1:17" x14ac:dyDescent="0.3">
      <c r="A707" t="s">
        <v>768</v>
      </c>
      <c r="B707" s="1">
        <v>45698</v>
      </c>
      <c r="C707" t="s">
        <v>48</v>
      </c>
      <c r="D707" t="s">
        <v>25</v>
      </c>
      <c r="E707" t="s">
        <v>17</v>
      </c>
      <c r="F707" t="s">
        <v>18</v>
      </c>
      <c r="G707">
        <v>2</v>
      </c>
      <c r="H707">
        <v>3313.42</v>
      </c>
      <c r="I707">
        <v>0.12</v>
      </c>
      <c r="J707">
        <v>5831.62</v>
      </c>
      <c r="K707">
        <f t="shared" ref="K707:K770" si="33">G707*H707</f>
        <v>6626.84</v>
      </c>
      <c r="L707">
        <f t="shared" ref="L707:L770" si="34">K707-J707</f>
        <v>795.22000000000025</v>
      </c>
      <c r="M707">
        <f t="shared" ref="M707:M770" si="35">K707-L707</f>
        <v>5831.62</v>
      </c>
      <c r="N707" t="s">
        <v>58</v>
      </c>
      <c r="O707" t="s">
        <v>20</v>
      </c>
      <c r="P707" t="s">
        <v>30</v>
      </c>
      <c r="Q707" t="s">
        <v>22</v>
      </c>
    </row>
    <row r="708" spans="1:17" x14ac:dyDescent="0.3">
      <c r="A708" t="s">
        <v>769</v>
      </c>
      <c r="B708" s="1">
        <v>45730</v>
      </c>
      <c r="C708" t="s">
        <v>48</v>
      </c>
      <c r="D708" t="s">
        <v>43</v>
      </c>
      <c r="E708" t="s">
        <v>27</v>
      </c>
      <c r="F708" t="s">
        <v>28</v>
      </c>
      <c r="G708">
        <v>2</v>
      </c>
      <c r="H708">
        <v>762.06</v>
      </c>
      <c r="I708">
        <v>0.05</v>
      </c>
      <c r="J708">
        <v>1447.91</v>
      </c>
      <c r="K708">
        <f t="shared" si="33"/>
        <v>1524.12</v>
      </c>
      <c r="L708">
        <f t="shared" si="34"/>
        <v>76.209999999999809</v>
      </c>
      <c r="M708">
        <f t="shared" si="35"/>
        <v>1447.91</v>
      </c>
      <c r="N708" t="s">
        <v>46</v>
      </c>
      <c r="O708" t="s">
        <v>20</v>
      </c>
      <c r="P708" t="s">
        <v>54</v>
      </c>
      <c r="Q708" t="s">
        <v>37</v>
      </c>
    </row>
    <row r="709" spans="1:17" x14ac:dyDescent="0.3">
      <c r="A709" t="s">
        <v>770</v>
      </c>
      <c r="B709" s="1">
        <v>45743</v>
      </c>
      <c r="C709" t="s">
        <v>52</v>
      </c>
      <c r="D709" t="s">
        <v>43</v>
      </c>
      <c r="E709" t="s">
        <v>61</v>
      </c>
      <c r="F709" t="s">
        <v>92</v>
      </c>
      <c r="G709">
        <v>5</v>
      </c>
      <c r="H709">
        <v>1035.48</v>
      </c>
      <c r="I709">
        <v>0.08</v>
      </c>
      <c r="J709">
        <v>4763.21</v>
      </c>
      <c r="K709">
        <f t="shared" si="33"/>
        <v>5177.3999999999996</v>
      </c>
      <c r="L709">
        <f t="shared" si="34"/>
        <v>414.1899999999996</v>
      </c>
      <c r="M709">
        <f t="shared" si="35"/>
        <v>4763.21</v>
      </c>
      <c r="N709" t="s">
        <v>19</v>
      </c>
      <c r="O709" t="s">
        <v>34</v>
      </c>
      <c r="P709" t="s">
        <v>30</v>
      </c>
      <c r="Q709" t="s">
        <v>22</v>
      </c>
    </row>
    <row r="710" spans="1:17" x14ac:dyDescent="0.3">
      <c r="A710" t="s">
        <v>771</v>
      </c>
      <c r="B710" s="1">
        <v>45673</v>
      </c>
      <c r="C710" t="s">
        <v>52</v>
      </c>
      <c r="D710" t="s">
        <v>43</v>
      </c>
      <c r="E710" t="s">
        <v>17</v>
      </c>
      <c r="F710" t="s">
        <v>18</v>
      </c>
      <c r="G710">
        <v>4</v>
      </c>
      <c r="H710">
        <v>4822.95</v>
      </c>
      <c r="I710">
        <v>0.12</v>
      </c>
      <c r="J710">
        <v>16976.78</v>
      </c>
      <c r="K710">
        <f t="shared" si="33"/>
        <v>19291.8</v>
      </c>
      <c r="L710">
        <f t="shared" si="34"/>
        <v>2315.0200000000004</v>
      </c>
      <c r="M710">
        <f t="shared" si="35"/>
        <v>16976.78</v>
      </c>
      <c r="N710" t="s">
        <v>19</v>
      </c>
      <c r="O710" t="s">
        <v>29</v>
      </c>
      <c r="P710" t="s">
        <v>30</v>
      </c>
      <c r="Q710" t="s">
        <v>22</v>
      </c>
    </row>
    <row r="711" spans="1:17" x14ac:dyDescent="0.3">
      <c r="A711" t="s">
        <v>772</v>
      </c>
      <c r="B711" s="1">
        <v>45788</v>
      </c>
      <c r="C711" t="s">
        <v>24</v>
      </c>
      <c r="D711" t="s">
        <v>25</v>
      </c>
      <c r="E711" t="s">
        <v>27</v>
      </c>
      <c r="F711" t="s">
        <v>87</v>
      </c>
      <c r="G711">
        <v>1</v>
      </c>
      <c r="H711">
        <v>3189.01</v>
      </c>
      <c r="I711">
        <v>0.18</v>
      </c>
      <c r="J711">
        <v>2614.9899999999998</v>
      </c>
      <c r="K711">
        <f t="shared" si="33"/>
        <v>3189.01</v>
      </c>
      <c r="L711">
        <f t="shared" si="34"/>
        <v>574.02000000000044</v>
      </c>
      <c r="M711">
        <f t="shared" si="35"/>
        <v>2614.9899999999998</v>
      </c>
      <c r="N711" t="s">
        <v>46</v>
      </c>
      <c r="O711" t="s">
        <v>20</v>
      </c>
      <c r="P711" t="s">
        <v>30</v>
      </c>
      <c r="Q711" t="s">
        <v>22</v>
      </c>
    </row>
    <row r="712" spans="1:17" x14ac:dyDescent="0.3">
      <c r="A712" t="s">
        <v>773</v>
      </c>
      <c r="B712" s="1">
        <v>45838</v>
      </c>
      <c r="C712" t="s">
        <v>24</v>
      </c>
      <c r="D712" t="s">
        <v>25</v>
      </c>
      <c r="E712" t="s">
        <v>27</v>
      </c>
      <c r="F712" t="s">
        <v>28</v>
      </c>
      <c r="G712">
        <v>4</v>
      </c>
      <c r="H712">
        <v>2615.44</v>
      </c>
      <c r="I712">
        <v>0.18</v>
      </c>
      <c r="J712">
        <v>8578.64</v>
      </c>
      <c r="K712">
        <f t="shared" si="33"/>
        <v>10461.76</v>
      </c>
      <c r="L712">
        <f t="shared" si="34"/>
        <v>1883.1200000000008</v>
      </c>
      <c r="M712">
        <f t="shared" si="35"/>
        <v>8578.64</v>
      </c>
      <c r="N712" t="s">
        <v>41</v>
      </c>
      <c r="O712" t="s">
        <v>34</v>
      </c>
      <c r="P712" t="s">
        <v>21</v>
      </c>
      <c r="Q712" t="s">
        <v>22</v>
      </c>
    </row>
    <row r="713" spans="1:17" x14ac:dyDescent="0.3">
      <c r="A713" t="s">
        <v>774</v>
      </c>
      <c r="B713" s="1">
        <v>45724</v>
      </c>
      <c r="C713" t="s">
        <v>48</v>
      </c>
      <c r="D713" t="s">
        <v>25</v>
      </c>
      <c r="E713" t="s">
        <v>17</v>
      </c>
      <c r="F713" t="s">
        <v>18</v>
      </c>
      <c r="G713">
        <v>5</v>
      </c>
      <c r="H713">
        <v>411.2</v>
      </c>
      <c r="I713">
        <v>0.22</v>
      </c>
      <c r="J713">
        <v>1603.68</v>
      </c>
      <c r="K713">
        <f t="shared" si="33"/>
        <v>2056</v>
      </c>
      <c r="L713">
        <f t="shared" si="34"/>
        <v>452.31999999999994</v>
      </c>
      <c r="M713">
        <f t="shared" si="35"/>
        <v>1603.68</v>
      </c>
      <c r="N713" t="s">
        <v>33</v>
      </c>
      <c r="O713" t="s">
        <v>34</v>
      </c>
      <c r="P713" t="s">
        <v>30</v>
      </c>
      <c r="Q713" t="s">
        <v>22</v>
      </c>
    </row>
    <row r="714" spans="1:17" x14ac:dyDescent="0.3">
      <c r="A714" t="s">
        <v>775</v>
      </c>
      <c r="B714" s="1">
        <v>45781</v>
      </c>
      <c r="C714" t="s">
        <v>48</v>
      </c>
      <c r="D714" t="s">
        <v>25</v>
      </c>
      <c r="E714" t="s">
        <v>27</v>
      </c>
      <c r="F714" t="s">
        <v>28</v>
      </c>
      <c r="G714">
        <v>2</v>
      </c>
      <c r="H714">
        <v>1511.25</v>
      </c>
      <c r="I714">
        <v>0.05</v>
      </c>
      <c r="J714">
        <v>2871.38</v>
      </c>
      <c r="K714">
        <f t="shared" si="33"/>
        <v>3022.5</v>
      </c>
      <c r="L714">
        <f t="shared" si="34"/>
        <v>151.11999999999989</v>
      </c>
      <c r="M714">
        <f t="shared" si="35"/>
        <v>2871.38</v>
      </c>
      <c r="N714" t="s">
        <v>41</v>
      </c>
      <c r="O714" t="s">
        <v>20</v>
      </c>
      <c r="P714" t="s">
        <v>30</v>
      </c>
      <c r="Q714" t="s">
        <v>22</v>
      </c>
    </row>
    <row r="715" spans="1:17" x14ac:dyDescent="0.3">
      <c r="A715" t="s">
        <v>776</v>
      </c>
      <c r="B715" s="1">
        <v>45720</v>
      </c>
      <c r="C715" t="s">
        <v>36</v>
      </c>
      <c r="D715" t="s">
        <v>39</v>
      </c>
      <c r="E715" t="s">
        <v>61</v>
      </c>
      <c r="F715" t="s">
        <v>66</v>
      </c>
      <c r="G715">
        <v>3</v>
      </c>
      <c r="H715">
        <v>3642.68</v>
      </c>
      <c r="I715">
        <v>0.1</v>
      </c>
      <c r="J715">
        <v>9835.24</v>
      </c>
      <c r="K715">
        <f t="shared" si="33"/>
        <v>10928.039999999999</v>
      </c>
      <c r="L715">
        <f t="shared" si="34"/>
        <v>1092.7999999999993</v>
      </c>
      <c r="M715">
        <f t="shared" si="35"/>
        <v>9835.24</v>
      </c>
      <c r="N715" t="s">
        <v>41</v>
      </c>
      <c r="O715" t="s">
        <v>20</v>
      </c>
      <c r="P715" t="s">
        <v>30</v>
      </c>
      <c r="Q715" t="s">
        <v>88</v>
      </c>
    </row>
    <row r="716" spans="1:17" x14ac:dyDescent="0.3">
      <c r="A716" t="s">
        <v>777</v>
      </c>
      <c r="B716" s="1">
        <v>45788</v>
      </c>
      <c r="C716" t="s">
        <v>15</v>
      </c>
      <c r="D716" t="s">
        <v>25</v>
      </c>
      <c r="E716" t="s">
        <v>61</v>
      </c>
      <c r="F716" t="s">
        <v>75</v>
      </c>
      <c r="G716">
        <v>4</v>
      </c>
      <c r="H716">
        <v>732.57</v>
      </c>
      <c r="I716">
        <v>0.05</v>
      </c>
      <c r="J716">
        <v>2783.77</v>
      </c>
      <c r="K716">
        <f t="shared" si="33"/>
        <v>2930.28</v>
      </c>
      <c r="L716">
        <f t="shared" si="34"/>
        <v>146.51000000000022</v>
      </c>
      <c r="M716">
        <f t="shared" si="35"/>
        <v>2783.77</v>
      </c>
      <c r="N716" t="s">
        <v>58</v>
      </c>
      <c r="O716" t="s">
        <v>29</v>
      </c>
      <c r="P716" t="s">
        <v>21</v>
      </c>
      <c r="Q716" t="s">
        <v>22</v>
      </c>
    </row>
    <row r="717" spans="1:17" x14ac:dyDescent="0.3">
      <c r="A717" t="s">
        <v>778</v>
      </c>
      <c r="B717" s="1">
        <v>45824</v>
      </c>
      <c r="C717" t="s">
        <v>15</v>
      </c>
      <c r="D717" t="s">
        <v>39</v>
      </c>
      <c r="E717" t="s">
        <v>49</v>
      </c>
      <c r="F717" t="s">
        <v>50</v>
      </c>
      <c r="G717">
        <v>5</v>
      </c>
      <c r="H717">
        <v>330.54</v>
      </c>
      <c r="I717">
        <v>0</v>
      </c>
      <c r="J717">
        <v>1652.7</v>
      </c>
      <c r="K717">
        <f t="shared" si="33"/>
        <v>1652.7</v>
      </c>
      <c r="L717">
        <f t="shared" si="34"/>
        <v>0</v>
      </c>
      <c r="M717">
        <f t="shared" si="35"/>
        <v>1652.7</v>
      </c>
      <c r="N717" t="s">
        <v>19</v>
      </c>
      <c r="O717" t="s">
        <v>20</v>
      </c>
      <c r="P717" t="s">
        <v>30</v>
      </c>
      <c r="Q717" t="s">
        <v>22</v>
      </c>
    </row>
    <row r="718" spans="1:17" x14ac:dyDescent="0.3">
      <c r="A718" t="s">
        <v>779</v>
      </c>
      <c r="B718" s="1">
        <v>45684</v>
      </c>
      <c r="C718" t="s">
        <v>24</v>
      </c>
      <c r="D718" t="s">
        <v>25</v>
      </c>
      <c r="E718" t="s">
        <v>61</v>
      </c>
      <c r="F718" t="s">
        <v>62</v>
      </c>
      <c r="G718">
        <v>1</v>
      </c>
      <c r="H718">
        <v>3126.06</v>
      </c>
      <c r="I718">
        <v>0.03</v>
      </c>
      <c r="J718">
        <v>3032.28</v>
      </c>
      <c r="K718">
        <f t="shared" si="33"/>
        <v>3126.06</v>
      </c>
      <c r="L718">
        <f t="shared" si="34"/>
        <v>93.779999999999745</v>
      </c>
      <c r="M718">
        <f t="shared" si="35"/>
        <v>3032.28</v>
      </c>
      <c r="N718" t="s">
        <v>46</v>
      </c>
      <c r="O718" t="s">
        <v>34</v>
      </c>
      <c r="P718" t="s">
        <v>54</v>
      </c>
      <c r="Q718" t="s">
        <v>22</v>
      </c>
    </row>
    <row r="719" spans="1:17" x14ac:dyDescent="0.3">
      <c r="A719" t="s">
        <v>780</v>
      </c>
      <c r="B719" s="1">
        <v>45799</v>
      </c>
      <c r="C719" t="s">
        <v>24</v>
      </c>
      <c r="D719" t="s">
        <v>16</v>
      </c>
      <c r="E719" t="s">
        <v>99</v>
      </c>
      <c r="F719" t="s">
        <v>111</v>
      </c>
      <c r="G719">
        <v>2</v>
      </c>
      <c r="H719">
        <v>4281.7</v>
      </c>
      <c r="I719">
        <v>0.22</v>
      </c>
      <c r="J719">
        <v>6679.45</v>
      </c>
      <c r="K719">
        <f t="shared" si="33"/>
        <v>8563.4</v>
      </c>
      <c r="L719">
        <f t="shared" si="34"/>
        <v>1883.9499999999998</v>
      </c>
      <c r="M719">
        <f t="shared" si="35"/>
        <v>6679.45</v>
      </c>
      <c r="N719" t="s">
        <v>33</v>
      </c>
      <c r="O719" t="s">
        <v>34</v>
      </c>
      <c r="P719" t="s">
        <v>21</v>
      </c>
      <c r="Q719" t="s">
        <v>22</v>
      </c>
    </row>
    <row r="720" spans="1:17" x14ac:dyDescent="0.3">
      <c r="A720" t="s">
        <v>781</v>
      </c>
      <c r="B720" s="1">
        <v>45834</v>
      </c>
      <c r="C720" t="s">
        <v>24</v>
      </c>
      <c r="D720" t="s">
        <v>16</v>
      </c>
      <c r="E720" t="s">
        <v>49</v>
      </c>
      <c r="F720" t="s">
        <v>50</v>
      </c>
      <c r="G720">
        <v>5</v>
      </c>
      <c r="H720">
        <v>3932.57</v>
      </c>
      <c r="I720">
        <v>0.24</v>
      </c>
      <c r="J720">
        <v>14943.77</v>
      </c>
      <c r="K720">
        <f t="shared" si="33"/>
        <v>19662.850000000002</v>
      </c>
      <c r="L720">
        <f t="shared" si="34"/>
        <v>4719.0800000000017</v>
      </c>
      <c r="M720">
        <f t="shared" si="35"/>
        <v>14943.77</v>
      </c>
      <c r="N720" t="s">
        <v>58</v>
      </c>
      <c r="O720" t="s">
        <v>29</v>
      </c>
      <c r="P720" t="s">
        <v>21</v>
      </c>
      <c r="Q720" t="s">
        <v>22</v>
      </c>
    </row>
    <row r="721" spans="1:17" x14ac:dyDescent="0.3">
      <c r="A721" t="s">
        <v>782</v>
      </c>
      <c r="B721" s="1">
        <v>45718</v>
      </c>
      <c r="C721" t="s">
        <v>52</v>
      </c>
      <c r="D721" t="s">
        <v>16</v>
      </c>
      <c r="E721" t="s">
        <v>61</v>
      </c>
      <c r="F721" t="s">
        <v>62</v>
      </c>
      <c r="G721">
        <v>3</v>
      </c>
      <c r="H721">
        <v>3570</v>
      </c>
      <c r="I721">
        <v>0.19</v>
      </c>
      <c r="J721">
        <v>8675.1</v>
      </c>
      <c r="K721">
        <f t="shared" si="33"/>
        <v>10710</v>
      </c>
      <c r="L721">
        <f t="shared" si="34"/>
        <v>2034.8999999999996</v>
      </c>
      <c r="M721">
        <f t="shared" si="35"/>
        <v>8675.1</v>
      </c>
      <c r="N721" t="s">
        <v>46</v>
      </c>
      <c r="O721" t="s">
        <v>20</v>
      </c>
      <c r="P721" t="s">
        <v>30</v>
      </c>
      <c r="Q721" t="s">
        <v>22</v>
      </c>
    </row>
    <row r="722" spans="1:17" x14ac:dyDescent="0.3">
      <c r="A722" t="s">
        <v>783</v>
      </c>
      <c r="B722" s="1">
        <v>45758</v>
      </c>
      <c r="C722" t="s">
        <v>52</v>
      </c>
      <c r="D722" t="s">
        <v>43</v>
      </c>
      <c r="E722" t="s">
        <v>99</v>
      </c>
      <c r="F722" t="s">
        <v>111</v>
      </c>
      <c r="G722">
        <v>4</v>
      </c>
      <c r="H722">
        <v>4851.22</v>
      </c>
      <c r="I722">
        <v>0.19</v>
      </c>
      <c r="J722">
        <v>15717.95</v>
      </c>
      <c r="K722">
        <f t="shared" si="33"/>
        <v>19404.88</v>
      </c>
      <c r="L722">
        <f t="shared" si="34"/>
        <v>3686.9300000000003</v>
      </c>
      <c r="M722">
        <f t="shared" si="35"/>
        <v>15717.95</v>
      </c>
      <c r="N722" t="s">
        <v>58</v>
      </c>
      <c r="O722" t="s">
        <v>20</v>
      </c>
      <c r="P722" t="s">
        <v>54</v>
      </c>
      <c r="Q722" t="s">
        <v>88</v>
      </c>
    </row>
    <row r="723" spans="1:17" x14ac:dyDescent="0.3">
      <c r="A723" t="s">
        <v>784</v>
      </c>
      <c r="B723" s="1">
        <v>45720</v>
      </c>
      <c r="C723" t="s">
        <v>15</v>
      </c>
      <c r="D723" t="s">
        <v>39</v>
      </c>
      <c r="E723" t="s">
        <v>49</v>
      </c>
      <c r="F723" t="s">
        <v>53</v>
      </c>
      <c r="G723">
        <v>1</v>
      </c>
      <c r="H723">
        <v>1403.48</v>
      </c>
      <c r="I723">
        <v>0.18</v>
      </c>
      <c r="J723">
        <v>1150.8499999999999</v>
      </c>
      <c r="K723">
        <f t="shared" si="33"/>
        <v>1403.48</v>
      </c>
      <c r="L723">
        <f t="shared" si="34"/>
        <v>252.63000000000011</v>
      </c>
      <c r="M723">
        <f t="shared" si="35"/>
        <v>1150.8499999999999</v>
      </c>
      <c r="N723" t="s">
        <v>33</v>
      </c>
      <c r="O723" t="s">
        <v>20</v>
      </c>
      <c r="P723" t="s">
        <v>30</v>
      </c>
      <c r="Q723" t="s">
        <v>22</v>
      </c>
    </row>
    <row r="724" spans="1:17" x14ac:dyDescent="0.3">
      <c r="A724" t="s">
        <v>785</v>
      </c>
      <c r="B724" s="1">
        <v>45789</v>
      </c>
      <c r="C724" t="s">
        <v>36</v>
      </c>
      <c r="D724" t="s">
        <v>25</v>
      </c>
      <c r="E724" t="s">
        <v>61</v>
      </c>
      <c r="F724" t="s">
        <v>75</v>
      </c>
      <c r="G724">
        <v>2</v>
      </c>
      <c r="H724">
        <v>4028.67</v>
      </c>
      <c r="I724">
        <v>0.1</v>
      </c>
      <c r="J724">
        <v>7251.61</v>
      </c>
      <c r="K724">
        <f t="shared" si="33"/>
        <v>8057.34</v>
      </c>
      <c r="L724">
        <f t="shared" si="34"/>
        <v>805.73000000000047</v>
      </c>
      <c r="M724">
        <f t="shared" si="35"/>
        <v>7251.61</v>
      </c>
      <c r="N724" t="s">
        <v>41</v>
      </c>
      <c r="O724" t="s">
        <v>20</v>
      </c>
      <c r="P724" t="s">
        <v>30</v>
      </c>
      <c r="Q724" t="s">
        <v>59</v>
      </c>
    </row>
    <row r="725" spans="1:17" x14ac:dyDescent="0.3">
      <c r="A725" t="s">
        <v>786</v>
      </c>
      <c r="B725" s="1">
        <v>45739</v>
      </c>
      <c r="C725" t="s">
        <v>24</v>
      </c>
      <c r="D725" t="s">
        <v>16</v>
      </c>
      <c r="E725" t="s">
        <v>27</v>
      </c>
      <c r="F725" t="s">
        <v>28</v>
      </c>
      <c r="G725">
        <v>1</v>
      </c>
      <c r="H725">
        <v>3616.37</v>
      </c>
      <c r="I725">
        <v>0.13</v>
      </c>
      <c r="J725">
        <v>3146.24</v>
      </c>
      <c r="K725">
        <f t="shared" si="33"/>
        <v>3616.37</v>
      </c>
      <c r="L725">
        <f t="shared" si="34"/>
        <v>470.13000000000011</v>
      </c>
      <c r="M725">
        <f t="shared" si="35"/>
        <v>3146.24</v>
      </c>
      <c r="N725" t="s">
        <v>41</v>
      </c>
      <c r="O725" t="s">
        <v>20</v>
      </c>
      <c r="P725" t="s">
        <v>54</v>
      </c>
      <c r="Q725" t="s">
        <v>22</v>
      </c>
    </row>
    <row r="726" spans="1:17" x14ac:dyDescent="0.3">
      <c r="A726" t="s">
        <v>787</v>
      </c>
      <c r="B726" s="1">
        <v>45723</v>
      </c>
      <c r="C726" t="s">
        <v>48</v>
      </c>
      <c r="D726" t="s">
        <v>16</v>
      </c>
      <c r="E726" t="s">
        <v>49</v>
      </c>
      <c r="F726" t="s">
        <v>73</v>
      </c>
      <c r="G726">
        <v>1</v>
      </c>
      <c r="H726">
        <v>3334.86</v>
      </c>
      <c r="I726">
        <v>0.16</v>
      </c>
      <c r="J726">
        <v>2801.28</v>
      </c>
      <c r="K726">
        <f t="shared" si="33"/>
        <v>3334.86</v>
      </c>
      <c r="L726">
        <f t="shared" si="34"/>
        <v>533.57999999999993</v>
      </c>
      <c r="M726">
        <f t="shared" si="35"/>
        <v>2801.28</v>
      </c>
      <c r="N726" t="s">
        <v>58</v>
      </c>
      <c r="O726" t="s">
        <v>34</v>
      </c>
      <c r="P726" t="s">
        <v>21</v>
      </c>
      <c r="Q726" t="s">
        <v>59</v>
      </c>
    </row>
    <row r="727" spans="1:17" x14ac:dyDescent="0.3">
      <c r="A727" t="s">
        <v>788</v>
      </c>
      <c r="B727" s="1">
        <v>45738</v>
      </c>
      <c r="C727" t="s">
        <v>48</v>
      </c>
      <c r="D727" t="s">
        <v>39</v>
      </c>
      <c r="E727" t="s">
        <v>27</v>
      </c>
      <c r="F727" t="s">
        <v>28</v>
      </c>
      <c r="G727">
        <v>5</v>
      </c>
      <c r="H727">
        <v>4380.38</v>
      </c>
      <c r="I727">
        <v>0.18</v>
      </c>
      <c r="J727">
        <v>17959.560000000001</v>
      </c>
      <c r="K727">
        <f t="shared" si="33"/>
        <v>21901.9</v>
      </c>
      <c r="L727">
        <f t="shared" si="34"/>
        <v>3942.34</v>
      </c>
      <c r="M727">
        <f t="shared" si="35"/>
        <v>17959.560000000001</v>
      </c>
      <c r="N727" t="s">
        <v>41</v>
      </c>
      <c r="O727" t="s">
        <v>29</v>
      </c>
      <c r="P727" t="s">
        <v>30</v>
      </c>
      <c r="Q727" t="s">
        <v>22</v>
      </c>
    </row>
    <row r="728" spans="1:17" x14ac:dyDescent="0.3">
      <c r="A728" t="s">
        <v>789</v>
      </c>
      <c r="B728" s="1">
        <v>45795</v>
      </c>
      <c r="C728" t="s">
        <v>48</v>
      </c>
      <c r="D728" t="s">
        <v>25</v>
      </c>
      <c r="E728" t="s">
        <v>99</v>
      </c>
      <c r="F728" t="s">
        <v>100</v>
      </c>
      <c r="G728">
        <v>2</v>
      </c>
      <c r="H728">
        <v>4449.1400000000003</v>
      </c>
      <c r="I728">
        <v>0.16</v>
      </c>
      <c r="J728">
        <v>7474.56</v>
      </c>
      <c r="K728">
        <f t="shared" si="33"/>
        <v>8898.2800000000007</v>
      </c>
      <c r="L728">
        <f t="shared" si="34"/>
        <v>1423.7200000000003</v>
      </c>
      <c r="M728">
        <f t="shared" si="35"/>
        <v>7474.56</v>
      </c>
      <c r="N728" t="s">
        <v>41</v>
      </c>
      <c r="O728" t="s">
        <v>29</v>
      </c>
      <c r="P728" t="s">
        <v>21</v>
      </c>
      <c r="Q728" t="s">
        <v>22</v>
      </c>
    </row>
    <row r="729" spans="1:17" x14ac:dyDescent="0.3">
      <c r="A729" t="s">
        <v>790</v>
      </c>
      <c r="B729" s="1">
        <v>45717</v>
      </c>
      <c r="C729" t="s">
        <v>15</v>
      </c>
      <c r="D729" t="s">
        <v>43</v>
      </c>
      <c r="E729" t="s">
        <v>49</v>
      </c>
      <c r="F729" t="s">
        <v>73</v>
      </c>
      <c r="G729">
        <v>5</v>
      </c>
      <c r="H729">
        <v>1739.02</v>
      </c>
      <c r="I729">
        <v>0.18</v>
      </c>
      <c r="J729">
        <v>7129.98</v>
      </c>
      <c r="K729">
        <f t="shared" si="33"/>
        <v>8695.1</v>
      </c>
      <c r="L729">
        <f t="shared" si="34"/>
        <v>1565.1200000000008</v>
      </c>
      <c r="M729">
        <f t="shared" si="35"/>
        <v>7129.98</v>
      </c>
      <c r="N729" t="s">
        <v>58</v>
      </c>
      <c r="O729" t="s">
        <v>20</v>
      </c>
      <c r="P729" t="s">
        <v>21</v>
      </c>
      <c r="Q729" t="s">
        <v>22</v>
      </c>
    </row>
    <row r="730" spans="1:17" x14ac:dyDescent="0.3">
      <c r="A730" t="s">
        <v>791</v>
      </c>
      <c r="B730" s="1">
        <v>45767</v>
      </c>
      <c r="C730" t="s">
        <v>52</v>
      </c>
      <c r="D730" t="s">
        <v>43</v>
      </c>
      <c r="E730" t="s">
        <v>27</v>
      </c>
      <c r="F730" t="s">
        <v>28</v>
      </c>
      <c r="G730">
        <v>5</v>
      </c>
      <c r="H730">
        <v>1630.04</v>
      </c>
      <c r="I730">
        <v>0.09</v>
      </c>
      <c r="J730">
        <v>7416.68</v>
      </c>
      <c r="K730">
        <f t="shared" si="33"/>
        <v>8150.2</v>
      </c>
      <c r="L730">
        <f t="shared" si="34"/>
        <v>733.51999999999953</v>
      </c>
      <c r="M730">
        <f t="shared" si="35"/>
        <v>7416.68</v>
      </c>
      <c r="N730" t="s">
        <v>58</v>
      </c>
      <c r="O730" t="s">
        <v>29</v>
      </c>
      <c r="P730" t="s">
        <v>21</v>
      </c>
      <c r="Q730" t="s">
        <v>22</v>
      </c>
    </row>
    <row r="731" spans="1:17" x14ac:dyDescent="0.3">
      <c r="A731" t="s">
        <v>792</v>
      </c>
      <c r="B731" s="1">
        <v>45684</v>
      </c>
      <c r="C731" t="s">
        <v>52</v>
      </c>
      <c r="D731" t="s">
        <v>39</v>
      </c>
      <c r="E731" t="s">
        <v>27</v>
      </c>
      <c r="F731" t="s">
        <v>28</v>
      </c>
      <c r="G731">
        <v>4</v>
      </c>
      <c r="H731">
        <v>4936.08</v>
      </c>
      <c r="I731">
        <v>0.03</v>
      </c>
      <c r="J731">
        <v>19151.990000000002</v>
      </c>
      <c r="K731">
        <f t="shared" si="33"/>
        <v>19744.32</v>
      </c>
      <c r="L731">
        <f t="shared" si="34"/>
        <v>592.32999999999811</v>
      </c>
      <c r="M731">
        <f t="shared" si="35"/>
        <v>19151.990000000002</v>
      </c>
      <c r="N731" t="s">
        <v>46</v>
      </c>
      <c r="O731" t="s">
        <v>29</v>
      </c>
      <c r="P731" t="s">
        <v>54</v>
      </c>
      <c r="Q731" t="s">
        <v>22</v>
      </c>
    </row>
    <row r="732" spans="1:17" x14ac:dyDescent="0.3">
      <c r="A732" t="s">
        <v>793</v>
      </c>
      <c r="B732" s="1">
        <v>45697</v>
      </c>
      <c r="C732" t="s">
        <v>24</v>
      </c>
      <c r="D732" t="s">
        <v>25</v>
      </c>
      <c r="E732" t="s">
        <v>27</v>
      </c>
      <c r="F732" t="s">
        <v>28</v>
      </c>
      <c r="G732">
        <v>1</v>
      </c>
      <c r="H732">
        <v>2298.81</v>
      </c>
      <c r="I732">
        <v>0.14000000000000001</v>
      </c>
      <c r="J732">
        <v>1976.98</v>
      </c>
      <c r="K732">
        <f t="shared" si="33"/>
        <v>2298.81</v>
      </c>
      <c r="L732">
        <f t="shared" si="34"/>
        <v>321.82999999999993</v>
      </c>
      <c r="M732">
        <f t="shared" si="35"/>
        <v>1976.98</v>
      </c>
      <c r="N732" t="s">
        <v>58</v>
      </c>
      <c r="O732" t="s">
        <v>29</v>
      </c>
      <c r="P732" t="s">
        <v>54</v>
      </c>
      <c r="Q732" t="s">
        <v>22</v>
      </c>
    </row>
    <row r="733" spans="1:17" x14ac:dyDescent="0.3">
      <c r="A733" t="s">
        <v>794</v>
      </c>
      <c r="B733" s="1">
        <v>45741</v>
      </c>
      <c r="C733" t="s">
        <v>15</v>
      </c>
      <c r="D733" t="s">
        <v>43</v>
      </c>
      <c r="E733" t="s">
        <v>61</v>
      </c>
      <c r="F733" t="s">
        <v>75</v>
      </c>
      <c r="G733">
        <v>5</v>
      </c>
      <c r="H733">
        <v>3394.93</v>
      </c>
      <c r="I733">
        <v>0.18</v>
      </c>
      <c r="J733">
        <v>13919.21</v>
      </c>
      <c r="K733">
        <f t="shared" si="33"/>
        <v>16974.649999999998</v>
      </c>
      <c r="L733">
        <f t="shared" si="34"/>
        <v>3055.4399999999987</v>
      </c>
      <c r="M733">
        <f t="shared" si="35"/>
        <v>13919.21</v>
      </c>
      <c r="N733" t="s">
        <v>46</v>
      </c>
      <c r="O733" t="s">
        <v>34</v>
      </c>
      <c r="P733" t="s">
        <v>21</v>
      </c>
      <c r="Q733" t="s">
        <v>22</v>
      </c>
    </row>
    <row r="734" spans="1:17" x14ac:dyDescent="0.3">
      <c r="A734" t="s">
        <v>795</v>
      </c>
      <c r="B734" s="1">
        <v>45789</v>
      </c>
      <c r="C734" t="s">
        <v>15</v>
      </c>
      <c r="D734" t="s">
        <v>16</v>
      </c>
      <c r="E734" t="s">
        <v>27</v>
      </c>
      <c r="F734" t="s">
        <v>68</v>
      </c>
      <c r="G734">
        <v>2</v>
      </c>
      <c r="H734">
        <v>3587.04</v>
      </c>
      <c r="I734">
        <v>0.21</v>
      </c>
      <c r="J734">
        <v>5667.52</v>
      </c>
      <c r="K734">
        <f t="shared" si="33"/>
        <v>7174.08</v>
      </c>
      <c r="L734">
        <f t="shared" si="34"/>
        <v>1506.5599999999995</v>
      </c>
      <c r="M734">
        <f t="shared" si="35"/>
        <v>5667.52</v>
      </c>
      <c r="N734" t="s">
        <v>41</v>
      </c>
      <c r="O734" t="s">
        <v>20</v>
      </c>
      <c r="P734" t="s">
        <v>54</v>
      </c>
      <c r="Q734" t="s">
        <v>22</v>
      </c>
    </row>
    <row r="735" spans="1:17" x14ac:dyDescent="0.3">
      <c r="A735" t="s">
        <v>796</v>
      </c>
      <c r="B735" s="1">
        <v>45842</v>
      </c>
      <c r="C735" t="s">
        <v>52</v>
      </c>
      <c r="D735" t="s">
        <v>25</v>
      </c>
      <c r="E735" t="s">
        <v>61</v>
      </c>
      <c r="F735" t="s">
        <v>92</v>
      </c>
      <c r="G735">
        <v>3</v>
      </c>
      <c r="H735">
        <v>3416.43</v>
      </c>
      <c r="I735">
        <v>0.1</v>
      </c>
      <c r="J735">
        <v>9224.36</v>
      </c>
      <c r="K735">
        <f t="shared" si="33"/>
        <v>10249.289999999999</v>
      </c>
      <c r="L735">
        <f t="shared" si="34"/>
        <v>1024.9299999999985</v>
      </c>
      <c r="M735">
        <f t="shared" si="35"/>
        <v>9224.36</v>
      </c>
      <c r="N735" t="s">
        <v>41</v>
      </c>
      <c r="O735" t="s">
        <v>20</v>
      </c>
      <c r="P735" t="s">
        <v>21</v>
      </c>
      <c r="Q735" t="s">
        <v>37</v>
      </c>
    </row>
    <row r="736" spans="1:17" x14ac:dyDescent="0.3">
      <c r="A736" t="s">
        <v>797</v>
      </c>
      <c r="B736" s="1">
        <v>45733</v>
      </c>
      <c r="C736" t="s">
        <v>48</v>
      </c>
      <c r="D736" t="s">
        <v>43</v>
      </c>
      <c r="E736" t="s">
        <v>27</v>
      </c>
      <c r="F736" t="s">
        <v>87</v>
      </c>
      <c r="G736">
        <v>4</v>
      </c>
      <c r="H736">
        <v>3685.41</v>
      </c>
      <c r="I736">
        <v>0.1</v>
      </c>
      <c r="J736">
        <v>13267.48</v>
      </c>
      <c r="K736">
        <f t="shared" si="33"/>
        <v>14741.64</v>
      </c>
      <c r="L736">
        <f t="shared" si="34"/>
        <v>1474.1599999999999</v>
      </c>
      <c r="M736">
        <f t="shared" si="35"/>
        <v>13267.48</v>
      </c>
      <c r="N736" t="s">
        <v>41</v>
      </c>
      <c r="O736" t="s">
        <v>29</v>
      </c>
      <c r="P736" t="s">
        <v>54</v>
      </c>
      <c r="Q736" t="s">
        <v>22</v>
      </c>
    </row>
    <row r="737" spans="1:17" x14ac:dyDescent="0.3">
      <c r="A737" t="s">
        <v>798</v>
      </c>
      <c r="B737" s="1">
        <v>45791</v>
      </c>
      <c r="C737" t="s">
        <v>52</v>
      </c>
      <c r="D737" t="s">
        <v>43</v>
      </c>
      <c r="E737" t="s">
        <v>49</v>
      </c>
      <c r="F737" t="s">
        <v>50</v>
      </c>
      <c r="G737">
        <v>1</v>
      </c>
      <c r="H737">
        <v>3502.91</v>
      </c>
      <c r="I737">
        <v>0.11</v>
      </c>
      <c r="J737">
        <v>3117.59</v>
      </c>
      <c r="K737">
        <f t="shared" si="33"/>
        <v>3502.91</v>
      </c>
      <c r="L737">
        <f t="shared" si="34"/>
        <v>385.31999999999971</v>
      </c>
      <c r="M737">
        <f t="shared" si="35"/>
        <v>3117.59</v>
      </c>
      <c r="N737" t="s">
        <v>33</v>
      </c>
      <c r="O737" t="s">
        <v>29</v>
      </c>
      <c r="P737" t="s">
        <v>54</v>
      </c>
      <c r="Q737" t="s">
        <v>37</v>
      </c>
    </row>
    <row r="738" spans="1:17" x14ac:dyDescent="0.3">
      <c r="A738" t="s">
        <v>799</v>
      </c>
      <c r="B738" s="1">
        <v>45805</v>
      </c>
      <c r="C738" t="s">
        <v>36</v>
      </c>
      <c r="D738" t="s">
        <v>43</v>
      </c>
      <c r="E738" t="s">
        <v>99</v>
      </c>
      <c r="F738" t="s">
        <v>120</v>
      </c>
      <c r="G738">
        <v>1</v>
      </c>
      <c r="H738">
        <v>1910.97</v>
      </c>
      <c r="I738">
        <v>7.0000000000000007E-2</v>
      </c>
      <c r="J738">
        <v>1777.2</v>
      </c>
      <c r="K738">
        <f t="shared" si="33"/>
        <v>1910.97</v>
      </c>
      <c r="L738">
        <f t="shared" si="34"/>
        <v>133.76999999999998</v>
      </c>
      <c r="M738">
        <f t="shared" si="35"/>
        <v>1777.2</v>
      </c>
      <c r="N738" t="s">
        <v>41</v>
      </c>
      <c r="O738" t="s">
        <v>20</v>
      </c>
      <c r="P738" t="s">
        <v>21</v>
      </c>
      <c r="Q738" t="s">
        <v>22</v>
      </c>
    </row>
    <row r="739" spans="1:17" x14ac:dyDescent="0.3">
      <c r="A739" t="s">
        <v>800</v>
      </c>
      <c r="B739" s="1">
        <v>45835</v>
      </c>
      <c r="C739" t="s">
        <v>15</v>
      </c>
      <c r="D739" t="s">
        <v>25</v>
      </c>
      <c r="E739" t="s">
        <v>99</v>
      </c>
      <c r="F739" t="s">
        <v>111</v>
      </c>
      <c r="G739">
        <v>1</v>
      </c>
      <c r="H739">
        <v>3976.9</v>
      </c>
      <c r="I739">
        <v>0.04</v>
      </c>
      <c r="J739">
        <v>3817.82</v>
      </c>
      <c r="K739">
        <f t="shared" si="33"/>
        <v>3976.9</v>
      </c>
      <c r="L739">
        <f t="shared" si="34"/>
        <v>159.07999999999993</v>
      </c>
      <c r="M739">
        <f t="shared" si="35"/>
        <v>3817.82</v>
      </c>
      <c r="N739" t="s">
        <v>46</v>
      </c>
      <c r="O739" t="s">
        <v>34</v>
      </c>
      <c r="P739" t="s">
        <v>21</v>
      </c>
      <c r="Q739" t="s">
        <v>22</v>
      </c>
    </row>
    <row r="740" spans="1:17" x14ac:dyDescent="0.3">
      <c r="A740" t="s">
        <v>801</v>
      </c>
      <c r="B740" s="1">
        <v>45693</v>
      </c>
      <c r="C740" t="s">
        <v>52</v>
      </c>
      <c r="D740" t="s">
        <v>16</v>
      </c>
      <c r="E740" t="s">
        <v>99</v>
      </c>
      <c r="F740" t="s">
        <v>111</v>
      </c>
      <c r="G740">
        <v>4</v>
      </c>
      <c r="H740">
        <v>110.22</v>
      </c>
      <c r="I740">
        <v>0.14000000000000001</v>
      </c>
      <c r="J740">
        <v>379.16</v>
      </c>
      <c r="K740">
        <f t="shared" si="33"/>
        <v>440.88</v>
      </c>
      <c r="L740">
        <f t="shared" si="34"/>
        <v>61.71999999999997</v>
      </c>
      <c r="M740">
        <f t="shared" si="35"/>
        <v>379.16</v>
      </c>
      <c r="N740" t="s">
        <v>19</v>
      </c>
      <c r="O740" t="s">
        <v>29</v>
      </c>
      <c r="P740" t="s">
        <v>54</v>
      </c>
      <c r="Q740" t="s">
        <v>22</v>
      </c>
    </row>
    <row r="741" spans="1:17" x14ac:dyDescent="0.3">
      <c r="A741" t="s">
        <v>802</v>
      </c>
      <c r="B741" s="1">
        <v>45779</v>
      </c>
      <c r="C741" t="s">
        <v>36</v>
      </c>
      <c r="D741" t="s">
        <v>43</v>
      </c>
      <c r="E741" t="s">
        <v>27</v>
      </c>
      <c r="F741" t="s">
        <v>28</v>
      </c>
      <c r="G741">
        <v>4</v>
      </c>
      <c r="H741">
        <v>2428.61</v>
      </c>
      <c r="I741">
        <v>0.18</v>
      </c>
      <c r="J741">
        <v>7965.84</v>
      </c>
      <c r="K741">
        <f t="shared" si="33"/>
        <v>9714.44</v>
      </c>
      <c r="L741">
        <f t="shared" si="34"/>
        <v>1748.6000000000004</v>
      </c>
      <c r="M741">
        <f t="shared" si="35"/>
        <v>7965.84</v>
      </c>
      <c r="N741" t="s">
        <v>41</v>
      </c>
      <c r="O741" t="s">
        <v>34</v>
      </c>
      <c r="P741" t="s">
        <v>21</v>
      </c>
      <c r="Q741" t="s">
        <v>88</v>
      </c>
    </row>
    <row r="742" spans="1:17" x14ac:dyDescent="0.3">
      <c r="A742" t="s">
        <v>803</v>
      </c>
      <c r="B742" s="1">
        <v>45770</v>
      </c>
      <c r="C742" t="s">
        <v>48</v>
      </c>
      <c r="D742" t="s">
        <v>25</v>
      </c>
      <c r="E742" t="s">
        <v>27</v>
      </c>
      <c r="F742" t="s">
        <v>87</v>
      </c>
      <c r="G742">
        <v>3</v>
      </c>
      <c r="H742">
        <v>537.64</v>
      </c>
      <c r="I742">
        <v>0.16</v>
      </c>
      <c r="J742">
        <v>1354.85</v>
      </c>
      <c r="K742">
        <f t="shared" si="33"/>
        <v>1612.92</v>
      </c>
      <c r="L742">
        <f t="shared" si="34"/>
        <v>258.07000000000016</v>
      </c>
      <c r="M742">
        <f t="shared" si="35"/>
        <v>1354.85</v>
      </c>
      <c r="N742" t="s">
        <v>41</v>
      </c>
      <c r="O742" t="s">
        <v>20</v>
      </c>
      <c r="P742" t="s">
        <v>21</v>
      </c>
      <c r="Q742" t="s">
        <v>22</v>
      </c>
    </row>
    <row r="743" spans="1:17" x14ac:dyDescent="0.3">
      <c r="A743" t="s">
        <v>804</v>
      </c>
      <c r="B743" s="1">
        <v>45718</v>
      </c>
      <c r="C743" t="s">
        <v>36</v>
      </c>
      <c r="D743" t="s">
        <v>16</v>
      </c>
      <c r="E743" t="s">
        <v>49</v>
      </c>
      <c r="F743" t="s">
        <v>53</v>
      </c>
      <c r="G743">
        <v>4</v>
      </c>
      <c r="H743">
        <v>3705.97</v>
      </c>
      <c r="I743">
        <v>0.16</v>
      </c>
      <c r="J743">
        <v>12452.06</v>
      </c>
      <c r="K743">
        <f t="shared" si="33"/>
        <v>14823.88</v>
      </c>
      <c r="L743">
        <f t="shared" si="34"/>
        <v>2371.8199999999997</v>
      </c>
      <c r="M743">
        <f t="shared" si="35"/>
        <v>12452.06</v>
      </c>
      <c r="N743" t="s">
        <v>58</v>
      </c>
      <c r="O743" t="s">
        <v>29</v>
      </c>
      <c r="P743" t="s">
        <v>54</v>
      </c>
      <c r="Q743" t="s">
        <v>22</v>
      </c>
    </row>
    <row r="744" spans="1:17" x14ac:dyDescent="0.3">
      <c r="A744" t="s">
        <v>805</v>
      </c>
      <c r="B744" s="1">
        <v>45738</v>
      </c>
      <c r="C744" t="s">
        <v>36</v>
      </c>
      <c r="D744" t="s">
        <v>43</v>
      </c>
      <c r="E744" t="s">
        <v>99</v>
      </c>
      <c r="F744" t="s">
        <v>120</v>
      </c>
      <c r="G744">
        <v>5</v>
      </c>
      <c r="H744">
        <v>2754.99</v>
      </c>
      <c r="I744">
        <v>0.19</v>
      </c>
      <c r="J744">
        <v>11157.71</v>
      </c>
      <c r="K744">
        <f t="shared" si="33"/>
        <v>13774.949999999999</v>
      </c>
      <c r="L744">
        <f t="shared" si="34"/>
        <v>2617.2399999999998</v>
      </c>
      <c r="M744">
        <f t="shared" si="35"/>
        <v>11157.71</v>
      </c>
      <c r="N744" t="s">
        <v>58</v>
      </c>
      <c r="O744" t="s">
        <v>20</v>
      </c>
      <c r="P744" t="s">
        <v>21</v>
      </c>
      <c r="Q744" t="s">
        <v>88</v>
      </c>
    </row>
    <row r="745" spans="1:17" x14ac:dyDescent="0.3">
      <c r="A745" t="s">
        <v>806</v>
      </c>
      <c r="B745" s="1">
        <v>45766</v>
      </c>
      <c r="C745" t="s">
        <v>24</v>
      </c>
      <c r="D745" t="s">
        <v>25</v>
      </c>
      <c r="E745" t="s">
        <v>27</v>
      </c>
      <c r="F745" t="s">
        <v>79</v>
      </c>
      <c r="G745">
        <v>1</v>
      </c>
      <c r="H745">
        <v>1447.32</v>
      </c>
      <c r="I745">
        <v>0.05</v>
      </c>
      <c r="J745">
        <v>1374.95</v>
      </c>
      <c r="K745">
        <f t="shared" si="33"/>
        <v>1447.32</v>
      </c>
      <c r="L745">
        <f t="shared" si="34"/>
        <v>72.369999999999891</v>
      </c>
      <c r="M745">
        <f t="shared" si="35"/>
        <v>1374.95</v>
      </c>
      <c r="N745" t="s">
        <v>33</v>
      </c>
      <c r="O745" t="s">
        <v>20</v>
      </c>
      <c r="P745" t="s">
        <v>21</v>
      </c>
      <c r="Q745" t="s">
        <v>22</v>
      </c>
    </row>
    <row r="746" spans="1:17" x14ac:dyDescent="0.3">
      <c r="A746" t="s">
        <v>807</v>
      </c>
      <c r="B746" s="1">
        <v>45821</v>
      </c>
      <c r="C746" t="s">
        <v>48</v>
      </c>
      <c r="D746" t="s">
        <v>43</v>
      </c>
      <c r="E746" t="s">
        <v>27</v>
      </c>
      <c r="F746" t="s">
        <v>28</v>
      </c>
      <c r="G746">
        <v>4</v>
      </c>
      <c r="H746">
        <v>4323.67</v>
      </c>
      <c r="I746">
        <v>0.01</v>
      </c>
      <c r="J746">
        <v>17121.73</v>
      </c>
      <c r="K746">
        <f t="shared" si="33"/>
        <v>17294.68</v>
      </c>
      <c r="L746">
        <f t="shared" si="34"/>
        <v>172.95000000000073</v>
      </c>
      <c r="M746">
        <f t="shared" si="35"/>
        <v>17121.73</v>
      </c>
      <c r="N746" t="s">
        <v>33</v>
      </c>
      <c r="O746" t="s">
        <v>20</v>
      </c>
      <c r="P746" t="s">
        <v>30</v>
      </c>
      <c r="Q746" t="s">
        <v>22</v>
      </c>
    </row>
    <row r="747" spans="1:17" x14ac:dyDescent="0.3">
      <c r="A747" t="s">
        <v>808</v>
      </c>
      <c r="B747" s="1">
        <v>45660</v>
      </c>
      <c r="C747" t="s">
        <v>48</v>
      </c>
      <c r="D747" t="s">
        <v>43</v>
      </c>
      <c r="E747" t="s">
        <v>27</v>
      </c>
      <c r="F747" t="s">
        <v>28</v>
      </c>
      <c r="G747">
        <v>1</v>
      </c>
      <c r="H747">
        <v>4900.95</v>
      </c>
      <c r="I747">
        <v>0.14000000000000001</v>
      </c>
      <c r="J747">
        <v>4214.82</v>
      </c>
      <c r="K747">
        <f t="shared" si="33"/>
        <v>4900.95</v>
      </c>
      <c r="L747">
        <f t="shared" si="34"/>
        <v>686.13000000000011</v>
      </c>
      <c r="M747">
        <f t="shared" si="35"/>
        <v>4214.82</v>
      </c>
      <c r="N747" t="s">
        <v>46</v>
      </c>
      <c r="O747" t="s">
        <v>20</v>
      </c>
      <c r="P747" t="s">
        <v>30</v>
      </c>
      <c r="Q747" t="s">
        <v>22</v>
      </c>
    </row>
    <row r="748" spans="1:17" x14ac:dyDescent="0.3">
      <c r="A748" t="s">
        <v>809</v>
      </c>
      <c r="B748" s="1">
        <v>45719</v>
      </c>
      <c r="C748" t="s">
        <v>15</v>
      </c>
      <c r="D748" t="s">
        <v>16</v>
      </c>
      <c r="E748" t="s">
        <v>17</v>
      </c>
      <c r="F748" t="s">
        <v>44</v>
      </c>
      <c r="G748">
        <v>2</v>
      </c>
      <c r="H748">
        <v>388.68</v>
      </c>
      <c r="I748">
        <v>0.24</v>
      </c>
      <c r="J748">
        <v>590.79</v>
      </c>
      <c r="K748">
        <f t="shared" si="33"/>
        <v>777.36</v>
      </c>
      <c r="L748">
        <f t="shared" si="34"/>
        <v>186.57000000000005</v>
      </c>
      <c r="M748">
        <f t="shared" si="35"/>
        <v>590.79</v>
      </c>
      <c r="N748" t="s">
        <v>41</v>
      </c>
      <c r="O748" t="s">
        <v>29</v>
      </c>
      <c r="P748" t="s">
        <v>54</v>
      </c>
      <c r="Q748" t="s">
        <v>22</v>
      </c>
    </row>
    <row r="749" spans="1:17" x14ac:dyDescent="0.3">
      <c r="A749" t="s">
        <v>810</v>
      </c>
      <c r="B749" s="1">
        <v>45715</v>
      </c>
      <c r="C749" t="s">
        <v>24</v>
      </c>
      <c r="D749" t="s">
        <v>16</v>
      </c>
      <c r="E749" t="s">
        <v>99</v>
      </c>
      <c r="F749" t="s">
        <v>115</v>
      </c>
      <c r="G749">
        <v>4</v>
      </c>
      <c r="H749">
        <v>4475.75</v>
      </c>
      <c r="I749">
        <v>0.06</v>
      </c>
      <c r="J749">
        <v>16828.82</v>
      </c>
      <c r="K749">
        <f t="shared" si="33"/>
        <v>17903</v>
      </c>
      <c r="L749">
        <f t="shared" si="34"/>
        <v>1074.1800000000003</v>
      </c>
      <c r="M749">
        <f t="shared" si="35"/>
        <v>16828.82</v>
      </c>
      <c r="N749" t="s">
        <v>46</v>
      </c>
      <c r="O749" t="s">
        <v>20</v>
      </c>
      <c r="P749" t="s">
        <v>54</v>
      </c>
      <c r="Q749" t="s">
        <v>22</v>
      </c>
    </row>
    <row r="750" spans="1:17" x14ac:dyDescent="0.3">
      <c r="A750" t="s">
        <v>811</v>
      </c>
      <c r="B750" s="1">
        <v>45700</v>
      </c>
      <c r="C750" t="s">
        <v>48</v>
      </c>
      <c r="D750" t="s">
        <v>25</v>
      </c>
      <c r="E750" t="s">
        <v>27</v>
      </c>
      <c r="F750" t="s">
        <v>68</v>
      </c>
      <c r="G750">
        <v>4</v>
      </c>
      <c r="H750">
        <v>4751.8500000000004</v>
      </c>
      <c r="I750">
        <v>7.0000000000000007E-2</v>
      </c>
      <c r="J750">
        <v>17676.88</v>
      </c>
      <c r="K750">
        <f t="shared" si="33"/>
        <v>19007.400000000001</v>
      </c>
      <c r="L750">
        <f t="shared" si="34"/>
        <v>1330.5200000000004</v>
      </c>
      <c r="M750">
        <f t="shared" si="35"/>
        <v>17676.88</v>
      </c>
      <c r="N750" t="s">
        <v>33</v>
      </c>
      <c r="O750" t="s">
        <v>29</v>
      </c>
      <c r="P750" t="s">
        <v>30</v>
      </c>
      <c r="Q750" t="s">
        <v>22</v>
      </c>
    </row>
    <row r="751" spans="1:17" x14ac:dyDescent="0.3">
      <c r="A751" t="s">
        <v>812</v>
      </c>
      <c r="B751" s="1">
        <v>45743</v>
      </c>
      <c r="C751" t="s">
        <v>24</v>
      </c>
      <c r="D751" t="s">
        <v>16</v>
      </c>
      <c r="E751" t="s">
        <v>17</v>
      </c>
      <c r="F751" t="s">
        <v>40</v>
      </c>
      <c r="G751">
        <v>2</v>
      </c>
      <c r="H751">
        <v>4577.3</v>
      </c>
      <c r="I751">
        <v>0</v>
      </c>
      <c r="J751">
        <v>9154.6</v>
      </c>
      <c r="K751">
        <f t="shared" si="33"/>
        <v>9154.6</v>
      </c>
      <c r="L751">
        <f t="shared" si="34"/>
        <v>0</v>
      </c>
      <c r="M751">
        <f t="shared" si="35"/>
        <v>9154.6</v>
      </c>
      <c r="N751" t="s">
        <v>41</v>
      </c>
      <c r="O751" t="s">
        <v>29</v>
      </c>
      <c r="P751" t="s">
        <v>21</v>
      </c>
      <c r="Q751" t="s">
        <v>22</v>
      </c>
    </row>
    <row r="752" spans="1:17" x14ac:dyDescent="0.3">
      <c r="A752" t="s">
        <v>813</v>
      </c>
      <c r="B752" s="1">
        <v>45812</v>
      </c>
      <c r="C752" t="s">
        <v>15</v>
      </c>
      <c r="D752" t="s">
        <v>43</v>
      </c>
      <c r="E752" t="s">
        <v>27</v>
      </c>
      <c r="F752" t="s">
        <v>68</v>
      </c>
      <c r="G752">
        <v>4</v>
      </c>
      <c r="H752">
        <v>511.15</v>
      </c>
      <c r="I752">
        <v>0.16</v>
      </c>
      <c r="J752">
        <v>1717.46</v>
      </c>
      <c r="K752">
        <f t="shared" si="33"/>
        <v>2044.6</v>
      </c>
      <c r="L752">
        <f t="shared" si="34"/>
        <v>327.13999999999987</v>
      </c>
      <c r="M752">
        <f t="shared" si="35"/>
        <v>1717.46</v>
      </c>
      <c r="N752" t="s">
        <v>33</v>
      </c>
      <c r="O752" t="s">
        <v>34</v>
      </c>
      <c r="P752" t="s">
        <v>54</v>
      </c>
      <c r="Q752" t="s">
        <v>22</v>
      </c>
    </row>
    <row r="753" spans="1:17" x14ac:dyDescent="0.3">
      <c r="A753" t="s">
        <v>814</v>
      </c>
      <c r="B753" s="1">
        <v>45772</v>
      </c>
      <c r="C753" t="s">
        <v>36</v>
      </c>
      <c r="D753" t="s">
        <v>39</v>
      </c>
      <c r="E753" t="s">
        <v>61</v>
      </c>
      <c r="F753" t="s">
        <v>75</v>
      </c>
      <c r="G753">
        <v>4</v>
      </c>
      <c r="H753">
        <v>304.77999999999997</v>
      </c>
      <c r="I753">
        <v>0.2</v>
      </c>
      <c r="J753">
        <v>975.3</v>
      </c>
      <c r="K753">
        <f t="shared" si="33"/>
        <v>1219.1199999999999</v>
      </c>
      <c r="L753">
        <f t="shared" si="34"/>
        <v>243.81999999999994</v>
      </c>
      <c r="M753">
        <f t="shared" si="35"/>
        <v>975.3</v>
      </c>
      <c r="N753" t="s">
        <v>41</v>
      </c>
      <c r="O753" t="s">
        <v>29</v>
      </c>
      <c r="P753" t="s">
        <v>21</v>
      </c>
      <c r="Q753" t="s">
        <v>22</v>
      </c>
    </row>
    <row r="754" spans="1:17" x14ac:dyDescent="0.3">
      <c r="A754" t="s">
        <v>815</v>
      </c>
      <c r="B754" s="1">
        <v>45777</v>
      </c>
      <c r="C754" t="s">
        <v>24</v>
      </c>
      <c r="D754" t="s">
        <v>43</v>
      </c>
      <c r="E754" t="s">
        <v>61</v>
      </c>
      <c r="F754" t="s">
        <v>62</v>
      </c>
      <c r="G754">
        <v>5</v>
      </c>
      <c r="H754">
        <v>1329.36</v>
      </c>
      <c r="I754">
        <v>0.17</v>
      </c>
      <c r="J754">
        <v>5516.84</v>
      </c>
      <c r="K754">
        <f t="shared" si="33"/>
        <v>6646.7999999999993</v>
      </c>
      <c r="L754">
        <f t="shared" si="34"/>
        <v>1129.9599999999991</v>
      </c>
      <c r="M754">
        <f t="shared" si="35"/>
        <v>5516.84</v>
      </c>
      <c r="N754" t="s">
        <v>41</v>
      </c>
      <c r="O754" t="s">
        <v>34</v>
      </c>
      <c r="P754" t="s">
        <v>30</v>
      </c>
      <c r="Q754" t="s">
        <v>22</v>
      </c>
    </row>
    <row r="755" spans="1:17" x14ac:dyDescent="0.3">
      <c r="A755" t="s">
        <v>816</v>
      </c>
      <c r="B755" s="1">
        <v>45787</v>
      </c>
      <c r="C755" t="s">
        <v>24</v>
      </c>
      <c r="D755" t="s">
        <v>16</v>
      </c>
      <c r="E755" t="s">
        <v>27</v>
      </c>
      <c r="F755" t="s">
        <v>28</v>
      </c>
      <c r="G755">
        <v>5</v>
      </c>
      <c r="H755">
        <v>2859.1</v>
      </c>
      <c r="I755">
        <v>0.08</v>
      </c>
      <c r="J755">
        <v>13151.86</v>
      </c>
      <c r="K755">
        <f t="shared" si="33"/>
        <v>14295.5</v>
      </c>
      <c r="L755">
        <f t="shared" si="34"/>
        <v>1143.6399999999994</v>
      </c>
      <c r="M755">
        <f t="shared" si="35"/>
        <v>13151.86</v>
      </c>
      <c r="N755" t="s">
        <v>19</v>
      </c>
      <c r="O755" t="s">
        <v>29</v>
      </c>
      <c r="P755" t="s">
        <v>30</v>
      </c>
      <c r="Q755" t="s">
        <v>88</v>
      </c>
    </row>
    <row r="756" spans="1:17" x14ac:dyDescent="0.3">
      <c r="A756" t="s">
        <v>817</v>
      </c>
      <c r="B756" s="1">
        <v>45722</v>
      </c>
      <c r="C756" t="s">
        <v>48</v>
      </c>
      <c r="D756" t="s">
        <v>39</v>
      </c>
      <c r="E756" t="s">
        <v>27</v>
      </c>
      <c r="F756" t="s">
        <v>28</v>
      </c>
      <c r="G756">
        <v>5</v>
      </c>
      <c r="H756">
        <v>4791.34</v>
      </c>
      <c r="I756">
        <v>0.08</v>
      </c>
      <c r="J756">
        <v>22040.16</v>
      </c>
      <c r="K756">
        <f t="shared" si="33"/>
        <v>23956.7</v>
      </c>
      <c r="L756">
        <f t="shared" si="34"/>
        <v>1916.5400000000009</v>
      </c>
      <c r="M756">
        <f t="shared" si="35"/>
        <v>22040.16</v>
      </c>
      <c r="N756" t="s">
        <v>19</v>
      </c>
      <c r="O756" t="s">
        <v>29</v>
      </c>
      <c r="P756" t="s">
        <v>21</v>
      </c>
      <c r="Q756" t="s">
        <v>22</v>
      </c>
    </row>
    <row r="757" spans="1:17" x14ac:dyDescent="0.3">
      <c r="A757" t="s">
        <v>818</v>
      </c>
      <c r="B757" s="1">
        <v>45750</v>
      </c>
      <c r="C757" t="s">
        <v>52</v>
      </c>
      <c r="D757" t="s">
        <v>43</v>
      </c>
      <c r="E757" t="s">
        <v>49</v>
      </c>
      <c r="F757" t="s">
        <v>53</v>
      </c>
      <c r="G757">
        <v>2</v>
      </c>
      <c r="H757">
        <v>2353.02</v>
      </c>
      <c r="I757">
        <v>0.15</v>
      </c>
      <c r="J757">
        <v>4000.13</v>
      </c>
      <c r="K757">
        <f t="shared" si="33"/>
        <v>4706.04</v>
      </c>
      <c r="L757">
        <f t="shared" si="34"/>
        <v>705.90999999999985</v>
      </c>
      <c r="M757">
        <f t="shared" si="35"/>
        <v>4000.13</v>
      </c>
      <c r="N757" t="s">
        <v>46</v>
      </c>
      <c r="O757" t="s">
        <v>34</v>
      </c>
      <c r="P757" t="s">
        <v>54</v>
      </c>
      <c r="Q757" t="s">
        <v>22</v>
      </c>
    </row>
    <row r="758" spans="1:17" x14ac:dyDescent="0.3">
      <c r="A758" t="s">
        <v>819</v>
      </c>
      <c r="B758" s="1">
        <v>45745</v>
      </c>
      <c r="C758" t="s">
        <v>24</v>
      </c>
      <c r="D758" t="s">
        <v>25</v>
      </c>
      <c r="E758" t="s">
        <v>17</v>
      </c>
      <c r="F758" t="s">
        <v>40</v>
      </c>
      <c r="G758">
        <v>2</v>
      </c>
      <c r="H758">
        <v>2124.5</v>
      </c>
      <c r="I758">
        <v>0.22</v>
      </c>
      <c r="J758">
        <v>3314.22</v>
      </c>
      <c r="K758">
        <f t="shared" si="33"/>
        <v>4249</v>
      </c>
      <c r="L758">
        <f t="shared" si="34"/>
        <v>934.7800000000002</v>
      </c>
      <c r="M758">
        <f t="shared" si="35"/>
        <v>3314.22</v>
      </c>
      <c r="N758" t="s">
        <v>58</v>
      </c>
      <c r="O758" t="s">
        <v>29</v>
      </c>
      <c r="P758" t="s">
        <v>21</v>
      </c>
      <c r="Q758" t="s">
        <v>88</v>
      </c>
    </row>
    <row r="759" spans="1:17" x14ac:dyDescent="0.3">
      <c r="A759" t="s">
        <v>820</v>
      </c>
      <c r="B759" s="1">
        <v>45745</v>
      </c>
      <c r="C759" t="s">
        <v>24</v>
      </c>
      <c r="D759" t="s">
        <v>39</v>
      </c>
      <c r="E759" t="s">
        <v>27</v>
      </c>
      <c r="F759" t="s">
        <v>79</v>
      </c>
      <c r="G759">
        <v>4</v>
      </c>
      <c r="H759">
        <v>3394</v>
      </c>
      <c r="I759">
        <v>0.09</v>
      </c>
      <c r="J759">
        <v>12354.16</v>
      </c>
      <c r="K759">
        <f t="shared" si="33"/>
        <v>13576</v>
      </c>
      <c r="L759">
        <f t="shared" si="34"/>
        <v>1221.8400000000001</v>
      </c>
      <c r="M759">
        <f t="shared" si="35"/>
        <v>12354.16</v>
      </c>
      <c r="N759" t="s">
        <v>33</v>
      </c>
      <c r="O759" t="s">
        <v>20</v>
      </c>
      <c r="P759" t="s">
        <v>30</v>
      </c>
      <c r="Q759" t="s">
        <v>22</v>
      </c>
    </row>
    <row r="760" spans="1:17" x14ac:dyDescent="0.3">
      <c r="A760" t="s">
        <v>821</v>
      </c>
      <c r="B760" s="1">
        <v>45791</v>
      </c>
      <c r="C760" t="s">
        <v>48</v>
      </c>
      <c r="D760" t="s">
        <v>39</v>
      </c>
      <c r="E760" t="s">
        <v>17</v>
      </c>
      <c r="F760" t="s">
        <v>18</v>
      </c>
      <c r="G760">
        <v>4</v>
      </c>
      <c r="H760">
        <v>145.88</v>
      </c>
      <c r="I760">
        <v>0.19</v>
      </c>
      <c r="J760">
        <v>472.65</v>
      </c>
      <c r="K760">
        <f t="shared" si="33"/>
        <v>583.52</v>
      </c>
      <c r="L760">
        <f t="shared" si="34"/>
        <v>110.87</v>
      </c>
      <c r="M760">
        <f t="shared" si="35"/>
        <v>472.65</v>
      </c>
      <c r="N760" t="s">
        <v>46</v>
      </c>
      <c r="O760" t="s">
        <v>20</v>
      </c>
      <c r="P760" t="s">
        <v>30</v>
      </c>
      <c r="Q760" t="s">
        <v>22</v>
      </c>
    </row>
    <row r="761" spans="1:17" x14ac:dyDescent="0.3">
      <c r="A761" t="s">
        <v>822</v>
      </c>
      <c r="B761" s="1">
        <v>45701</v>
      </c>
      <c r="C761" t="s">
        <v>52</v>
      </c>
      <c r="D761" t="s">
        <v>43</v>
      </c>
      <c r="E761" t="s">
        <v>27</v>
      </c>
      <c r="F761" t="s">
        <v>28</v>
      </c>
      <c r="G761">
        <v>3</v>
      </c>
      <c r="H761">
        <v>280.3</v>
      </c>
      <c r="I761">
        <v>0.12</v>
      </c>
      <c r="J761">
        <v>739.99</v>
      </c>
      <c r="K761">
        <f t="shared" si="33"/>
        <v>840.90000000000009</v>
      </c>
      <c r="L761">
        <f t="shared" si="34"/>
        <v>100.91000000000008</v>
      </c>
      <c r="M761">
        <f t="shared" si="35"/>
        <v>739.99</v>
      </c>
      <c r="N761" t="s">
        <v>19</v>
      </c>
      <c r="O761" t="s">
        <v>34</v>
      </c>
      <c r="P761" t="s">
        <v>21</v>
      </c>
      <c r="Q761" t="s">
        <v>22</v>
      </c>
    </row>
    <row r="762" spans="1:17" x14ac:dyDescent="0.3">
      <c r="A762" t="s">
        <v>823</v>
      </c>
      <c r="B762" s="1">
        <v>45759</v>
      </c>
      <c r="C762" t="s">
        <v>15</v>
      </c>
      <c r="D762" t="s">
        <v>43</v>
      </c>
      <c r="E762" t="s">
        <v>49</v>
      </c>
      <c r="F762" t="s">
        <v>56</v>
      </c>
      <c r="G762">
        <v>4</v>
      </c>
      <c r="H762">
        <v>935.34</v>
      </c>
      <c r="I762">
        <v>0.05</v>
      </c>
      <c r="J762">
        <v>3554.29</v>
      </c>
      <c r="K762">
        <f t="shared" si="33"/>
        <v>3741.36</v>
      </c>
      <c r="L762">
        <f t="shared" si="34"/>
        <v>187.07000000000016</v>
      </c>
      <c r="M762">
        <f t="shared" si="35"/>
        <v>3554.29</v>
      </c>
      <c r="N762" t="s">
        <v>33</v>
      </c>
      <c r="O762" t="s">
        <v>29</v>
      </c>
      <c r="P762" t="s">
        <v>21</v>
      </c>
      <c r="Q762" t="s">
        <v>22</v>
      </c>
    </row>
    <row r="763" spans="1:17" x14ac:dyDescent="0.3">
      <c r="A763" t="s">
        <v>824</v>
      </c>
      <c r="B763" s="1">
        <v>45751</v>
      </c>
      <c r="C763" t="s">
        <v>52</v>
      </c>
      <c r="D763" t="s">
        <v>43</v>
      </c>
      <c r="E763" t="s">
        <v>61</v>
      </c>
      <c r="F763" t="s">
        <v>62</v>
      </c>
      <c r="G763">
        <v>2</v>
      </c>
      <c r="H763">
        <v>4416.92</v>
      </c>
      <c r="I763">
        <v>0.18</v>
      </c>
      <c r="J763">
        <v>7243.75</v>
      </c>
      <c r="K763">
        <f t="shared" si="33"/>
        <v>8833.84</v>
      </c>
      <c r="L763">
        <f t="shared" si="34"/>
        <v>1590.0900000000001</v>
      </c>
      <c r="M763">
        <f t="shared" si="35"/>
        <v>7243.75</v>
      </c>
      <c r="N763" t="s">
        <v>46</v>
      </c>
      <c r="O763" t="s">
        <v>29</v>
      </c>
      <c r="P763" t="s">
        <v>30</v>
      </c>
      <c r="Q763" t="s">
        <v>88</v>
      </c>
    </row>
    <row r="764" spans="1:17" x14ac:dyDescent="0.3">
      <c r="A764" t="s">
        <v>825</v>
      </c>
      <c r="B764" s="1">
        <v>45814</v>
      </c>
      <c r="C764" t="s">
        <v>36</v>
      </c>
      <c r="D764" t="s">
        <v>39</v>
      </c>
      <c r="E764" t="s">
        <v>17</v>
      </c>
      <c r="F764" t="s">
        <v>32</v>
      </c>
      <c r="G764">
        <v>4</v>
      </c>
      <c r="H764">
        <v>3240.73</v>
      </c>
      <c r="I764">
        <v>0.24</v>
      </c>
      <c r="J764">
        <v>9851.82</v>
      </c>
      <c r="K764">
        <f t="shared" si="33"/>
        <v>12962.92</v>
      </c>
      <c r="L764">
        <f t="shared" si="34"/>
        <v>3111.1000000000004</v>
      </c>
      <c r="M764">
        <f t="shared" si="35"/>
        <v>9851.82</v>
      </c>
      <c r="N764" t="s">
        <v>41</v>
      </c>
      <c r="O764" t="s">
        <v>20</v>
      </c>
      <c r="P764" t="s">
        <v>54</v>
      </c>
      <c r="Q764" t="s">
        <v>22</v>
      </c>
    </row>
    <row r="765" spans="1:17" x14ac:dyDescent="0.3">
      <c r="A765" t="s">
        <v>826</v>
      </c>
      <c r="B765" s="1">
        <v>45834</v>
      </c>
      <c r="C765" t="s">
        <v>24</v>
      </c>
      <c r="D765" t="s">
        <v>43</v>
      </c>
      <c r="E765" t="s">
        <v>49</v>
      </c>
      <c r="F765" t="s">
        <v>53</v>
      </c>
      <c r="G765">
        <v>4</v>
      </c>
      <c r="H765">
        <v>1871.21</v>
      </c>
      <c r="I765">
        <v>0.19</v>
      </c>
      <c r="J765">
        <v>6062.72</v>
      </c>
      <c r="K765">
        <f t="shared" si="33"/>
        <v>7484.84</v>
      </c>
      <c r="L765">
        <f t="shared" si="34"/>
        <v>1422.12</v>
      </c>
      <c r="M765">
        <f t="shared" si="35"/>
        <v>6062.72</v>
      </c>
      <c r="N765" t="s">
        <v>33</v>
      </c>
      <c r="O765" t="s">
        <v>34</v>
      </c>
      <c r="P765" t="s">
        <v>21</v>
      </c>
      <c r="Q765" t="s">
        <v>22</v>
      </c>
    </row>
    <row r="766" spans="1:17" x14ac:dyDescent="0.3">
      <c r="A766" t="s">
        <v>827</v>
      </c>
      <c r="B766" s="1">
        <v>45814</v>
      </c>
      <c r="C766" t="s">
        <v>15</v>
      </c>
      <c r="D766" t="s">
        <v>43</v>
      </c>
      <c r="E766" t="s">
        <v>49</v>
      </c>
      <c r="F766" t="s">
        <v>50</v>
      </c>
      <c r="G766">
        <v>2</v>
      </c>
      <c r="H766">
        <v>1740.06</v>
      </c>
      <c r="I766">
        <v>0.22</v>
      </c>
      <c r="J766">
        <v>2714.49</v>
      </c>
      <c r="K766">
        <f t="shared" si="33"/>
        <v>3480.12</v>
      </c>
      <c r="L766">
        <f t="shared" si="34"/>
        <v>765.63000000000011</v>
      </c>
      <c r="M766">
        <f t="shared" si="35"/>
        <v>2714.49</v>
      </c>
      <c r="N766" t="s">
        <v>58</v>
      </c>
      <c r="O766" t="s">
        <v>34</v>
      </c>
      <c r="P766" t="s">
        <v>54</v>
      </c>
      <c r="Q766" t="s">
        <v>59</v>
      </c>
    </row>
    <row r="767" spans="1:17" x14ac:dyDescent="0.3">
      <c r="A767" t="s">
        <v>828</v>
      </c>
      <c r="B767" s="1">
        <v>45802</v>
      </c>
      <c r="C767" t="s">
        <v>52</v>
      </c>
      <c r="D767" t="s">
        <v>16</v>
      </c>
      <c r="E767" t="s">
        <v>49</v>
      </c>
      <c r="F767" t="s">
        <v>56</v>
      </c>
      <c r="G767">
        <v>3</v>
      </c>
      <c r="H767">
        <v>1622.95</v>
      </c>
      <c r="I767">
        <v>0.16</v>
      </c>
      <c r="J767">
        <v>4089.83</v>
      </c>
      <c r="K767">
        <f t="shared" si="33"/>
        <v>4868.8500000000004</v>
      </c>
      <c r="L767">
        <f t="shared" si="34"/>
        <v>779.02000000000044</v>
      </c>
      <c r="M767">
        <f t="shared" si="35"/>
        <v>4089.83</v>
      </c>
      <c r="N767" t="s">
        <v>19</v>
      </c>
      <c r="O767" t="s">
        <v>20</v>
      </c>
      <c r="P767" t="s">
        <v>54</v>
      </c>
      <c r="Q767" t="s">
        <v>22</v>
      </c>
    </row>
    <row r="768" spans="1:17" x14ac:dyDescent="0.3">
      <c r="A768" t="s">
        <v>829</v>
      </c>
      <c r="B768" s="1">
        <v>45692</v>
      </c>
      <c r="C768" t="s">
        <v>15</v>
      </c>
      <c r="D768" t="s">
        <v>39</v>
      </c>
      <c r="E768" t="s">
        <v>17</v>
      </c>
      <c r="F768" t="s">
        <v>32</v>
      </c>
      <c r="G768">
        <v>4</v>
      </c>
      <c r="H768">
        <v>1267.96</v>
      </c>
      <c r="I768">
        <v>0.09</v>
      </c>
      <c r="J768">
        <v>4615.37</v>
      </c>
      <c r="K768">
        <f t="shared" si="33"/>
        <v>5071.84</v>
      </c>
      <c r="L768">
        <f t="shared" si="34"/>
        <v>456.47000000000025</v>
      </c>
      <c r="M768">
        <f t="shared" si="35"/>
        <v>4615.37</v>
      </c>
      <c r="N768" t="s">
        <v>19</v>
      </c>
      <c r="O768" t="s">
        <v>20</v>
      </c>
      <c r="P768" t="s">
        <v>54</v>
      </c>
      <c r="Q768" t="s">
        <v>22</v>
      </c>
    </row>
    <row r="769" spans="1:17" x14ac:dyDescent="0.3">
      <c r="A769" t="s">
        <v>830</v>
      </c>
      <c r="B769" s="1">
        <v>45787</v>
      </c>
      <c r="C769" t="s">
        <v>36</v>
      </c>
      <c r="D769" t="s">
        <v>16</v>
      </c>
      <c r="E769" t="s">
        <v>61</v>
      </c>
      <c r="F769" t="s">
        <v>62</v>
      </c>
      <c r="G769">
        <v>1</v>
      </c>
      <c r="H769">
        <v>3164.21</v>
      </c>
      <c r="I769">
        <v>0.14000000000000001</v>
      </c>
      <c r="J769">
        <v>2721.22</v>
      </c>
      <c r="K769">
        <f t="shared" si="33"/>
        <v>3164.21</v>
      </c>
      <c r="L769">
        <f t="shared" si="34"/>
        <v>442.99000000000024</v>
      </c>
      <c r="M769">
        <f t="shared" si="35"/>
        <v>2721.22</v>
      </c>
      <c r="N769" t="s">
        <v>33</v>
      </c>
      <c r="O769" t="s">
        <v>34</v>
      </c>
      <c r="P769" t="s">
        <v>54</v>
      </c>
      <c r="Q769" t="s">
        <v>37</v>
      </c>
    </row>
    <row r="770" spans="1:17" x14ac:dyDescent="0.3">
      <c r="A770" t="s">
        <v>831</v>
      </c>
      <c r="B770" s="1">
        <v>45676</v>
      </c>
      <c r="C770" t="s">
        <v>24</v>
      </c>
      <c r="D770" t="s">
        <v>16</v>
      </c>
      <c r="E770" t="s">
        <v>49</v>
      </c>
      <c r="F770" t="s">
        <v>53</v>
      </c>
      <c r="G770">
        <v>4</v>
      </c>
      <c r="H770">
        <v>368.47</v>
      </c>
      <c r="I770">
        <v>0.15</v>
      </c>
      <c r="J770">
        <v>1252.8</v>
      </c>
      <c r="K770">
        <f t="shared" si="33"/>
        <v>1473.88</v>
      </c>
      <c r="L770">
        <f t="shared" si="34"/>
        <v>221.08000000000015</v>
      </c>
      <c r="M770">
        <f t="shared" si="35"/>
        <v>1252.8</v>
      </c>
      <c r="N770" t="s">
        <v>19</v>
      </c>
      <c r="O770" t="s">
        <v>20</v>
      </c>
      <c r="P770" t="s">
        <v>30</v>
      </c>
      <c r="Q770" t="s">
        <v>22</v>
      </c>
    </row>
    <row r="771" spans="1:17" x14ac:dyDescent="0.3">
      <c r="A771" t="s">
        <v>832</v>
      </c>
      <c r="B771" s="1">
        <v>45715</v>
      </c>
      <c r="C771" t="s">
        <v>15</v>
      </c>
      <c r="D771" t="s">
        <v>16</v>
      </c>
      <c r="E771" t="s">
        <v>17</v>
      </c>
      <c r="F771" t="s">
        <v>18</v>
      </c>
      <c r="G771">
        <v>1</v>
      </c>
      <c r="H771">
        <v>3124.78</v>
      </c>
      <c r="I771">
        <v>0.1</v>
      </c>
      <c r="J771">
        <v>2812.3</v>
      </c>
      <c r="K771">
        <f t="shared" ref="K771:K834" si="36">G771*H771</f>
        <v>3124.78</v>
      </c>
      <c r="L771">
        <f t="shared" ref="L771:L834" si="37">K771-J771</f>
        <v>312.48</v>
      </c>
      <c r="M771">
        <f t="shared" ref="M771:M834" si="38">K771-L771</f>
        <v>2812.3</v>
      </c>
      <c r="N771" t="s">
        <v>41</v>
      </c>
      <c r="O771" t="s">
        <v>34</v>
      </c>
      <c r="P771" t="s">
        <v>21</v>
      </c>
      <c r="Q771" t="s">
        <v>22</v>
      </c>
    </row>
    <row r="772" spans="1:17" x14ac:dyDescent="0.3">
      <c r="A772" t="s">
        <v>833</v>
      </c>
      <c r="B772" s="1">
        <v>45760</v>
      </c>
      <c r="C772" t="s">
        <v>36</v>
      </c>
      <c r="D772" t="s">
        <v>25</v>
      </c>
      <c r="E772" t="s">
        <v>49</v>
      </c>
      <c r="F772" t="s">
        <v>50</v>
      </c>
      <c r="G772">
        <v>3</v>
      </c>
      <c r="H772">
        <v>3289.51</v>
      </c>
      <c r="I772">
        <v>0.17</v>
      </c>
      <c r="J772">
        <v>8190.88</v>
      </c>
      <c r="K772">
        <f t="shared" si="36"/>
        <v>9868.5300000000007</v>
      </c>
      <c r="L772">
        <f t="shared" si="37"/>
        <v>1677.6500000000005</v>
      </c>
      <c r="M772">
        <f t="shared" si="38"/>
        <v>8190.88</v>
      </c>
      <c r="N772" t="s">
        <v>33</v>
      </c>
      <c r="O772" t="s">
        <v>20</v>
      </c>
      <c r="P772" t="s">
        <v>54</v>
      </c>
      <c r="Q772" t="s">
        <v>22</v>
      </c>
    </row>
    <row r="773" spans="1:17" x14ac:dyDescent="0.3">
      <c r="A773" t="s">
        <v>834</v>
      </c>
      <c r="B773" s="1">
        <v>45788</v>
      </c>
      <c r="C773" t="s">
        <v>24</v>
      </c>
      <c r="D773" t="s">
        <v>43</v>
      </c>
      <c r="E773" t="s">
        <v>27</v>
      </c>
      <c r="F773" t="s">
        <v>68</v>
      </c>
      <c r="G773">
        <v>5</v>
      </c>
      <c r="H773">
        <v>3595.17</v>
      </c>
      <c r="I773">
        <v>0.15</v>
      </c>
      <c r="J773">
        <v>15279.47</v>
      </c>
      <c r="K773">
        <f t="shared" si="36"/>
        <v>17975.849999999999</v>
      </c>
      <c r="L773">
        <f t="shared" si="37"/>
        <v>2696.3799999999992</v>
      </c>
      <c r="M773">
        <f t="shared" si="38"/>
        <v>15279.47</v>
      </c>
      <c r="N773" t="s">
        <v>58</v>
      </c>
      <c r="O773" t="s">
        <v>20</v>
      </c>
      <c r="P773" t="s">
        <v>54</v>
      </c>
      <c r="Q773" t="s">
        <v>22</v>
      </c>
    </row>
    <row r="774" spans="1:17" x14ac:dyDescent="0.3">
      <c r="A774" t="s">
        <v>835</v>
      </c>
      <c r="B774" s="1">
        <v>45782</v>
      </c>
      <c r="C774" t="s">
        <v>48</v>
      </c>
      <c r="D774" t="s">
        <v>16</v>
      </c>
      <c r="E774" t="s">
        <v>99</v>
      </c>
      <c r="F774" t="s">
        <v>111</v>
      </c>
      <c r="G774">
        <v>5</v>
      </c>
      <c r="H774">
        <v>2278.66</v>
      </c>
      <c r="I774">
        <v>0.06</v>
      </c>
      <c r="J774">
        <v>10709.7</v>
      </c>
      <c r="K774">
        <f t="shared" si="36"/>
        <v>11393.3</v>
      </c>
      <c r="L774">
        <f t="shared" si="37"/>
        <v>683.59999999999854</v>
      </c>
      <c r="M774">
        <f t="shared" si="38"/>
        <v>10709.7</v>
      </c>
      <c r="N774" t="s">
        <v>41</v>
      </c>
      <c r="O774" t="s">
        <v>29</v>
      </c>
      <c r="P774" t="s">
        <v>54</v>
      </c>
      <c r="Q774" t="s">
        <v>22</v>
      </c>
    </row>
    <row r="775" spans="1:17" x14ac:dyDescent="0.3">
      <c r="A775" t="s">
        <v>836</v>
      </c>
      <c r="B775" s="1">
        <v>45780</v>
      </c>
      <c r="C775" t="s">
        <v>36</v>
      </c>
      <c r="D775" t="s">
        <v>25</v>
      </c>
      <c r="E775" t="s">
        <v>27</v>
      </c>
      <c r="F775" t="s">
        <v>87</v>
      </c>
      <c r="G775">
        <v>5</v>
      </c>
      <c r="H775">
        <v>4437.59</v>
      </c>
      <c r="I775">
        <v>0.19</v>
      </c>
      <c r="J775">
        <v>17972.240000000002</v>
      </c>
      <c r="K775">
        <f t="shared" si="36"/>
        <v>22187.95</v>
      </c>
      <c r="L775">
        <f t="shared" si="37"/>
        <v>4215.7099999999991</v>
      </c>
      <c r="M775">
        <f t="shared" si="38"/>
        <v>17972.240000000002</v>
      </c>
      <c r="N775" t="s">
        <v>46</v>
      </c>
      <c r="O775" t="s">
        <v>34</v>
      </c>
      <c r="P775" t="s">
        <v>54</v>
      </c>
      <c r="Q775" t="s">
        <v>22</v>
      </c>
    </row>
    <row r="776" spans="1:17" x14ac:dyDescent="0.3">
      <c r="A776" t="s">
        <v>837</v>
      </c>
      <c r="B776" s="1">
        <v>45725</v>
      </c>
      <c r="C776" t="s">
        <v>15</v>
      </c>
      <c r="D776" t="s">
        <v>16</v>
      </c>
      <c r="E776" t="s">
        <v>99</v>
      </c>
      <c r="F776" t="s">
        <v>111</v>
      </c>
      <c r="G776">
        <v>5</v>
      </c>
      <c r="H776">
        <v>3322.62</v>
      </c>
      <c r="I776">
        <v>0.04</v>
      </c>
      <c r="J776">
        <v>15948.58</v>
      </c>
      <c r="K776">
        <f t="shared" si="36"/>
        <v>16613.099999999999</v>
      </c>
      <c r="L776">
        <f t="shared" si="37"/>
        <v>664.51999999999862</v>
      </c>
      <c r="M776">
        <f t="shared" si="38"/>
        <v>15948.58</v>
      </c>
      <c r="N776" t="s">
        <v>58</v>
      </c>
      <c r="O776" t="s">
        <v>29</v>
      </c>
      <c r="P776" t="s">
        <v>54</v>
      </c>
      <c r="Q776" t="s">
        <v>22</v>
      </c>
    </row>
    <row r="777" spans="1:17" x14ac:dyDescent="0.3">
      <c r="A777" t="s">
        <v>838</v>
      </c>
      <c r="B777" s="1">
        <v>45678</v>
      </c>
      <c r="C777" t="s">
        <v>52</v>
      </c>
      <c r="D777" t="s">
        <v>39</v>
      </c>
      <c r="E777" t="s">
        <v>61</v>
      </c>
      <c r="F777" t="s">
        <v>75</v>
      </c>
      <c r="G777">
        <v>2</v>
      </c>
      <c r="H777">
        <v>3372.51</v>
      </c>
      <c r="I777">
        <v>0.17</v>
      </c>
      <c r="J777">
        <v>5598.37</v>
      </c>
      <c r="K777">
        <f t="shared" si="36"/>
        <v>6745.02</v>
      </c>
      <c r="L777">
        <f t="shared" si="37"/>
        <v>1146.6500000000005</v>
      </c>
      <c r="M777">
        <f t="shared" si="38"/>
        <v>5598.37</v>
      </c>
      <c r="N777" t="s">
        <v>58</v>
      </c>
      <c r="O777" t="s">
        <v>34</v>
      </c>
      <c r="P777" t="s">
        <v>30</v>
      </c>
      <c r="Q777" t="s">
        <v>37</v>
      </c>
    </row>
    <row r="778" spans="1:17" x14ac:dyDescent="0.3">
      <c r="A778" t="s">
        <v>839</v>
      </c>
      <c r="B778" s="1">
        <v>45818</v>
      </c>
      <c r="C778" t="s">
        <v>36</v>
      </c>
      <c r="D778" t="s">
        <v>25</v>
      </c>
      <c r="E778" t="s">
        <v>27</v>
      </c>
      <c r="F778" t="s">
        <v>28</v>
      </c>
      <c r="G778">
        <v>3</v>
      </c>
      <c r="H778">
        <v>895.17</v>
      </c>
      <c r="I778">
        <v>0.11</v>
      </c>
      <c r="J778">
        <v>2390.1</v>
      </c>
      <c r="K778">
        <f t="shared" si="36"/>
        <v>2685.5099999999998</v>
      </c>
      <c r="L778">
        <f t="shared" si="37"/>
        <v>295.40999999999985</v>
      </c>
      <c r="M778">
        <f t="shared" si="38"/>
        <v>2390.1</v>
      </c>
      <c r="N778" t="s">
        <v>46</v>
      </c>
      <c r="O778" t="s">
        <v>34</v>
      </c>
      <c r="P778" t="s">
        <v>54</v>
      </c>
      <c r="Q778" t="s">
        <v>22</v>
      </c>
    </row>
    <row r="779" spans="1:17" x14ac:dyDescent="0.3">
      <c r="A779" t="s">
        <v>840</v>
      </c>
      <c r="B779" s="1">
        <v>45805</v>
      </c>
      <c r="C779" t="s">
        <v>52</v>
      </c>
      <c r="D779" t="s">
        <v>25</v>
      </c>
      <c r="E779" t="s">
        <v>17</v>
      </c>
      <c r="F779" t="s">
        <v>44</v>
      </c>
      <c r="G779">
        <v>2</v>
      </c>
      <c r="H779">
        <v>1271.19</v>
      </c>
      <c r="I779">
        <v>0.18</v>
      </c>
      <c r="J779">
        <v>2084.75</v>
      </c>
      <c r="K779">
        <f t="shared" si="36"/>
        <v>2542.38</v>
      </c>
      <c r="L779">
        <f t="shared" si="37"/>
        <v>457.63000000000011</v>
      </c>
      <c r="M779">
        <f t="shared" si="38"/>
        <v>2084.75</v>
      </c>
      <c r="N779" t="s">
        <v>41</v>
      </c>
      <c r="O779" t="s">
        <v>29</v>
      </c>
      <c r="P779" t="s">
        <v>30</v>
      </c>
      <c r="Q779" t="s">
        <v>22</v>
      </c>
    </row>
    <row r="780" spans="1:17" x14ac:dyDescent="0.3">
      <c r="A780" t="s">
        <v>841</v>
      </c>
      <c r="B780" s="1">
        <v>45705</v>
      </c>
      <c r="C780" t="s">
        <v>15</v>
      </c>
      <c r="D780" t="s">
        <v>25</v>
      </c>
      <c r="E780" t="s">
        <v>61</v>
      </c>
      <c r="F780" t="s">
        <v>62</v>
      </c>
      <c r="G780">
        <v>3</v>
      </c>
      <c r="H780">
        <v>247.09</v>
      </c>
      <c r="I780">
        <v>0.03</v>
      </c>
      <c r="J780">
        <v>719.03</v>
      </c>
      <c r="K780">
        <f t="shared" si="36"/>
        <v>741.27</v>
      </c>
      <c r="L780">
        <f t="shared" si="37"/>
        <v>22.240000000000009</v>
      </c>
      <c r="M780">
        <f t="shared" si="38"/>
        <v>719.03</v>
      </c>
      <c r="N780" t="s">
        <v>58</v>
      </c>
      <c r="O780" t="s">
        <v>20</v>
      </c>
      <c r="P780" t="s">
        <v>30</v>
      </c>
      <c r="Q780" t="s">
        <v>22</v>
      </c>
    </row>
    <row r="781" spans="1:17" x14ac:dyDescent="0.3">
      <c r="A781" t="s">
        <v>842</v>
      </c>
      <c r="B781" s="1">
        <v>45790</v>
      </c>
      <c r="C781" t="s">
        <v>24</v>
      </c>
      <c r="D781" t="s">
        <v>43</v>
      </c>
      <c r="E781" t="s">
        <v>27</v>
      </c>
      <c r="F781" t="s">
        <v>28</v>
      </c>
      <c r="G781">
        <v>2</v>
      </c>
      <c r="H781">
        <v>1492.09</v>
      </c>
      <c r="I781">
        <v>0.05</v>
      </c>
      <c r="J781">
        <v>2834.97</v>
      </c>
      <c r="K781">
        <f t="shared" si="36"/>
        <v>2984.18</v>
      </c>
      <c r="L781">
        <f t="shared" si="37"/>
        <v>149.21000000000004</v>
      </c>
      <c r="M781">
        <f t="shared" si="38"/>
        <v>2834.97</v>
      </c>
      <c r="N781" t="s">
        <v>58</v>
      </c>
      <c r="O781" t="s">
        <v>20</v>
      </c>
      <c r="P781" t="s">
        <v>30</v>
      </c>
      <c r="Q781" t="s">
        <v>22</v>
      </c>
    </row>
    <row r="782" spans="1:17" x14ac:dyDescent="0.3">
      <c r="A782" t="s">
        <v>843</v>
      </c>
      <c r="B782" s="1">
        <v>45720</v>
      </c>
      <c r="C782" t="s">
        <v>52</v>
      </c>
      <c r="D782" t="s">
        <v>43</v>
      </c>
      <c r="E782" t="s">
        <v>27</v>
      </c>
      <c r="F782" t="s">
        <v>68</v>
      </c>
      <c r="G782">
        <v>2</v>
      </c>
      <c r="H782">
        <v>4230.12</v>
      </c>
      <c r="I782">
        <v>0.23</v>
      </c>
      <c r="J782">
        <v>6514.38</v>
      </c>
      <c r="K782">
        <f t="shared" si="36"/>
        <v>8460.24</v>
      </c>
      <c r="L782">
        <f t="shared" si="37"/>
        <v>1945.8599999999997</v>
      </c>
      <c r="M782">
        <f t="shared" si="38"/>
        <v>6514.38</v>
      </c>
      <c r="N782" t="s">
        <v>19</v>
      </c>
      <c r="O782" t="s">
        <v>20</v>
      </c>
      <c r="P782" t="s">
        <v>54</v>
      </c>
      <c r="Q782" t="s">
        <v>22</v>
      </c>
    </row>
    <row r="783" spans="1:17" x14ac:dyDescent="0.3">
      <c r="A783" t="s">
        <v>844</v>
      </c>
      <c r="B783" s="1">
        <v>45703</v>
      </c>
      <c r="C783" t="s">
        <v>52</v>
      </c>
      <c r="D783" t="s">
        <v>25</v>
      </c>
      <c r="E783" t="s">
        <v>17</v>
      </c>
      <c r="F783" t="s">
        <v>32</v>
      </c>
      <c r="G783">
        <v>2</v>
      </c>
      <c r="H783">
        <v>1911.24</v>
      </c>
      <c r="I783">
        <v>0.09</v>
      </c>
      <c r="J783">
        <v>3478.46</v>
      </c>
      <c r="K783">
        <f t="shared" si="36"/>
        <v>3822.48</v>
      </c>
      <c r="L783">
        <f t="shared" si="37"/>
        <v>344.02</v>
      </c>
      <c r="M783">
        <f t="shared" si="38"/>
        <v>3478.46</v>
      </c>
      <c r="N783" t="s">
        <v>46</v>
      </c>
      <c r="O783" t="s">
        <v>34</v>
      </c>
      <c r="P783" t="s">
        <v>54</v>
      </c>
      <c r="Q783" t="s">
        <v>37</v>
      </c>
    </row>
    <row r="784" spans="1:17" x14ac:dyDescent="0.3">
      <c r="A784" t="s">
        <v>845</v>
      </c>
      <c r="B784" s="1">
        <v>45816</v>
      </c>
      <c r="C784" t="s">
        <v>52</v>
      </c>
      <c r="D784" t="s">
        <v>25</v>
      </c>
      <c r="E784" t="s">
        <v>17</v>
      </c>
      <c r="F784" t="s">
        <v>18</v>
      </c>
      <c r="G784">
        <v>2</v>
      </c>
      <c r="H784">
        <v>2709.52</v>
      </c>
      <c r="I784">
        <v>0.17</v>
      </c>
      <c r="J784">
        <v>4497.8</v>
      </c>
      <c r="K784">
        <f t="shared" si="36"/>
        <v>5419.04</v>
      </c>
      <c r="L784">
        <f t="shared" si="37"/>
        <v>921.23999999999978</v>
      </c>
      <c r="M784">
        <f t="shared" si="38"/>
        <v>4497.8</v>
      </c>
      <c r="N784" t="s">
        <v>19</v>
      </c>
      <c r="O784" t="s">
        <v>20</v>
      </c>
      <c r="P784" t="s">
        <v>30</v>
      </c>
      <c r="Q784" t="s">
        <v>59</v>
      </c>
    </row>
    <row r="785" spans="1:17" x14ac:dyDescent="0.3">
      <c r="A785" t="s">
        <v>846</v>
      </c>
      <c r="B785" s="1">
        <v>45698</v>
      </c>
      <c r="C785" t="s">
        <v>36</v>
      </c>
      <c r="D785" t="s">
        <v>16</v>
      </c>
      <c r="E785" t="s">
        <v>61</v>
      </c>
      <c r="F785" t="s">
        <v>62</v>
      </c>
      <c r="G785">
        <v>5</v>
      </c>
      <c r="H785">
        <v>1541.5</v>
      </c>
      <c r="I785">
        <v>0.04</v>
      </c>
      <c r="J785">
        <v>7399.2</v>
      </c>
      <c r="K785">
        <f t="shared" si="36"/>
        <v>7707.5</v>
      </c>
      <c r="L785">
        <f t="shared" si="37"/>
        <v>308.30000000000018</v>
      </c>
      <c r="M785">
        <f t="shared" si="38"/>
        <v>7399.2</v>
      </c>
      <c r="N785" t="s">
        <v>33</v>
      </c>
      <c r="O785" t="s">
        <v>20</v>
      </c>
      <c r="P785" t="s">
        <v>54</v>
      </c>
      <c r="Q785" t="s">
        <v>22</v>
      </c>
    </row>
    <row r="786" spans="1:17" x14ac:dyDescent="0.3">
      <c r="A786" t="s">
        <v>847</v>
      </c>
      <c r="B786" s="1">
        <v>45688</v>
      </c>
      <c r="C786" t="s">
        <v>36</v>
      </c>
      <c r="D786" t="s">
        <v>16</v>
      </c>
      <c r="E786" t="s">
        <v>99</v>
      </c>
      <c r="F786" t="s">
        <v>100</v>
      </c>
      <c r="G786">
        <v>2</v>
      </c>
      <c r="H786">
        <v>3663.76</v>
      </c>
      <c r="I786">
        <v>0.2</v>
      </c>
      <c r="J786">
        <v>5862.02</v>
      </c>
      <c r="K786">
        <f t="shared" si="36"/>
        <v>7327.52</v>
      </c>
      <c r="L786">
        <f t="shared" si="37"/>
        <v>1465.5</v>
      </c>
      <c r="M786">
        <f t="shared" si="38"/>
        <v>5862.02</v>
      </c>
      <c r="N786" t="s">
        <v>33</v>
      </c>
      <c r="O786" t="s">
        <v>34</v>
      </c>
      <c r="P786" t="s">
        <v>21</v>
      </c>
      <c r="Q786" t="s">
        <v>22</v>
      </c>
    </row>
    <row r="787" spans="1:17" x14ac:dyDescent="0.3">
      <c r="A787" t="s">
        <v>848</v>
      </c>
      <c r="B787" s="1">
        <v>45664</v>
      </c>
      <c r="C787" t="s">
        <v>48</v>
      </c>
      <c r="D787" t="s">
        <v>25</v>
      </c>
      <c r="E787" t="s">
        <v>49</v>
      </c>
      <c r="F787" t="s">
        <v>53</v>
      </c>
      <c r="G787">
        <v>2</v>
      </c>
      <c r="H787">
        <v>1676.93</v>
      </c>
      <c r="I787">
        <v>0.09</v>
      </c>
      <c r="J787">
        <v>3052.01</v>
      </c>
      <c r="K787">
        <f t="shared" si="36"/>
        <v>3353.86</v>
      </c>
      <c r="L787">
        <f t="shared" si="37"/>
        <v>301.84999999999991</v>
      </c>
      <c r="M787">
        <f t="shared" si="38"/>
        <v>3052.01</v>
      </c>
      <c r="N787" t="s">
        <v>33</v>
      </c>
      <c r="O787" t="s">
        <v>34</v>
      </c>
      <c r="P787" t="s">
        <v>21</v>
      </c>
      <c r="Q787" t="s">
        <v>22</v>
      </c>
    </row>
    <row r="788" spans="1:17" x14ac:dyDescent="0.3">
      <c r="A788" t="s">
        <v>849</v>
      </c>
      <c r="B788" s="1">
        <v>45668</v>
      </c>
      <c r="C788" t="s">
        <v>15</v>
      </c>
      <c r="D788" t="s">
        <v>25</v>
      </c>
      <c r="E788" t="s">
        <v>49</v>
      </c>
      <c r="F788" t="s">
        <v>50</v>
      </c>
      <c r="G788">
        <v>5</v>
      </c>
      <c r="H788">
        <v>3283.71</v>
      </c>
      <c r="I788">
        <v>0.05</v>
      </c>
      <c r="J788">
        <v>15597.62</v>
      </c>
      <c r="K788">
        <f t="shared" si="36"/>
        <v>16418.55</v>
      </c>
      <c r="L788">
        <f t="shared" si="37"/>
        <v>820.92999999999847</v>
      </c>
      <c r="M788">
        <f t="shared" si="38"/>
        <v>15597.62</v>
      </c>
      <c r="N788" t="s">
        <v>33</v>
      </c>
      <c r="O788" t="s">
        <v>34</v>
      </c>
      <c r="P788" t="s">
        <v>54</v>
      </c>
      <c r="Q788" t="s">
        <v>37</v>
      </c>
    </row>
    <row r="789" spans="1:17" x14ac:dyDescent="0.3">
      <c r="A789" t="s">
        <v>850</v>
      </c>
      <c r="B789" s="1">
        <v>45707</v>
      </c>
      <c r="C789" t="s">
        <v>15</v>
      </c>
      <c r="D789" t="s">
        <v>16</v>
      </c>
      <c r="E789" t="s">
        <v>49</v>
      </c>
      <c r="F789" t="s">
        <v>73</v>
      </c>
      <c r="G789">
        <v>5</v>
      </c>
      <c r="H789">
        <v>870.33</v>
      </c>
      <c r="I789">
        <v>0.21</v>
      </c>
      <c r="J789">
        <v>3437.8</v>
      </c>
      <c r="K789">
        <f t="shared" si="36"/>
        <v>4351.6500000000005</v>
      </c>
      <c r="L789">
        <f t="shared" si="37"/>
        <v>913.85000000000036</v>
      </c>
      <c r="M789">
        <f t="shared" si="38"/>
        <v>3437.8</v>
      </c>
      <c r="N789" t="s">
        <v>41</v>
      </c>
      <c r="O789" t="s">
        <v>34</v>
      </c>
      <c r="P789" t="s">
        <v>30</v>
      </c>
      <c r="Q789" t="s">
        <v>22</v>
      </c>
    </row>
    <row r="790" spans="1:17" x14ac:dyDescent="0.3">
      <c r="A790" t="s">
        <v>851</v>
      </c>
      <c r="B790" s="1">
        <v>45752</v>
      </c>
      <c r="C790" t="s">
        <v>48</v>
      </c>
      <c r="D790" t="s">
        <v>39</v>
      </c>
      <c r="E790" t="s">
        <v>17</v>
      </c>
      <c r="F790" t="s">
        <v>32</v>
      </c>
      <c r="G790">
        <v>2</v>
      </c>
      <c r="H790">
        <v>2961.41</v>
      </c>
      <c r="I790">
        <v>0.12</v>
      </c>
      <c r="J790">
        <v>5212.08</v>
      </c>
      <c r="K790">
        <f t="shared" si="36"/>
        <v>5922.82</v>
      </c>
      <c r="L790">
        <f t="shared" si="37"/>
        <v>710.73999999999978</v>
      </c>
      <c r="M790">
        <f t="shared" si="38"/>
        <v>5212.08</v>
      </c>
      <c r="N790" t="s">
        <v>33</v>
      </c>
      <c r="O790" t="s">
        <v>34</v>
      </c>
      <c r="P790" t="s">
        <v>21</v>
      </c>
      <c r="Q790" t="s">
        <v>22</v>
      </c>
    </row>
    <row r="791" spans="1:17" x14ac:dyDescent="0.3">
      <c r="A791" t="s">
        <v>852</v>
      </c>
      <c r="B791" s="1">
        <v>45778</v>
      </c>
      <c r="C791" t="s">
        <v>48</v>
      </c>
      <c r="D791" t="s">
        <v>43</v>
      </c>
      <c r="E791" t="s">
        <v>49</v>
      </c>
      <c r="F791" t="s">
        <v>50</v>
      </c>
      <c r="G791">
        <v>3</v>
      </c>
      <c r="H791">
        <v>1437.8</v>
      </c>
      <c r="I791">
        <v>0.01</v>
      </c>
      <c r="J791">
        <v>4270.2700000000004</v>
      </c>
      <c r="K791">
        <f t="shared" si="36"/>
        <v>4313.3999999999996</v>
      </c>
      <c r="L791">
        <f t="shared" si="37"/>
        <v>43.1299999999992</v>
      </c>
      <c r="M791">
        <f t="shared" si="38"/>
        <v>4270.2700000000004</v>
      </c>
      <c r="N791" t="s">
        <v>46</v>
      </c>
      <c r="O791" t="s">
        <v>34</v>
      </c>
      <c r="P791" t="s">
        <v>30</v>
      </c>
      <c r="Q791" t="s">
        <v>22</v>
      </c>
    </row>
    <row r="792" spans="1:17" x14ac:dyDescent="0.3">
      <c r="A792" t="s">
        <v>853</v>
      </c>
      <c r="B792" s="1">
        <v>45825</v>
      </c>
      <c r="C792" t="s">
        <v>24</v>
      </c>
      <c r="D792" t="s">
        <v>43</v>
      </c>
      <c r="E792" t="s">
        <v>17</v>
      </c>
      <c r="F792" t="s">
        <v>32</v>
      </c>
      <c r="G792">
        <v>5</v>
      </c>
      <c r="H792">
        <v>2778.59</v>
      </c>
      <c r="I792">
        <v>0.02</v>
      </c>
      <c r="J792">
        <v>13615.09</v>
      </c>
      <c r="K792">
        <f t="shared" si="36"/>
        <v>13892.95</v>
      </c>
      <c r="L792">
        <f t="shared" si="37"/>
        <v>277.86000000000058</v>
      </c>
      <c r="M792">
        <f t="shared" si="38"/>
        <v>13615.09</v>
      </c>
      <c r="N792" t="s">
        <v>46</v>
      </c>
      <c r="O792" t="s">
        <v>29</v>
      </c>
      <c r="P792" t="s">
        <v>30</v>
      </c>
      <c r="Q792" t="s">
        <v>22</v>
      </c>
    </row>
    <row r="793" spans="1:17" x14ac:dyDescent="0.3">
      <c r="A793" t="s">
        <v>854</v>
      </c>
      <c r="B793" s="1">
        <v>45809</v>
      </c>
      <c r="C793" t="s">
        <v>24</v>
      </c>
      <c r="D793" t="s">
        <v>39</v>
      </c>
      <c r="E793" t="s">
        <v>17</v>
      </c>
      <c r="F793" t="s">
        <v>32</v>
      </c>
      <c r="G793">
        <v>3</v>
      </c>
      <c r="H793">
        <v>1063.57</v>
      </c>
      <c r="I793">
        <v>0.08</v>
      </c>
      <c r="J793">
        <v>2935.45</v>
      </c>
      <c r="K793">
        <f t="shared" si="36"/>
        <v>3190.71</v>
      </c>
      <c r="L793">
        <f t="shared" si="37"/>
        <v>255.26000000000022</v>
      </c>
      <c r="M793">
        <f t="shared" si="38"/>
        <v>2935.45</v>
      </c>
      <c r="N793" t="s">
        <v>33</v>
      </c>
      <c r="O793" t="s">
        <v>20</v>
      </c>
      <c r="P793" t="s">
        <v>30</v>
      </c>
      <c r="Q793" t="s">
        <v>22</v>
      </c>
    </row>
    <row r="794" spans="1:17" x14ac:dyDescent="0.3">
      <c r="A794" t="s">
        <v>855</v>
      </c>
      <c r="B794" s="1">
        <v>45674</v>
      </c>
      <c r="C794" t="s">
        <v>36</v>
      </c>
      <c r="D794" t="s">
        <v>25</v>
      </c>
      <c r="E794" t="s">
        <v>27</v>
      </c>
      <c r="F794" t="s">
        <v>68</v>
      </c>
      <c r="G794">
        <v>3</v>
      </c>
      <c r="H794">
        <v>1481.04</v>
      </c>
      <c r="I794">
        <v>0.09</v>
      </c>
      <c r="J794">
        <v>4043.24</v>
      </c>
      <c r="K794">
        <f t="shared" si="36"/>
        <v>4443.12</v>
      </c>
      <c r="L794">
        <f t="shared" si="37"/>
        <v>399.88000000000011</v>
      </c>
      <c r="M794">
        <f t="shared" si="38"/>
        <v>4043.24</v>
      </c>
      <c r="N794" t="s">
        <v>46</v>
      </c>
      <c r="O794" t="s">
        <v>20</v>
      </c>
      <c r="P794" t="s">
        <v>30</v>
      </c>
      <c r="Q794" t="s">
        <v>88</v>
      </c>
    </row>
    <row r="795" spans="1:17" x14ac:dyDescent="0.3">
      <c r="A795" t="s">
        <v>856</v>
      </c>
      <c r="B795" s="1">
        <v>45748</v>
      </c>
      <c r="C795" t="s">
        <v>36</v>
      </c>
      <c r="D795" t="s">
        <v>43</v>
      </c>
      <c r="E795" t="s">
        <v>17</v>
      </c>
      <c r="F795" t="s">
        <v>40</v>
      </c>
      <c r="G795">
        <v>2</v>
      </c>
      <c r="H795">
        <v>1211.94</v>
      </c>
      <c r="I795">
        <v>0.19</v>
      </c>
      <c r="J795">
        <v>1963.34</v>
      </c>
      <c r="K795">
        <f t="shared" si="36"/>
        <v>2423.88</v>
      </c>
      <c r="L795">
        <f t="shared" si="37"/>
        <v>460.54000000000019</v>
      </c>
      <c r="M795">
        <f t="shared" si="38"/>
        <v>1963.34</v>
      </c>
      <c r="N795" t="s">
        <v>19</v>
      </c>
      <c r="O795" t="s">
        <v>34</v>
      </c>
      <c r="P795" t="s">
        <v>30</v>
      </c>
      <c r="Q795" t="s">
        <v>22</v>
      </c>
    </row>
    <row r="796" spans="1:17" x14ac:dyDescent="0.3">
      <c r="A796" t="s">
        <v>857</v>
      </c>
      <c r="B796" s="1">
        <v>45740</v>
      </c>
      <c r="C796" t="s">
        <v>48</v>
      </c>
      <c r="D796" t="s">
        <v>25</v>
      </c>
      <c r="E796" t="s">
        <v>27</v>
      </c>
      <c r="F796" t="s">
        <v>87</v>
      </c>
      <c r="G796">
        <v>3</v>
      </c>
      <c r="H796">
        <v>4244.43</v>
      </c>
      <c r="I796">
        <v>0.11</v>
      </c>
      <c r="J796">
        <v>11332.63</v>
      </c>
      <c r="K796">
        <f t="shared" si="36"/>
        <v>12733.29</v>
      </c>
      <c r="L796">
        <f t="shared" si="37"/>
        <v>1400.6600000000017</v>
      </c>
      <c r="M796">
        <f t="shared" si="38"/>
        <v>11332.63</v>
      </c>
      <c r="N796" t="s">
        <v>46</v>
      </c>
      <c r="O796" t="s">
        <v>20</v>
      </c>
      <c r="P796" t="s">
        <v>21</v>
      </c>
      <c r="Q796" t="s">
        <v>22</v>
      </c>
    </row>
    <row r="797" spans="1:17" x14ac:dyDescent="0.3">
      <c r="A797" t="s">
        <v>858</v>
      </c>
      <c r="B797" s="1">
        <v>45832</v>
      </c>
      <c r="C797" t="s">
        <v>15</v>
      </c>
      <c r="D797" t="s">
        <v>39</v>
      </c>
      <c r="E797" t="s">
        <v>49</v>
      </c>
      <c r="F797" t="s">
        <v>56</v>
      </c>
      <c r="G797">
        <v>2</v>
      </c>
      <c r="H797">
        <v>1597.3</v>
      </c>
      <c r="I797">
        <v>0.18</v>
      </c>
      <c r="J797">
        <v>2619.5700000000002</v>
      </c>
      <c r="K797">
        <f t="shared" si="36"/>
        <v>3194.6</v>
      </c>
      <c r="L797">
        <f t="shared" si="37"/>
        <v>575.02999999999975</v>
      </c>
      <c r="M797">
        <f t="shared" si="38"/>
        <v>2619.5700000000002</v>
      </c>
      <c r="N797" t="s">
        <v>19</v>
      </c>
      <c r="O797" t="s">
        <v>29</v>
      </c>
      <c r="P797" t="s">
        <v>30</v>
      </c>
      <c r="Q797" t="s">
        <v>22</v>
      </c>
    </row>
    <row r="798" spans="1:17" x14ac:dyDescent="0.3">
      <c r="A798" t="s">
        <v>859</v>
      </c>
      <c r="B798" s="1">
        <v>45782</v>
      </c>
      <c r="C798" t="s">
        <v>48</v>
      </c>
      <c r="D798" t="s">
        <v>43</v>
      </c>
      <c r="E798" t="s">
        <v>49</v>
      </c>
      <c r="F798" t="s">
        <v>50</v>
      </c>
      <c r="G798">
        <v>3</v>
      </c>
      <c r="H798">
        <v>2976.08</v>
      </c>
      <c r="I798">
        <v>0.14000000000000001</v>
      </c>
      <c r="J798">
        <v>7678.29</v>
      </c>
      <c r="K798">
        <f t="shared" si="36"/>
        <v>8928.24</v>
      </c>
      <c r="L798">
        <f t="shared" si="37"/>
        <v>1249.9499999999998</v>
      </c>
      <c r="M798">
        <f t="shared" si="38"/>
        <v>7678.29</v>
      </c>
      <c r="N798" t="s">
        <v>33</v>
      </c>
      <c r="O798" t="s">
        <v>34</v>
      </c>
      <c r="P798" t="s">
        <v>54</v>
      </c>
      <c r="Q798" t="s">
        <v>22</v>
      </c>
    </row>
    <row r="799" spans="1:17" x14ac:dyDescent="0.3">
      <c r="A799" t="s">
        <v>860</v>
      </c>
      <c r="B799" s="1">
        <v>45771</v>
      </c>
      <c r="C799" t="s">
        <v>48</v>
      </c>
      <c r="D799" t="s">
        <v>39</v>
      </c>
      <c r="E799" t="s">
        <v>99</v>
      </c>
      <c r="F799" t="s">
        <v>115</v>
      </c>
      <c r="G799">
        <v>1</v>
      </c>
      <c r="H799">
        <v>2719</v>
      </c>
      <c r="I799">
        <v>0.05</v>
      </c>
      <c r="J799">
        <v>2583.0500000000002</v>
      </c>
      <c r="K799">
        <f t="shared" si="36"/>
        <v>2719</v>
      </c>
      <c r="L799">
        <f t="shared" si="37"/>
        <v>135.94999999999982</v>
      </c>
      <c r="M799">
        <f t="shared" si="38"/>
        <v>2583.0500000000002</v>
      </c>
      <c r="N799" t="s">
        <v>19</v>
      </c>
      <c r="O799" t="s">
        <v>34</v>
      </c>
      <c r="P799" t="s">
        <v>54</v>
      </c>
      <c r="Q799" t="s">
        <v>22</v>
      </c>
    </row>
    <row r="800" spans="1:17" x14ac:dyDescent="0.3">
      <c r="A800" t="s">
        <v>861</v>
      </c>
      <c r="B800" s="1">
        <v>45697</v>
      </c>
      <c r="C800" t="s">
        <v>24</v>
      </c>
      <c r="D800" t="s">
        <v>25</v>
      </c>
      <c r="E800" t="s">
        <v>49</v>
      </c>
      <c r="F800" t="s">
        <v>53</v>
      </c>
      <c r="G800">
        <v>5</v>
      </c>
      <c r="H800">
        <v>970.42</v>
      </c>
      <c r="I800">
        <v>0.21</v>
      </c>
      <c r="J800">
        <v>3833.16</v>
      </c>
      <c r="K800">
        <f t="shared" si="36"/>
        <v>4852.0999999999995</v>
      </c>
      <c r="L800">
        <f t="shared" si="37"/>
        <v>1018.9399999999996</v>
      </c>
      <c r="M800">
        <f t="shared" si="38"/>
        <v>3833.16</v>
      </c>
      <c r="N800" t="s">
        <v>19</v>
      </c>
      <c r="O800" t="s">
        <v>20</v>
      </c>
      <c r="P800" t="s">
        <v>21</v>
      </c>
      <c r="Q800" t="s">
        <v>22</v>
      </c>
    </row>
    <row r="801" spans="1:17" x14ac:dyDescent="0.3">
      <c r="A801" t="s">
        <v>862</v>
      </c>
      <c r="B801" s="1">
        <v>45799</v>
      </c>
      <c r="C801" t="s">
        <v>48</v>
      </c>
      <c r="D801" t="s">
        <v>16</v>
      </c>
      <c r="E801" t="s">
        <v>61</v>
      </c>
      <c r="F801" t="s">
        <v>62</v>
      </c>
      <c r="G801">
        <v>2</v>
      </c>
      <c r="H801">
        <v>1526.42</v>
      </c>
      <c r="I801">
        <v>0.13</v>
      </c>
      <c r="J801">
        <v>2655.97</v>
      </c>
      <c r="K801">
        <f t="shared" si="36"/>
        <v>3052.84</v>
      </c>
      <c r="L801">
        <f t="shared" si="37"/>
        <v>396.87000000000035</v>
      </c>
      <c r="M801">
        <f t="shared" si="38"/>
        <v>2655.97</v>
      </c>
      <c r="N801" t="s">
        <v>46</v>
      </c>
      <c r="O801" t="s">
        <v>20</v>
      </c>
      <c r="P801" t="s">
        <v>30</v>
      </c>
      <c r="Q801" t="s">
        <v>22</v>
      </c>
    </row>
    <row r="802" spans="1:17" x14ac:dyDescent="0.3">
      <c r="A802" t="s">
        <v>863</v>
      </c>
      <c r="B802" s="1">
        <v>45795</v>
      </c>
      <c r="C802" t="s">
        <v>15</v>
      </c>
      <c r="D802" t="s">
        <v>25</v>
      </c>
      <c r="E802" t="s">
        <v>17</v>
      </c>
      <c r="F802" t="s">
        <v>44</v>
      </c>
      <c r="G802">
        <v>2</v>
      </c>
      <c r="H802">
        <v>4949.0200000000004</v>
      </c>
      <c r="I802">
        <v>0.03</v>
      </c>
      <c r="J802">
        <v>9601.1</v>
      </c>
      <c r="K802">
        <f t="shared" si="36"/>
        <v>9898.0400000000009</v>
      </c>
      <c r="L802">
        <f t="shared" si="37"/>
        <v>296.94000000000051</v>
      </c>
      <c r="M802">
        <f t="shared" si="38"/>
        <v>9601.1</v>
      </c>
      <c r="N802" t="s">
        <v>41</v>
      </c>
      <c r="O802" t="s">
        <v>34</v>
      </c>
      <c r="P802" t="s">
        <v>30</v>
      </c>
      <c r="Q802" t="s">
        <v>22</v>
      </c>
    </row>
    <row r="803" spans="1:17" x14ac:dyDescent="0.3">
      <c r="A803" t="s">
        <v>864</v>
      </c>
      <c r="B803" s="1">
        <v>45734</v>
      </c>
      <c r="C803" t="s">
        <v>52</v>
      </c>
      <c r="D803" t="s">
        <v>39</v>
      </c>
      <c r="E803" t="s">
        <v>49</v>
      </c>
      <c r="F803" t="s">
        <v>73</v>
      </c>
      <c r="G803">
        <v>4</v>
      </c>
      <c r="H803">
        <v>4107.6899999999996</v>
      </c>
      <c r="I803">
        <v>0.17</v>
      </c>
      <c r="J803">
        <v>13637.53</v>
      </c>
      <c r="K803">
        <f t="shared" si="36"/>
        <v>16430.759999999998</v>
      </c>
      <c r="L803">
        <f t="shared" si="37"/>
        <v>2793.2299999999977</v>
      </c>
      <c r="M803">
        <f t="shared" si="38"/>
        <v>13637.53</v>
      </c>
      <c r="N803" t="s">
        <v>19</v>
      </c>
      <c r="O803" t="s">
        <v>34</v>
      </c>
      <c r="P803" t="s">
        <v>54</v>
      </c>
      <c r="Q803" t="s">
        <v>22</v>
      </c>
    </row>
    <row r="804" spans="1:17" x14ac:dyDescent="0.3">
      <c r="A804" t="s">
        <v>865</v>
      </c>
      <c r="B804" s="1">
        <v>45755</v>
      </c>
      <c r="C804" t="s">
        <v>15</v>
      </c>
      <c r="D804" t="s">
        <v>43</v>
      </c>
      <c r="E804" t="s">
        <v>27</v>
      </c>
      <c r="F804" t="s">
        <v>87</v>
      </c>
      <c r="G804">
        <v>2</v>
      </c>
      <c r="H804">
        <v>2284.08</v>
      </c>
      <c r="I804">
        <v>0.21</v>
      </c>
      <c r="J804">
        <v>3608.85</v>
      </c>
      <c r="K804">
        <f t="shared" si="36"/>
        <v>4568.16</v>
      </c>
      <c r="L804">
        <f t="shared" si="37"/>
        <v>959.31</v>
      </c>
      <c r="M804">
        <f t="shared" si="38"/>
        <v>3608.85</v>
      </c>
      <c r="N804" t="s">
        <v>19</v>
      </c>
      <c r="O804" t="s">
        <v>20</v>
      </c>
      <c r="P804" t="s">
        <v>21</v>
      </c>
      <c r="Q804" t="s">
        <v>22</v>
      </c>
    </row>
    <row r="805" spans="1:17" x14ac:dyDescent="0.3">
      <c r="A805" t="s">
        <v>866</v>
      </c>
      <c r="B805" s="1">
        <v>45737</v>
      </c>
      <c r="C805" t="s">
        <v>48</v>
      </c>
      <c r="D805" t="s">
        <v>39</v>
      </c>
      <c r="E805" t="s">
        <v>27</v>
      </c>
      <c r="F805" t="s">
        <v>87</v>
      </c>
      <c r="G805">
        <v>1</v>
      </c>
      <c r="H805">
        <v>3712.72</v>
      </c>
      <c r="I805">
        <v>7.0000000000000007E-2</v>
      </c>
      <c r="J805">
        <v>3452.83</v>
      </c>
      <c r="K805">
        <f t="shared" si="36"/>
        <v>3712.72</v>
      </c>
      <c r="L805">
        <f t="shared" si="37"/>
        <v>259.88999999999987</v>
      </c>
      <c r="M805">
        <f t="shared" si="38"/>
        <v>3452.83</v>
      </c>
      <c r="N805" t="s">
        <v>41</v>
      </c>
      <c r="O805" t="s">
        <v>29</v>
      </c>
      <c r="P805" t="s">
        <v>30</v>
      </c>
      <c r="Q805" t="s">
        <v>22</v>
      </c>
    </row>
    <row r="806" spans="1:17" x14ac:dyDescent="0.3">
      <c r="A806" t="s">
        <v>867</v>
      </c>
      <c r="B806" s="1">
        <v>45707</v>
      </c>
      <c r="C806" t="s">
        <v>36</v>
      </c>
      <c r="D806" t="s">
        <v>25</v>
      </c>
      <c r="E806" t="s">
        <v>99</v>
      </c>
      <c r="F806" t="s">
        <v>115</v>
      </c>
      <c r="G806">
        <v>2</v>
      </c>
      <c r="H806">
        <v>979.93</v>
      </c>
      <c r="I806">
        <v>0.15</v>
      </c>
      <c r="J806">
        <v>1665.88</v>
      </c>
      <c r="K806">
        <f t="shared" si="36"/>
        <v>1959.86</v>
      </c>
      <c r="L806">
        <f t="shared" si="37"/>
        <v>293.97999999999979</v>
      </c>
      <c r="M806">
        <f t="shared" si="38"/>
        <v>1665.88</v>
      </c>
      <c r="N806" t="s">
        <v>19</v>
      </c>
      <c r="O806" t="s">
        <v>34</v>
      </c>
      <c r="P806" t="s">
        <v>30</v>
      </c>
      <c r="Q806" t="s">
        <v>22</v>
      </c>
    </row>
    <row r="807" spans="1:17" x14ac:dyDescent="0.3">
      <c r="A807" t="s">
        <v>868</v>
      </c>
      <c r="B807" s="1">
        <v>45688</v>
      </c>
      <c r="C807" t="s">
        <v>48</v>
      </c>
      <c r="D807" t="s">
        <v>16</v>
      </c>
      <c r="E807" t="s">
        <v>61</v>
      </c>
      <c r="F807" t="s">
        <v>62</v>
      </c>
      <c r="G807">
        <v>2</v>
      </c>
      <c r="H807">
        <v>1441.5</v>
      </c>
      <c r="I807">
        <v>0.16</v>
      </c>
      <c r="J807">
        <v>2421.7199999999998</v>
      </c>
      <c r="K807">
        <f t="shared" si="36"/>
        <v>2883</v>
      </c>
      <c r="L807">
        <f t="shared" si="37"/>
        <v>461.2800000000002</v>
      </c>
      <c r="M807">
        <f t="shared" si="38"/>
        <v>2421.7199999999998</v>
      </c>
      <c r="N807" t="s">
        <v>58</v>
      </c>
      <c r="O807" t="s">
        <v>20</v>
      </c>
      <c r="P807" t="s">
        <v>30</v>
      </c>
      <c r="Q807" t="s">
        <v>22</v>
      </c>
    </row>
    <row r="808" spans="1:17" x14ac:dyDescent="0.3">
      <c r="A808" t="s">
        <v>869</v>
      </c>
      <c r="B808" s="1">
        <v>45787</v>
      </c>
      <c r="C808" t="s">
        <v>48</v>
      </c>
      <c r="D808" t="s">
        <v>25</v>
      </c>
      <c r="E808" t="s">
        <v>61</v>
      </c>
      <c r="F808" t="s">
        <v>92</v>
      </c>
      <c r="G808">
        <v>3</v>
      </c>
      <c r="H808">
        <v>475.01</v>
      </c>
      <c r="I808">
        <v>0.03</v>
      </c>
      <c r="J808">
        <v>1382.28</v>
      </c>
      <c r="K808">
        <f t="shared" si="36"/>
        <v>1425.03</v>
      </c>
      <c r="L808">
        <f t="shared" si="37"/>
        <v>42.75</v>
      </c>
      <c r="M808">
        <f t="shared" si="38"/>
        <v>1382.28</v>
      </c>
      <c r="N808" t="s">
        <v>33</v>
      </c>
      <c r="O808" t="s">
        <v>20</v>
      </c>
      <c r="P808" t="s">
        <v>30</v>
      </c>
      <c r="Q808" t="s">
        <v>22</v>
      </c>
    </row>
    <row r="809" spans="1:17" x14ac:dyDescent="0.3">
      <c r="A809" t="s">
        <v>870</v>
      </c>
      <c r="B809" s="1">
        <v>45793</v>
      </c>
      <c r="C809" t="s">
        <v>36</v>
      </c>
      <c r="D809" t="s">
        <v>25</v>
      </c>
      <c r="E809" t="s">
        <v>99</v>
      </c>
      <c r="F809" t="s">
        <v>100</v>
      </c>
      <c r="G809">
        <v>1</v>
      </c>
      <c r="H809">
        <v>458.66</v>
      </c>
      <c r="I809">
        <v>0.17</v>
      </c>
      <c r="J809">
        <v>380.69</v>
      </c>
      <c r="K809">
        <f t="shared" si="36"/>
        <v>458.66</v>
      </c>
      <c r="L809">
        <f t="shared" si="37"/>
        <v>77.970000000000027</v>
      </c>
      <c r="M809">
        <f t="shared" si="38"/>
        <v>380.69</v>
      </c>
      <c r="N809" t="s">
        <v>58</v>
      </c>
      <c r="O809" t="s">
        <v>34</v>
      </c>
      <c r="P809" t="s">
        <v>21</v>
      </c>
      <c r="Q809" t="s">
        <v>22</v>
      </c>
    </row>
    <row r="810" spans="1:17" x14ac:dyDescent="0.3">
      <c r="A810" t="s">
        <v>871</v>
      </c>
      <c r="B810" s="1">
        <v>45661</v>
      </c>
      <c r="C810" t="s">
        <v>48</v>
      </c>
      <c r="D810" t="s">
        <v>25</v>
      </c>
      <c r="E810" t="s">
        <v>49</v>
      </c>
      <c r="F810" t="s">
        <v>73</v>
      </c>
      <c r="G810">
        <v>3</v>
      </c>
      <c r="H810">
        <v>661.95</v>
      </c>
      <c r="I810">
        <v>0.23</v>
      </c>
      <c r="J810">
        <v>1529.1</v>
      </c>
      <c r="K810">
        <f t="shared" si="36"/>
        <v>1985.8500000000001</v>
      </c>
      <c r="L810">
        <f t="shared" si="37"/>
        <v>456.75000000000023</v>
      </c>
      <c r="M810">
        <f t="shared" si="38"/>
        <v>1529.1</v>
      </c>
      <c r="N810" t="s">
        <v>58</v>
      </c>
      <c r="O810" t="s">
        <v>20</v>
      </c>
      <c r="P810" t="s">
        <v>30</v>
      </c>
      <c r="Q810" t="s">
        <v>22</v>
      </c>
    </row>
    <row r="811" spans="1:17" x14ac:dyDescent="0.3">
      <c r="A811" t="s">
        <v>872</v>
      </c>
      <c r="B811" s="1">
        <v>45833</v>
      </c>
      <c r="C811" t="s">
        <v>36</v>
      </c>
      <c r="D811" t="s">
        <v>43</v>
      </c>
      <c r="E811" t="s">
        <v>17</v>
      </c>
      <c r="F811" t="s">
        <v>18</v>
      </c>
      <c r="G811">
        <v>4</v>
      </c>
      <c r="H811">
        <v>787.25</v>
      </c>
      <c r="I811">
        <v>0.21</v>
      </c>
      <c r="J811">
        <v>2487.71</v>
      </c>
      <c r="K811">
        <f t="shared" si="36"/>
        <v>3149</v>
      </c>
      <c r="L811">
        <f t="shared" si="37"/>
        <v>661.29</v>
      </c>
      <c r="M811">
        <f t="shared" si="38"/>
        <v>2487.71</v>
      </c>
      <c r="N811" t="s">
        <v>19</v>
      </c>
      <c r="O811" t="s">
        <v>29</v>
      </c>
      <c r="P811" t="s">
        <v>54</v>
      </c>
      <c r="Q811" t="s">
        <v>88</v>
      </c>
    </row>
    <row r="812" spans="1:17" x14ac:dyDescent="0.3">
      <c r="A812" t="s">
        <v>873</v>
      </c>
      <c r="B812" s="1">
        <v>45805</v>
      </c>
      <c r="C812" t="s">
        <v>52</v>
      </c>
      <c r="D812" t="s">
        <v>16</v>
      </c>
      <c r="E812" t="s">
        <v>27</v>
      </c>
      <c r="F812" t="s">
        <v>79</v>
      </c>
      <c r="G812">
        <v>5</v>
      </c>
      <c r="H812">
        <v>3733.09</v>
      </c>
      <c r="I812">
        <v>0.04</v>
      </c>
      <c r="J812">
        <v>17918.830000000002</v>
      </c>
      <c r="K812">
        <f t="shared" si="36"/>
        <v>18665.45</v>
      </c>
      <c r="L812">
        <f t="shared" si="37"/>
        <v>746.61999999999898</v>
      </c>
      <c r="M812">
        <f t="shared" si="38"/>
        <v>17918.830000000002</v>
      </c>
      <c r="N812" t="s">
        <v>46</v>
      </c>
      <c r="O812" t="s">
        <v>20</v>
      </c>
      <c r="P812" t="s">
        <v>21</v>
      </c>
      <c r="Q812" t="s">
        <v>22</v>
      </c>
    </row>
    <row r="813" spans="1:17" x14ac:dyDescent="0.3">
      <c r="A813" t="s">
        <v>874</v>
      </c>
      <c r="B813" s="1">
        <v>45827</v>
      </c>
      <c r="C813" t="s">
        <v>15</v>
      </c>
      <c r="D813" t="s">
        <v>16</v>
      </c>
      <c r="E813" t="s">
        <v>61</v>
      </c>
      <c r="F813" t="s">
        <v>92</v>
      </c>
      <c r="G813">
        <v>1</v>
      </c>
      <c r="H813">
        <v>4474.17</v>
      </c>
      <c r="I813">
        <v>0.13</v>
      </c>
      <c r="J813">
        <v>3892.53</v>
      </c>
      <c r="K813">
        <f t="shared" si="36"/>
        <v>4474.17</v>
      </c>
      <c r="L813">
        <f t="shared" si="37"/>
        <v>581.63999999999987</v>
      </c>
      <c r="M813">
        <f t="shared" si="38"/>
        <v>3892.53</v>
      </c>
      <c r="N813" t="s">
        <v>19</v>
      </c>
      <c r="O813" t="s">
        <v>20</v>
      </c>
      <c r="P813" t="s">
        <v>30</v>
      </c>
      <c r="Q813" t="s">
        <v>88</v>
      </c>
    </row>
    <row r="814" spans="1:17" x14ac:dyDescent="0.3">
      <c r="A814" t="s">
        <v>875</v>
      </c>
      <c r="B814" s="1">
        <v>45809</v>
      </c>
      <c r="C814" t="s">
        <v>48</v>
      </c>
      <c r="D814" t="s">
        <v>43</v>
      </c>
      <c r="E814" t="s">
        <v>27</v>
      </c>
      <c r="F814" t="s">
        <v>79</v>
      </c>
      <c r="G814">
        <v>1</v>
      </c>
      <c r="H814">
        <v>3031.21</v>
      </c>
      <c r="I814">
        <v>0.01</v>
      </c>
      <c r="J814">
        <v>3000.9</v>
      </c>
      <c r="K814">
        <f t="shared" si="36"/>
        <v>3031.21</v>
      </c>
      <c r="L814">
        <f t="shared" si="37"/>
        <v>30.309999999999945</v>
      </c>
      <c r="M814">
        <f t="shared" si="38"/>
        <v>3000.9</v>
      </c>
      <c r="N814" t="s">
        <v>46</v>
      </c>
      <c r="O814" t="s">
        <v>34</v>
      </c>
      <c r="P814" t="s">
        <v>30</v>
      </c>
      <c r="Q814" t="s">
        <v>37</v>
      </c>
    </row>
    <row r="815" spans="1:17" x14ac:dyDescent="0.3">
      <c r="A815" t="s">
        <v>876</v>
      </c>
      <c r="B815" s="1">
        <v>45831</v>
      </c>
      <c r="C815" t="s">
        <v>52</v>
      </c>
      <c r="D815" t="s">
        <v>16</v>
      </c>
      <c r="E815" t="s">
        <v>99</v>
      </c>
      <c r="F815" t="s">
        <v>100</v>
      </c>
      <c r="G815">
        <v>4</v>
      </c>
      <c r="H815">
        <v>236.93</v>
      </c>
      <c r="I815">
        <v>0</v>
      </c>
      <c r="J815">
        <v>947.72</v>
      </c>
      <c r="K815">
        <f t="shared" si="36"/>
        <v>947.72</v>
      </c>
      <c r="L815">
        <f t="shared" si="37"/>
        <v>0</v>
      </c>
      <c r="M815">
        <f t="shared" si="38"/>
        <v>947.72</v>
      </c>
      <c r="N815" t="s">
        <v>58</v>
      </c>
      <c r="O815" t="s">
        <v>20</v>
      </c>
      <c r="P815" t="s">
        <v>54</v>
      </c>
      <c r="Q815" t="s">
        <v>22</v>
      </c>
    </row>
    <row r="816" spans="1:17" x14ac:dyDescent="0.3">
      <c r="A816" t="s">
        <v>877</v>
      </c>
      <c r="B816" s="1">
        <v>45680</v>
      </c>
      <c r="C816" t="s">
        <v>52</v>
      </c>
      <c r="D816" t="s">
        <v>43</v>
      </c>
      <c r="E816" t="s">
        <v>17</v>
      </c>
      <c r="F816" t="s">
        <v>44</v>
      </c>
      <c r="G816">
        <v>5</v>
      </c>
      <c r="H816">
        <v>627.65</v>
      </c>
      <c r="I816">
        <v>0.08</v>
      </c>
      <c r="J816">
        <v>2887.19</v>
      </c>
      <c r="K816">
        <f t="shared" si="36"/>
        <v>3138.25</v>
      </c>
      <c r="L816">
        <f t="shared" si="37"/>
        <v>251.05999999999995</v>
      </c>
      <c r="M816">
        <f t="shared" si="38"/>
        <v>2887.19</v>
      </c>
      <c r="N816" t="s">
        <v>58</v>
      </c>
      <c r="O816" t="s">
        <v>34</v>
      </c>
      <c r="P816" t="s">
        <v>21</v>
      </c>
      <c r="Q816" t="s">
        <v>22</v>
      </c>
    </row>
    <row r="817" spans="1:17" x14ac:dyDescent="0.3">
      <c r="A817" t="s">
        <v>878</v>
      </c>
      <c r="B817" s="1">
        <v>45811</v>
      </c>
      <c r="C817" t="s">
        <v>48</v>
      </c>
      <c r="D817" t="s">
        <v>25</v>
      </c>
      <c r="E817" t="s">
        <v>27</v>
      </c>
      <c r="F817" t="s">
        <v>87</v>
      </c>
      <c r="G817">
        <v>2</v>
      </c>
      <c r="H817">
        <v>618.84</v>
      </c>
      <c r="I817">
        <v>0.08</v>
      </c>
      <c r="J817">
        <v>1138.67</v>
      </c>
      <c r="K817">
        <f t="shared" si="36"/>
        <v>1237.68</v>
      </c>
      <c r="L817">
        <f t="shared" si="37"/>
        <v>99.009999999999991</v>
      </c>
      <c r="M817">
        <f t="shared" si="38"/>
        <v>1138.67</v>
      </c>
      <c r="N817" t="s">
        <v>58</v>
      </c>
      <c r="O817" t="s">
        <v>20</v>
      </c>
      <c r="P817" t="s">
        <v>54</v>
      </c>
      <c r="Q817" t="s">
        <v>22</v>
      </c>
    </row>
    <row r="818" spans="1:17" x14ac:dyDescent="0.3">
      <c r="A818" t="s">
        <v>879</v>
      </c>
      <c r="B818" s="1">
        <v>45742</v>
      </c>
      <c r="C818" t="s">
        <v>52</v>
      </c>
      <c r="D818" t="s">
        <v>39</v>
      </c>
      <c r="E818" t="s">
        <v>17</v>
      </c>
      <c r="F818" t="s">
        <v>40</v>
      </c>
      <c r="G818">
        <v>1</v>
      </c>
      <c r="H818">
        <v>3324.01</v>
      </c>
      <c r="I818">
        <v>7.0000000000000007E-2</v>
      </c>
      <c r="J818">
        <v>3091.33</v>
      </c>
      <c r="K818">
        <f t="shared" si="36"/>
        <v>3324.01</v>
      </c>
      <c r="L818">
        <f t="shared" si="37"/>
        <v>232.68000000000029</v>
      </c>
      <c r="M818">
        <f t="shared" si="38"/>
        <v>3091.33</v>
      </c>
      <c r="N818" t="s">
        <v>41</v>
      </c>
      <c r="O818" t="s">
        <v>20</v>
      </c>
      <c r="P818" t="s">
        <v>21</v>
      </c>
      <c r="Q818" t="s">
        <v>22</v>
      </c>
    </row>
    <row r="819" spans="1:17" x14ac:dyDescent="0.3">
      <c r="A819" t="s">
        <v>880</v>
      </c>
      <c r="B819" s="1">
        <v>45702</v>
      </c>
      <c r="C819" t="s">
        <v>15</v>
      </c>
      <c r="D819" t="s">
        <v>43</v>
      </c>
      <c r="E819" t="s">
        <v>61</v>
      </c>
      <c r="F819" t="s">
        <v>92</v>
      </c>
      <c r="G819">
        <v>1</v>
      </c>
      <c r="H819">
        <v>3591.4</v>
      </c>
      <c r="I819">
        <v>0.2</v>
      </c>
      <c r="J819">
        <v>2873.12</v>
      </c>
      <c r="K819">
        <f t="shared" si="36"/>
        <v>3591.4</v>
      </c>
      <c r="L819">
        <f t="shared" si="37"/>
        <v>718.2800000000002</v>
      </c>
      <c r="M819">
        <f t="shared" si="38"/>
        <v>2873.12</v>
      </c>
      <c r="N819" t="s">
        <v>33</v>
      </c>
      <c r="O819" t="s">
        <v>34</v>
      </c>
      <c r="P819" t="s">
        <v>21</v>
      </c>
      <c r="Q819" t="s">
        <v>22</v>
      </c>
    </row>
    <row r="820" spans="1:17" x14ac:dyDescent="0.3">
      <c r="A820" t="s">
        <v>881</v>
      </c>
      <c r="B820" s="1">
        <v>45694</v>
      </c>
      <c r="C820" t="s">
        <v>48</v>
      </c>
      <c r="D820" t="s">
        <v>25</v>
      </c>
      <c r="E820" t="s">
        <v>17</v>
      </c>
      <c r="F820" t="s">
        <v>32</v>
      </c>
      <c r="G820">
        <v>2</v>
      </c>
      <c r="H820">
        <v>3213.23</v>
      </c>
      <c r="I820">
        <v>0.22</v>
      </c>
      <c r="J820">
        <v>5012.6400000000003</v>
      </c>
      <c r="K820">
        <f t="shared" si="36"/>
        <v>6426.46</v>
      </c>
      <c r="L820">
        <f t="shared" si="37"/>
        <v>1413.8199999999997</v>
      </c>
      <c r="M820">
        <f t="shared" si="38"/>
        <v>5012.6400000000003</v>
      </c>
      <c r="N820" t="s">
        <v>19</v>
      </c>
      <c r="O820" t="s">
        <v>34</v>
      </c>
      <c r="P820" t="s">
        <v>30</v>
      </c>
      <c r="Q820" t="s">
        <v>22</v>
      </c>
    </row>
    <row r="821" spans="1:17" x14ac:dyDescent="0.3">
      <c r="A821" t="s">
        <v>882</v>
      </c>
      <c r="B821" s="1">
        <v>45816</v>
      </c>
      <c r="C821" t="s">
        <v>48</v>
      </c>
      <c r="D821" t="s">
        <v>43</v>
      </c>
      <c r="E821" t="s">
        <v>17</v>
      </c>
      <c r="F821" t="s">
        <v>40</v>
      </c>
      <c r="G821">
        <v>2</v>
      </c>
      <c r="H821">
        <v>2566.7600000000002</v>
      </c>
      <c r="I821">
        <v>0.18</v>
      </c>
      <c r="J821">
        <v>4209.49</v>
      </c>
      <c r="K821">
        <f t="shared" si="36"/>
        <v>5133.5200000000004</v>
      </c>
      <c r="L821">
        <f t="shared" si="37"/>
        <v>924.03000000000065</v>
      </c>
      <c r="M821">
        <f t="shared" si="38"/>
        <v>4209.49</v>
      </c>
      <c r="N821" t="s">
        <v>33</v>
      </c>
      <c r="O821" t="s">
        <v>29</v>
      </c>
      <c r="P821" t="s">
        <v>54</v>
      </c>
      <c r="Q821" t="s">
        <v>22</v>
      </c>
    </row>
    <row r="822" spans="1:17" x14ac:dyDescent="0.3">
      <c r="A822" t="s">
        <v>883</v>
      </c>
      <c r="B822" s="1">
        <v>45795</v>
      </c>
      <c r="C822" t="s">
        <v>52</v>
      </c>
      <c r="D822" t="s">
        <v>39</v>
      </c>
      <c r="E822" t="s">
        <v>17</v>
      </c>
      <c r="F822" t="s">
        <v>32</v>
      </c>
      <c r="G822">
        <v>5</v>
      </c>
      <c r="H822">
        <v>489.01</v>
      </c>
      <c r="I822">
        <v>0.03</v>
      </c>
      <c r="J822">
        <v>2371.6999999999998</v>
      </c>
      <c r="K822">
        <f t="shared" si="36"/>
        <v>2445.0500000000002</v>
      </c>
      <c r="L822">
        <f t="shared" si="37"/>
        <v>73.350000000000364</v>
      </c>
      <c r="M822">
        <f t="shared" si="38"/>
        <v>2371.6999999999998</v>
      </c>
      <c r="N822" t="s">
        <v>41</v>
      </c>
      <c r="O822" t="s">
        <v>20</v>
      </c>
      <c r="P822" t="s">
        <v>30</v>
      </c>
      <c r="Q822" t="s">
        <v>22</v>
      </c>
    </row>
    <row r="823" spans="1:17" x14ac:dyDescent="0.3">
      <c r="A823" t="s">
        <v>884</v>
      </c>
      <c r="B823" s="1">
        <v>45760</v>
      </c>
      <c r="C823" t="s">
        <v>24</v>
      </c>
      <c r="D823" t="s">
        <v>43</v>
      </c>
      <c r="E823" t="s">
        <v>49</v>
      </c>
      <c r="F823" t="s">
        <v>73</v>
      </c>
      <c r="G823">
        <v>5</v>
      </c>
      <c r="H823">
        <v>4943.8999999999996</v>
      </c>
      <c r="I823">
        <v>0.11</v>
      </c>
      <c r="J823">
        <v>22000.35</v>
      </c>
      <c r="K823">
        <f t="shared" si="36"/>
        <v>24719.5</v>
      </c>
      <c r="L823">
        <f t="shared" si="37"/>
        <v>2719.1500000000015</v>
      </c>
      <c r="M823">
        <f t="shared" si="38"/>
        <v>22000.35</v>
      </c>
      <c r="N823" t="s">
        <v>19</v>
      </c>
      <c r="O823" t="s">
        <v>29</v>
      </c>
      <c r="P823" t="s">
        <v>30</v>
      </c>
      <c r="Q823" t="s">
        <v>22</v>
      </c>
    </row>
    <row r="824" spans="1:17" x14ac:dyDescent="0.3">
      <c r="A824" t="s">
        <v>885</v>
      </c>
      <c r="B824" s="1">
        <v>45750</v>
      </c>
      <c r="C824" t="s">
        <v>15</v>
      </c>
      <c r="D824" t="s">
        <v>43</v>
      </c>
      <c r="E824" t="s">
        <v>17</v>
      </c>
      <c r="F824" t="s">
        <v>40</v>
      </c>
      <c r="G824">
        <v>3</v>
      </c>
      <c r="H824">
        <v>1779.37</v>
      </c>
      <c r="I824">
        <v>0.05</v>
      </c>
      <c r="J824">
        <v>5071.2</v>
      </c>
      <c r="K824">
        <f t="shared" si="36"/>
        <v>5338.11</v>
      </c>
      <c r="L824">
        <f t="shared" si="37"/>
        <v>266.90999999999985</v>
      </c>
      <c r="M824">
        <f t="shared" si="38"/>
        <v>5071.2</v>
      </c>
      <c r="N824" t="s">
        <v>58</v>
      </c>
      <c r="O824" t="s">
        <v>20</v>
      </c>
      <c r="P824" t="s">
        <v>54</v>
      </c>
      <c r="Q824" t="s">
        <v>88</v>
      </c>
    </row>
    <row r="825" spans="1:17" x14ac:dyDescent="0.3">
      <c r="A825" t="s">
        <v>886</v>
      </c>
      <c r="B825" s="1">
        <v>45669</v>
      </c>
      <c r="C825" t="s">
        <v>36</v>
      </c>
      <c r="D825" t="s">
        <v>16</v>
      </c>
      <c r="E825" t="s">
        <v>61</v>
      </c>
      <c r="F825" t="s">
        <v>92</v>
      </c>
      <c r="G825">
        <v>4</v>
      </c>
      <c r="H825">
        <v>3185.93</v>
      </c>
      <c r="I825">
        <v>0.02</v>
      </c>
      <c r="J825">
        <v>12488.85</v>
      </c>
      <c r="K825">
        <f t="shared" si="36"/>
        <v>12743.72</v>
      </c>
      <c r="L825">
        <f t="shared" si="37"/>
        <v>254.86999999999898</v>
      </c>
      <c r="M825">
        <f t="shared" si="38"/>
        <v>12488.85</v>
      </c>
      <c r="N825" t="s">
        <v>46</v>
      </c>
      <c r="O825" t="s">
        <v>20</v>
      </c>
      <c r="P825" t="s">
        <v>30</v>
      </c>
      <c r="Q825" t="s">
        <v>59</v>
      </c>
    </row>
    <row r="826" spans="1:17" x14ac:dyDescent="0.3">
      <c r="A826" t="s">
        <v>887</v>
      </c>
      <c r="B826" s="1">
        <v>45768</v>
      </c>
      <c r="C826" t="s">
        <v>52</v>
      </c>
      <c r="D826" t="s">
        <v>43</v>
      </c>
      <c r="E826" t="s">
        <v>17</v>
      </c>
      <c r="F826" t="s">
        <v>44</v>
      </c>
      <c r="G826">
        <v>2</v>
      </c>
      <c r="H826">
        <v>3003.89</v>
      </c>
      <c r="I826">
        <v>0.21</v>
      </c>
      <c r="J826">
        <v>4746.1499999999996</v>
      </c>
      <c r="K826">
        <f t="shared" si="36"/>
        <v>6007.78</v>
      </c>
      <c r="L826">
        <f t="shared" si="37"/>
        <v>1261.6300000000001</v>
      </c>
      <c r="M826">
        <f t="shared" si="38"/>
        <v>4746.1499999999996</v>
      </c>
      <c r="N826" t="s">
        <v>19</v>
      </c>
      <c r="O826" t="s">
        <v>20</v>
      </c>
      <c r="P826" t="s">
        <v>54</v>
      </c>
      <c r="Q826" t="s">
        <v>22</v>
      </c>
    </row>
    <row r="827" spans="1:17" x14ac:dyDescent="0.3">
      <c r="A827" t="s">
        <v>888</v>
      </c>
      <c r="B827" s="1">
        <v>45708</v>
      </c>
      <c r="C827" t="s">
        <v>15</v>
      </c>
      <c r="D827" t="s">
        <v>39</v>
      </c>
      <c r="E827" t="s">
        <v>49</v>
      </c>
      <c r="F827" t="s">
        <v>50</v>
      </c>
      <c r="G827">
        <v>2</v>
      </c>
      <c r="H827">
        <v>1300.1300000000001</v>
      </c>
      <c r="I827">
        <v>0.04</v>
      </c>
      <c r="J827">
        <v>2496.25</v>
      </c>
      <c r="K827">
        <f t="shared" si="36"/>
        <v>2600.2600000000002</v>
      </c>
      <c r="L827">
        <f t="shared" si="37"/>
        <v>104.01000000000022</v>
      </c>
      <c r="M827">
        <f t="shared" si="38"/>
        <v>2496.25</v>
      </c>
      <c r="N827" t="s">
        <v>19</v>
      </c>
      <c r="O827" t="s">
        <v>29</v>
      </c>
      <c r="P827" t="s">
        <v>54</v>
      </c>
      <c r="Q827" t="s">
        <v>22</v>
      </c>
    </row>
    <row r="828" spans="1:17" x14ac:dyDescent="0.3">
      <c r="A828" t="s">
        <v>889</v>
      </c>
      <c r="B828" s="1">
        <v>45838</v>
      </c>
      <c r="C828" t="s">
        <v>15</v>
      </c>
      <c r="D828" t="s">
        <v>25</v>
      </c>
      <c r="E828" t="s">
        <v>49</v>
      </c>
      <c r="F828" t="s">
        <v>73</v>
      </c>
      <c r="G828">
        <v>3</v>
      </c>
      <c r="H828">
        <v>2051.4</v>
      </c>
      <c r="I828">
        <v>0.04</v>
      </c>
      <c r="J828">
        <v>5908.03</v>
      </c>
      <c r="K828">
        <f t="shared" si="36"/>
        <v>6154.2000000000007</v>
      </c>
      <c r="L828">
        <f t="shared" si="37"/>
        <v>246.17000000000098</v>
      </c>
      <c r="M828">
        <f t="shared" si="38"/>
        <v>5908.03</v>
      </c>
      <c r="N828" t="s">
        <v>41</v>
      </c>
      <c r="O828" t="s">
        <v>20</v>
      </c>
      <c r="P828" t="s">
        <v>30</v>
      </c>
      <c r="Q828" t="s">
        <v>22</v>
      </c>
    </row>
    <row r="829" spans="1:17" x14ac:dyDescent="0.3">
      <c r="A829" t="s">
        <v>890</v>
      </c>
      <c r="B829" s="1">
        <v>45824</v>
      </c>
      <c r="C829" t="s">
        <v>48</v>
      </c>
      <c r="D829" t="s">
        <v>43</v>
      </c>
      <c r="E829" t="s">
        <v>49</v>
      </c>
      <c r="F829" t="s">
        <v>73</v>
      </c>
      <c r="G829">
        <v>4</v>
      </c>
      <c r="H829">
        <v>4284.8100000000004</v>
      </c>
      <c r="I829">
        <v>0.19</v>
      </c>
      <c r="J829">
        <v>13882.78</v>
      </c>
      <c r="K829">
        <f t="shared" si="36"/>
        <v>17139.240000000002</v>
      </c>
      <c r="L829">
        <f t="shared" si="37"/>
        <v>3256.4600000000009</v>
      </c>
      <c r="M829">
        <f t="shared" si="38"/>
        <v>13882.78</v>
      </c>
      <c r="N829" t="s">
        <v>58</v>
      </c>
      <c r="O829" t="s">
        <v>34</v>
      </c>
      <c r="P829" t="s">
        <v>30</v>
      </c>
      <c r="Q829" t="s">
        <v>22</v>
      </c>
    </row>
    <row r="830" spans="1:17" x14ac:dyDescent="0.3">
      <c r="A830" t="s">
        <v>891</v>
      </c>
      <c r="B830" s="1">
        <v>45683</v>
      </c>
      <c r="C830" t="s">
        <v>48</v>
      </c>
      <c r="D830" t="s">
        <v>16</v>
      </c>
      <c r="E830" t="s">
        <v>61</v>
      </c>
      <c r="F830" t="s">
        <v>66</v>
      </c>
      <c r="G830">
        <v>4</v>
      </c>
      <c r="H830">
        <v>1487.81</v>
      </c>
      <c r="I830">
        <v>0.14000000000000001</v>
      </c>
      <c r="J830">
        <v>5118.07</v>
      </c>
      <c r="K830">
        <f t="shared" si="36"/>
        <v>5951.24</v>
      </c>
      <c r="L830">
        <f t="shared" si="37"/>
        <v>833.17000000000007</v>
      </c>
      <c r="M830">
        <f t="shared" si="38"/>
        <v>5118.07</v>
      </c>
      <c r="N830" t="s">
        <v>41</v>
      </c>
      <c r="O830" t="s">
        <v>34</v>
      </c>
      <c r="P830" t="s">
        <v>30</v>
      </c>
      <c r="Q830" t="s">
        <v>22</v>
      </c>
    </row>
    <row r="831" spans="1:17" x14ac:dyDescent="0.3">
      <c r="A831" t="s">
        <v>892</v>
      </c>
      <c r="B831" s="1">
        <v>45748</v>
      </c>
      <c r="C831" t="s">
        <v>52</v>
      </c>
      <c r="D831" t="s">
        <v>25</v>
      </c>
      <c r="E831" t="s">
        <v>49</v>
      </c>
      <c r="F831" t="s">
        <v>73</v>
      </c>
      <c r="G831">
        <v>1</v>
      </c>
      <c r="H831">
        <v>4322.1099999999997</v>
      </c>
      <c r="I831">
        <v>0.18</v>
      </c>
      <c r="J831">
        <v>3544.13</v>
      </c>
      <c r="K831">
        <f t="shared" si="36"/>
        <v>4322.1099999999997</v>
      </c>
      <c r="L831">
        <f t="shared" si="37"/>
        <v>777.97999999999956</v>
      </c>
      <c r="M831">
        <f t="shared" si="38"/>
        <v>3544.13</v>
      </c>
      <c r="N831" t="s">
        <v>19</v>
      </c>
      <c r="O831" t="s">
        <v>20</v>
      </c>
      <c r="P831" t="s">
        <v>30</v>
      </c>
      <c r="Q831" t="s">
        <v>22</v>
      </c>
    </row>
    <row r="832" spans="1:17" x14ac:dyDescent="0.3">
      <c r="A832" t="s">
        <v>893</v>
      </c>
      <c r="B832" s="1">
        <v>45685</v>
      </c>
      <c r="C832" t="s">
        <v>15</v>
      </c>
      <c r="D832" t="s">
        <v>16</v>
      </c>
      <c r="E832" t="s">
        <v>49</v>
      </c>
      <c r="F832" t="s">
        <v>50</v>
      </c>
      <c r="G832">
        <v>3</v>
      </c>
      <c r="H832">
        <v>3241.14</v>
      </c>
      <c r="I832">
        <v>0.15</v>
      </c>
      <c r="J832">
        <v>8264.91</v>
      </c>
      <c r="K832">
        <f t="shared" si="36"/>
        <v>9723.42</v>
      </c>
      <c r="L832">
        <f t="shared" si="37"/>
        <v>1458.5100000000002</v>
      </c>
      <c r="M832">
        <f t="shared" si="38"/>
        <v>8264.91</v>
      </c>
      <c r="N832" t="s">
        <v>41</v>
      </c>
      <c r="O832" t="s">
        <v>34</v>
      </c>
      <c r="P832" t="s">
        <v>30</v>
      </c>
      <c r="Q832" t="s">
        <v>59</v>
      </c>
    </row>
    <row r="833" spans="1:17" x14ac:dyDescent="0.3">
      <c r="A833" t="s">
        <v>894</v>
      </c>
      <c r="B833" s="1">
        <v>45815</v>
      </c>
      <c r="C833" t="s">
        <v>36</v>
      </c>
      <c r="D833" t="s">
        <v>39</v>
      </c>
      <c r="E833" t="s">
        <v>17</v>
      </c>
      <c r="F833" t="s">
        <v>40</v>
      </c>
      <c r="G833">
        <v>4</v>
      </c>
      <c r="H833">
        <v>4789.7700000000004</v>
      </c>
      <c r="I833">
        <v>0.19</v>
      </c>
      <c r="J833">
        <v>15518.85</v>
      </c>
      <c r="K833">
        <f t="shared" si="36"/>
        <v>19159.080000000002</v>
      </c>
      <c r="L833">
        <f t="shared" si="37"/>
        <v>3640.2300000000014</v>
      </c>
      <c r="M833">
        <f t="shared" si="38"/>
        <v>15518.85</v>
      </c>
      <c r="N833" t="s">
        <v>19</v>
      </c>
      <c r="O833" t="s">
        <v>20</v>
      </c>
      <c r="P833" t="s">
        <v>21</v>
      </c>
      <c r="Q833" t="s">
        <v>22</v>
      </c>
    </row>
    <row r="834" spans="1:17" x14ac:dyDescent="0.3">
      <c r="A834" t="s">
        <v>895</v>
      </c>
      <c r="B834" s="1">
        <v>45750</v>
      </c>
      <c r="C834" t="s">
        <v>24</v>
      </c>
      <c r="D834" t="s">
        <v>16</v>
      </c>
      <c r="E834" t="s">
        <v>49</v>
      </c>
      <c r="F834" t="s">
        <v>53</v>
      </c>
      <c r="G834">
        <v>2</v>
      </c>
      <c r="H834">
        <v>1287.53</v>
      </c>
      <c r="I834">
        <v>0.01</v>
      </c>
      <c r="J834">
        <v>2549.31</v>
      </c>
      <c r="K834">
        <f t="shared" si="36"/>
        <v>2575.06</v>
      </c>
      <c r="L834">
        <f t="shared" si="37"/>
        <v>25.75</v>
      </c>
      <c r="M834">
        <f t="shared" si="38"/>
        <v>2549.31</v>
      </c>
      <c r="N834" t="s">
        <v>41</v>
      </c>
      <c r="O834" t="s">
        <v>34</v>
      </c>
      <c r="P834" t="s">
        <v>30</v>
      </c>
      <c r="Q834" t="s">
        <v>22</v>
      </c>
    </row>
    <row r="835" spans="1:17" x14ac:dyDescent="0.3">
      <c r="A835" t="s">
        <v>896</v>
      </c>
      <c r="B835" s="1">
        <v>45789</v>
      </c>
      <c r="C835" t="s">
        <v>36</v>
      </c>
      <c r="D835" t="s">
        <v>43</v>
      </c>
      <c r="E835" t="s">
        <v>61</v>
      </c>
      <c r="F835" t="s">
        <v>66</v>
      </c>
      <c r="G835">
        <v>2</v>
      </c>
      <c r="H835">
        <v>1346.01</v>
      </c>
      <c r="I835">
        <v>0.15</v>
      </c>
      <c r="J835">
        <v>2288.2199999999998</v>
      </c>
      <c r="K835">
        <f t="shared" ref="K835:K898" si="39">G835*H835</f>
        <v>2692.02</v>
      </c>
      <c r="L835">
        <f t="shared" ref="L835:L898" si="40">K835-J835</f>
        <v>403.80000000000018</v>
      </c>
      <c r="M835">
        <f t="shared" ref="M835:M898" si="41">K835-L835</f>
        <v>2288.2199999999998</v>
      </c>
      <c r="N835" t="s">
        <v>41</v>
      </c>
      <c r="O835" t="s">
        <v>29</v>
      </c>
      <c r="P835" t="s">
        <v>21</v>
      </c>
      <c r="Q835" t="s">
        <v>22</v>
      </c>
    </row>
    <row r="836" spans="1:17" x14ac:dyDescent="0.3">
      <c r="A836" t="s">
        <v>897</v>
      </c>
      <c r="B836" s="1">
        <v>45763</v>
      </c>
      <c r="C836" t="s">
        <v>48</v>
      </c>
      <c r="D836" t="s">
        <v>25</v>
      </c>
      <c r="E836" t="s">
        <v>17</v>
      </c>
      <c r="F836" t="s">
        <v>40</v>
      </c>
      <c r="G836">
        <v>5</v>
      </c>
      <c r="H836">
        <v>4558.75</v>
      </c>
      <c r="I836">
        <v>0.22</v>
      </c>
      <c r="J836">
        <v>17779.12</v>
      </c>
      <c r="K836">
        <f t="shared" si="39"/>
        <v>22793.75</v>
      </c>
      <c r="L836">
        <f t="shared" si="40"/>
        <v>5014.630000000001</v>
      </c>
      <c r="M836">
        <f t="shared" si="41"/>
        <v>17779.12</v>
      </c>
      <c r="N836" t="s">
        <v>33</v>
      </c>
      <c r="O836" t="s">
        <v>20</v>
      </c>
      <c r="P836" t="s">
        <v>54</v>
      </c>
      <c r="Q836" t="s">
        <v>22</v>
      </c>
    </row>
    <row r="837" spans="1:17" x14ac:dyDescent="0.3">
      <c r="A837" t="s">
        <v>898</v>
      </c>
      <c r="B837" s="1">
        <v>45768</v>
      </c>
      <c r="C837" t="s">
        <v>36</v>
      </c>
      <c r="D837" t="s">
        <v>16</v>
      </c>
      <c r="E837" t="s">
        <v>99</v>
      </c>
      <c r="F837" t="s">
        <v>115</v>
      </c>
      <c r="G837">
        <v>4</v>
      </c>
      <c r="H837">
        <v>3787.07</v>
      </c>
      <c r="I837">
        <v>0.23</v>
      </c>
      <c r="J837">
        <v>11664.18</v>
      </c>
      <c r="K837">
        <f t="shared" si="39"/>
        <v>15148.28</v>
      </c>
      <c r="L837">
        <f t="shared" si="40"/>
        <v>3484.1000000000004</v>
      </c>
      <c r="M837">
        <f t="shared" si="41"/>
        <v>11664.18</v>
      </c>
      <c r="N837" t="s">
        <v>46</v>
      </c>
      <c r="O837" t="s">
        <v>29</v>
      </c>
      <c r="P837" t="s">
        <v>54</v>
      </c>
      <c r="Q837" t="s">
        <v>22</v>
      </c>
    </row>
    <row r="838" spans="1:17" x14ac:dyDescent="0.3">
      <c r="A838" t="s">
        <v>899</v>
      </c>
      <c r="B838" s="1">
        <v>45775</v>
      </c>
      <c r="C838" t="s">
        <v>15</v>
      </c>
      <c r="D838" t="s">
        <v>25</v>
      </c>
      <c r="E838" t="s">
        <v>99</v>
      </c>
      <c r="F838" t="s">
        <v>100</v>
      </c>
      <c r="G838">
        <v>4</v>
      </c>
      <c r="H838">
        <v>3525.14</v>
      </c>
      <c r="I838">
        <v>0</v>
      </c>
      <c r="J838">
        <v>14100.56</v>
      </c>
      <c r="K838">
        <f t="shared" si="39"/>
        <v>14100.56</v>
      </c>
      <c r="L838">
        <f t="shared" si="40"/>
        <v>0</v>
      </c>
      <c r="M838">
        <f t="shared" si="41"/>
        <v>14100.56</v>
      </c>
      <c r="N838" t="s">
        <v>19</v>
      </c>
      <c r="O838" t="s">
        <v>29</v>
      </c>
      <c r="P838" t="s">
        <v>54</v>
      </c>
      <c r="Q838" t="s">
        <v>22</v>
      </c>
    </row>
    <row r="839" spans="1:17" x14ac:dyDescent="0.3">
      <c r="A839" t="s">
        <v>900</v>
      </c>
      <c r="B839" s="1">
        <v>45721</v>
      </c>
      <c r="C839" t="s">
        <v>36</v>
      </c>
      <c r="D839" t="s">
        <v>43</v>
      </c>
      <c r="E839" t="s">
        <v>17</v>
      </c>
      <c r="F839" t="s">
        <v>40</v>
      </c>
      <c r="G839">
        <v>3</v>
      </c>
      <c r="H839">
        <v>3691.91</v>
      </c>
      <c r="I839">
        <v>0.04</v>
      </c>
      <c r="J839">
        <v>10632.7</v>
      </c>
      <c r="K839">
        <f t="shared" si="39"/>
        <v>11075.73</v>
      </c>
      <c r="L839">
        <f t="shared" si="40"/>
        <v>443.02999999999884</v>
      </c>
      <c r="M839">
        <f t="shared" si="41"/>
        <v>10632.7</v>
      </c>
      <c r="N839" t="s">
        <v>41</v>
      </c>
      <c r="O839" t="s">
        <v>29</v>
      </c>
      <c r="P839" t="s">
        <v>30</v>
      </c>
      <c r="Q839" t="s">
        <v>22</v>
      </c>
    </row>
    <row r="840" spans="1:17" x14ac:dyDescent="0.3">
      <c r="A840" t="s">
        <v>901</v>
      </c>
      <c r="B840" s="1">
        <v>45806</v>
      </c>
      <c r="C840" t="s">
        <v>52</v>
      </c>
      <c r="D840" t="s">
        <v>16</v>
      </c>
      <c r="E840" t="s">
        <v>61</v>
      </c>
      <c r="F840" t="s">
        <v>92</v>
      </c>
      <c r="G840">
        <v>4</v>
      </c>
      <c r="H840">
        <v>2878.75</v>
      </c>
      <c r="I840">
        <v>0.05</v>
      </c>
      <c r="J840">
        <v>10939.25</v>
      </c>
      <c r="K840">
        <f t="shared" si="39"/>
        <v>11515</v>
      </c>
      <c r="L840">
        <f t="shared" si="40"/>
        <v>575.75</v>
      </c>
      <c r="M840">
        <f t="shared" si="41"/>
        <v>10939.25</v>
      </c>
      <c r="N840" t="s">
        <v>33</v>
      </c>
      <c r="O840" t="s">
        <v>20</v>
      </c>
      <c r="P840" t="s">
        <v>54</v>
      </c>
      <c r="Q840" t="s">
        <v>22</v>
      </c>
    </row>
    <row r="841" spans="1:17" x14ac:dyDescent="0.3">
      <c r="A841" t="s">
        <v>902</v>
      </c>
      <c r="B841" s="1">
        <v>45833</v>
      </c>
      <c r="C841" t="s">
        <v>48</v>
      </c>
      <c r="D841" t="s">
        <v>39</v>
      </c>
      <c r="E841" t="s">
        <v>61</v>
      </c>
      <c r="F841" t="s">
        <v>66</v>
      </c>
      <c r="G841">
        <v>5</v>
      </c>
      <c r="H841">
        <v>635.05999999999995</v>
      </c>
      <c r="I841">
        <v>0.16</v>
      </c>
      <c r="J841">
        <v>2667.25</v>
      </c>
      <c r="K841">
        <f t="shared" si="39"/>
        <v>3175.2999999999997</v>
      </c>
      <c r="L841">
        <f t="shared" si="40"/>
        <v>508.04999999999973</v>
      </c>
      <c r="M841">
        <f t="shared" si="41"/>
        <v>2667.25</v>
      </c>
      <c r="N841" t="s">
        <v>41</v>
      </c>
      <c r="O841" t="s">
        <v>29</v>
      </c>
      <c r="P841" t="s">
        <v>54</v>
      </c>
      <c r="Q841" t="s">
        <v>22</v>
      </c>
    </row>
    <row r="842" spans="1:17" x14ac:dyDescent="0.3">
      <c r="A842" t="s">
        <v>903</v>
      </c>
      <c r="B842" s="1">
        <v>45745</v>
      </c>
      <c r="C842" t="s">
        <v>24</v>
      </c>
      <c r="D842" t="s">
        <v>16</v>
      </c>
      <c r="E842" t="s">
        <v>17</v>
      </c>
      <c r="F842" t="s">
        <v>32</v>
      </c>
      <c r="G842">
        <v>5</v>
      </c>
      <c r="H842">
        <v>1250.42</v>
      </c>
      <c r="I842">
        <v>0.12</v>
      </c>
      <c r="J842">
        <v>5501.85</v>
      </c>
      <c r="K842">
        <f t="shared" si="39"/>
        <v>6252.1</v>
      </c>
      <c r="L842">
        <f t="shared" si="40"/>
        <v>750.25</v>
      </c>
      <c r="M842">
        <f t="shared" si="41"/>
        <v>5501.85</v>
      </c>
      <c r="N842" t="s">
        <v>46</v>
      </c>
      <c r="O842" t="s">
        <v>20</v>
      </c>
      <c r="P842" t="s">
        <v>54</v>
      </c>
      <c r="Q842" t="s">
        <v>22</v>
      </c>
    </row>
    <row r="843" spans="1:17" x14ac:dyDescent="0.3">
      <c r="A843" t="s">
        <v>904</v>
      </c>
      <c r="B843" s="1">
        <v>45778</v>
      </c>
      <c r="C843" t="s">
        <v>24</v>
      </c>
      <c r="D843" t="s">
        <v>25</v>
      </c>
      <c r="E843" t="s">
        <v>17</v>
      </c>
      <c r="F843" t="s">
        <v>18</v>
      </c>
      <c r="G843">
        <v>1</v>
      </c>
      <c r="H843">
        <v>1940.76</v>
      </c>
      <c r="I843">
        <v>0.13</v>
      </c>
      <c r="J843">
        <v>1688.46</v>
      </c>
      <c r="K843">
        <f t="shared" si="39"/>
        <v>1940.76</v>
      </c>
      <c r="L843">
        <f t="shared" si="40"/>
        <v>252.29999999999995</v>
      </c>
      <c r="M843">
        <f t="shared" si="41"/>
        <v>1688.46</v>
      </c>
      <c r="N843" t="s">
        <v>19</v>
      </c>
      <c r="O843" t="s">
        <v>29</v>
      </c>
      <c r="P843" t="s">
        <v>30</v>
      </c>
      <c r="Q843" t="s">
        <v>22</v>
      </c>
    </row>
    <row r="844" spans="1:17" x14ac:dyDescent="0.3">
      <c r="A844" t="s">
        <v>905</v>
      </c>
      <c r="B844" s="1">
        <v>45818</v>
      </c>
      <c r="C844" t="s">
        <v>15</v>
      </c>
      <c r="D844" t="s">
        <v>25</v>
      </c>
      <c r="E844" t="s">
        <v>99</v>
      </c>
      <c r="F844" t="s">
        <v>115</v>
      </c>
      <c r="G844">
        <v>3</v>
      </c>
      <c r="H844">
        <v>4997.28</v>
      </c>
      <c r="I844">
        <v>0.2</v>
      </c>
      <c r="J844">
        <v>11993.47</v>
      </c>
      <c r="K844">
        <f t="shared" si="39"/>
        <v>14991.84</v>
      </c>
      <c r="L844">
        <f t="shared" si="40"/>
        <v>2998.3700000000008</v>
      </c>
      <c r="M844">
        <f t="shared" si="41"/>
        <v>11993.47</v>
      </c>
      <c r="N844" t="s">
        <v>46</v>
      </c>
      <c r="O844" t="s">
        <v>29</v>
      </c>
      <c r="P844" t="s">
        <v>30</v>
      </c>
      <c r="Q844" t="s">
        <v>22</v>
      </c>
    </row>
    <row r="845" spans="1:17" x14ac:dyDescent="0.3">
      <c r="A845" t="s">
        <v>906</v>
      </c>
      <c r="B845" s="1">
        <v>45799</v>
      </c>
      <c r="C845" t="s">
        <v>15</v>
      </c>
      <c r="D845" t="s">
        <v>16</v>
      </c>
      <c r="E845" t="s">
        <v>17</v>
      </c>
      <c r="F845" t="s">
        <v>32</v>
      </c>
      <c r="G845">
        <v>4</v>
      </c>
      <c r="H845">
        <v>4365.6499999999996</v>
      </c>
      <c r="I845">
        <v>0.1</v>
      </c>
      <c r="J845">
        <v>15716.34</v>
      </c>
      <c r="K845">
        <f t="shared" si="39"/>
        <v>17462.599999999999</v>
      </c>
      <c r="L845">
        <f t="shared" si="40"/>
        <v>1746.2599999999984</v>
      </c>
      <c r="M845">
        <f t="shared" si="41"/>
        <v>15716.34</v>
      </c>
      <c r="N845" t="s">
        <v>58</v>
      </c>
      <c r="O845" t="s">
        <v>20</v>
      </c>
      <c r="P845" t="s">
        <v>54</v>
      </c>
      <c r="Q845" t="s">
        <v>22</v>
      </c>
    </row>
    <row r="846" spans="1:17" x14ac:dyDescent="0.3">
      <c r="A846" t="s">
        <v>907</v>
      </c>
      <c r="B846" s="1">
        <v>45833</v>
      </c>
      <c r="C846" t="s">
        <v>52</v>
      </c>
      <c r="D846" t="s">
        <v>25</v>
      </c>
      <c r="E846" t="s">
        <v>27</v>
      </c>
      <c r="F846" t="s">
        <v>28</v>
      </c>
      <c r="G846">
        <v>5</v>
      </c>
      <c r="H846">
        <v>3462.31</v>
      </c>
      <c r="I846">
        <v>0.22</v>
      </c>
      <c r="J846">
        <v>13503.01</v>
      </c>
      <c r="K846">
        <f t="shared" si="39"/>
        <v>17311.55</v>
      </c>
      <c r="L846">
        <f t="shared" si="40"/>
        <v>3808.5399999999991</v>
      </c>
      <c r="M846">
        <f t="shared" si="41"/>
        <v>13503.01</v>
      </c>
      <c r="N846" t="s">
        <v>46</v>
      </c>
      <c r="O846" t="s">
        <v>34</v>
      </c>
      <c r="P846" t="s">
        <v>21</v>
      </c>
      <c r="Q846" t="s">
        <v>22</v>
      </c>
    </row>
    <row r="847" spans="1:17" x14ac:dyDescent="0.3">
      <c r="A847" t="s">
        <v>908</v>
      </c>
      <c r="B847" s="1">
        <v>45758</v>
      </c>
      <c r="C847" t="s">
        <v>24</v>
      </c>
      <c r="D847" t="s">
        <v>25</v>
      </c>
      <c r="E847" t="s">
        <v>17</v>
      </c>
      <c r="F847" t="s">
        <v>32</v>
      </c>
      <c r="G847">
        <v>3</v>
      </c>
      <c r="H847">
        <v>3421.85</v>
      </c>
      <c r="I847">
        <v>0.06</v>
      </c>
      <c r="J847">
        <v>9649.6200000000008</v>
      </c>
      <c r="K847">
        <f t="shared" si="39"/>
        <v>10265.549999999999</v>
      </c>
      <c r="L847">
        <f t="shared" si="40"/>
        <v>615.92999999999847</v>
      </c>
      <c r="M847">
        <f t="shared" si="41"/>
        <v>9649.6200000000008</v>
      </c>
      <c r="N847" t="s">
        <v>46</v>
      </c>
      <c r="O847" t="s">
        <v>20</v>
      </c>
      <c r="P847" t="s">
        <v>30</v>
      </c>
      <c r="Q847" t="s">
        <v>22</v>
      </c>
    </row>
    <row r="848" spans="1:17" x14ac:dyDescent="0.3">
      <c r="A848" t="s">
        <v>909</v>
      </c>
      <c r="B848" s="1">
        <v>45742</v>
      </c>
      <c r="C848" t="s">
        <v>48</v>
      </c>
      <c r="D848" t="s">
        <v>43</v>
      </c>
      <c r="E848" t="s">
        <v>17</v>
      </c>
      <c r="F848" t="s">
        <v>32</v>
      </c>
      <c r="G848">
        <v>1</v>
      </c>
      <c r="H848">
        <v>3697.96</v>
      </c>
      <c r="I848">
        <v>7.0000000000000007E-2</v>
      </c>
      <c r="J848">
        <v>3439.1</v>
      </c>
      <c r="K848">
        <f t="shared" si="39"/>
        <v>3697.96</v>
      </c>
      <c r="L848">
        <f t="shared" si="40"/>
        <v>258.86000000000013</v>
      </c>
      <c r="M848">
        <f t="shared" si="41"/>
        <v>3439.1</v>
      </c>
      <c r="N848" t="s">
        <v>41</v>
      </c>
      <c r="O848" t="s">
        <v>29</v>
      </c>
      <c r="P848" t="s">
        <v>54</v>
      </c>
      <c r="Q848" t="s">
        <v>37</v>
      </c>
    </row>
    <row r="849" spans="1:17" x14ac:dyDescent="0.3">
      <c r="A849" t="s">
        <v>910</v>
      </c>
      <c r="B849" s="1">
        <v>45821</v>
      </c>
      <c r="C849" t="s">
        <v>52</v>
      </c>
      <c r="D849" t="s">
        <v>43</v>
      </c>
      <c r="E849" t="s">
        <v>27</v>
      </c>
      <c r="F849" t="s">
        <v>79</v>
      </c>
      <c r="G849">
        <v>3</v>
      </c>
      <c r="H849">
        <v>4178.54</v>
      </c>
      <c r="I849">
        <v>0.25</v>
      </c>
      <c r="J849">
        <v>9401.7199999999993</v>
      </c>
      <c r="K849">
        <f t="shared" si="39"/>
        <v>12535.619999999999</v>
      </c>
      <c r="L849">
        <f t="shared" si="40"/>
        <v>3133.8999999999996</v>
      </c>
      <c r="M849">
        <f t="shared" si="41"/>
        <v>9401.7199999999993</v>
      </c>
      <c r="N849" t="s">
        <v>41</v>
      </c>
      <c r="O849" t="s">
        <v>20</v>
      </c>
      <c r="P849" t="s">
        <v>30</v>
      </c>
      <c r="Q849" t="s">
        <v>37</v>
      </c>
    </row>
    <row r="850" spans="1:17" x14ac:dyDescent="0.3">
      <c r="A850" t="s">
        <v>911</v>
      </c>
      <c r="B850" s="1">
        <v>45836</v>
      </c>
      <c r="C850" t="s">
        <v>36</v>
      </c>
      <c r="D850" t="s">
        <v>16</v>
      </c>
      <c r="E850" t="s">
        <v>17</v>
      </c>
      <c r="F850" t="s">
        <v>40</v>
      </c>
      <c r="G850">
        <v>2</v>
      </c>
      <c r="H850">
        <v>935.12</v>
      </c>
      <c r="I850">
        <v>0.24</v>
      </c>
      <c r="J850">
        <v>1421.38</v>
      </c>
      <c r="K850">
        <f t="shared" si="39"/>
        <v>1870.24</v>
      </c>
      <c r="L850">
        <f t="shared" si="40"/>
        <v>448.8599999999999</v>
      </c>
      <c r="M850">
        <f t="shared" si="41"/>
        <v>1421.38</v>
      </c>
      <c r="N850" t="s">
        <v>19</v>
      </c>
      <c r="O850" t="s">
        <v>20</v>
      </c>
      <c r="P850" t="s">
        <v>21</v>
      </c>
      <c r="Q850" t="s">
        <v>22</v>
      </c>
    </row>
    <row r="851" spans="1:17" x14ac:dyDescent="0.3">
      <c r="A851" t="s">
        <v>912</v>
      </c>
      <c r="B851" s="1">
        <v>45766</v>
      </c>
      <c r="C851" t="s">
        <v>15</v>
      </c>
      <c r="D851" t="s">
        <v>16</v>
      </c>
      <c r="E851" t="s">
        <v>17</v>
      </c>
      <c r="F851" t="s">
        <v>44</v>
      </c>
      <c r="G851">
        <v>2</v>
      </c>
      <c r="H851">
        <v>3623.96</v>
      </c>
      <c r="I851">
        <v>0.17</v>
      </c>
      <c r="J851">
        <v>6015.77</v>
      </c>
      <c r="K851">
        <f t="shared" si="39"/>
        <v>7247.92</v>
      </c>
      <c r="L851">
        <f t="shared" si="40"/>
        <v>1232.1499999999996</v>
      </c>
      <c r="M851">
        <f t="shared" si="41"/>
        <v>6015.77</v>
      </c>
      <c r="N851" t="s">
        <v>41</v>
      </c>
      <c r="O851" t="s">
        <v>34</v>
      </c>
      <c r="P851" t="s">
        <v>21</v>
      </c>
      <c r="Q851" t="s">
        <v>22</v>
      </c>
    </row>
    <row r="852" spans="1:17" x14ac:dyDescent="0.3">
      <c r="A852" t="s">
        <v>913</v>
      </c>
      <c r="B852" s="1">
        <v>45746</v>
      </c>
      <c r="C852" t="s">
        <v>24</v>
      </c>
      <c r="D852" t="s">
        <v>39</v>
      </c>
      <c r="E852" t="s">
        <v>27</v>
      </c>
      <c r="F852" t="s">
        <v>87</v>
      </c>
      <c r="G852">
        <v>5</v>
      </c>
      <c r="H852">
        <v>3855.05</v>
      </c>
      <c r="I852">
        <v>0.15</v>
      </c>
      <c r="J852">
        <v>16383.96</v>
      </c>
      <c r="K852">
        <f t="shared" si="39"/>
        <v>19275.25</v>
      </c>
      <c r="L852">
        <f t="shared" si="40"/>
        <v>2891.2900000000009</v>
      </c>
      <c r="M852">
        <f t="shared" si="41"/>
        <v>16383.96</v>
      </c>
      <c r="N852" t="s">
        <v>46</v>
      </c>
      <c r="O852" t="s">
        <v>20</v>
      </c>
      <c r="P852" t="s">
        <v>21</v>
      </c>
      <c r="Q852" t="s">
        <v>22</v>
      </c>
    </row>
    <row r="853" spans="1:17" x14ac:dyDescent="0.3">
      <c r="A853" t="s">
        <v>914</v>
      </c>
      <c r="B853" s="1">
        <v>45834</v>
      </c>
      <c r="C853" t="s">
        <v>52</v>
      </c>
      <c r="D853" t="s">
        <v>43</v>
      </c>
      <c r="E853" t="s">
        <v>49</v>
      </c>
      <c r="F853" t="s">
        <v>50</v>
      </c>
      <c r="G853">
        <v>1</v>
      </c>
      <c r="H853">
        <v>1525.78</v>
      </c>
      <c r="I853">
        <v>0.03</v>
      </c>
      <c r="J853">
        <v>1480.01</v>
      </c>
      <c r="K853">
        <f t="shared" si="39"/>
        <v>1525.78</v>
      </c>
      <c r="L853">
        <f t="shared" si="40"/>
        <v>45.769999999999982</v>
      </c>
      <c r="M853">
        <f t="shared" si="41"/>
        <v>1480.01</v>
      </c>
      <c r="N853" t="s">
        <v>19</v>
      </c>
      <c r="O853" t="s">
        <v>34</v>
      </c>
      <c r="P853" t="s">
        <v>30</v>
      </c>
      <c r="Q853" t="s">
        <v>22</v>
      </c>
    </row>
    <row r="854" spans="1:17" x14ac:dyDescent="0.3">
      <c r="A854" t="s">
        <v>915</v>
      </c>
      <c r="B854" s="1">
        <v>45690</v>
      </c>
      <c r="C854" t="s">
        <v>52</v>
      </c>
      <c r="D854" t="s">
        <v>43</v>
      </c>
      <c r="E854" t="s">
        <v>17</v>
      </c>
      <c r="F854" t="s">
        <v>32</v>
      </c>
      <c r="G854">
        <v>5</v>
      </c>
      <c r="H854">
        <v>3710.9</v>
      </c>
      <c r="I854">
        <v>0.08</v>
      </c>
      <c r="J854">
        <v>17070.14</v>
      </c>
      <c r="K854">
        <f t="shared" si="39"/>
        <v>18554.5</v>
      </c>
      <c r="L854">
        <f t="shared" si="40"/>
        <v>1484.3600000000006</v>
      </c>
      <c r="M854">
        <f t="shared" si="41"/>
        <v>17070.14</v>
      </c>
      <c r="N854" t="s">
        <v>46</v>
      </c>
      <c r="O854" t="s">
        <v>34</v>
      </c>
      <c r="P854" t="s">
        <v>21</v>
      </c>
      <c r="Q854" t="s">
        <v>88</v>
      </c>
    </row>
    <row r="855" spans="1:17" x14ac:dyDescent="0.3">
      <c r="A855" t="s">
        <v>916</v>
      </c>
      <c r="B855" s="1">
        <v>45804</v>
      </c>
      <c r="C855" t="s">
        <v>15</v>
      </c>
      <c r="D855" t="s">
        <v>25</v>
      </c>
      <c r="E855" t="s">
        <v>49</v>
      </c>
      <c r="F855" t="s">
        <v>53</v>
      </c>
      <c r="G855">
        <v>5</v>
      </c>
      <c r="H855">
        <v>2994.8</v>
      </c>
      <c r="I855">
        <v>0.03</v>
      </c>
      <c r="J855">
        <v>14524.78</v>
      </c>
      <c r="K855">
        <f t="shared" si="39"/>
        <v>14974</v>
      </c>
      <c r="L855">
        <f t="shared" si="40"/>
        <v>449.21999999999935</v>
      </c>
      <c r="M855">
        <f t="shared" si="41"/>
        <v>14524.78</v>
      </c>
      <c r="N855" t="s">
        <v>19</v>
      </c>
      <c r="O855" t="s">
        <v>29</v>
      </c>
      <c r="P855" t="s">
        <v>54</v>
      </c>
      <c r="Q855" t="s">
        <v>22</v>
      </c>
    </row>
    <row r="856" spans="1:17" x14ac:dyDescent="0.3">
      <c r="A856" t="s">
        <v>917</v>
      </c>
      <c r="B856" s="1">
        <v>45827</v>
      </c>
      <c r="C856" t="s">
        <v>48</v>
      </c>
      <c r="D856" t="s">
        <v>16</v>
      </c>
      <c r="E856" t="s">
        <v>99</v>
      </c>
      <c r="F856" t="s">
        <v>100</v>
      </c>
      <c r="G856">
        <v>5</v>
      </c>
      <c r="H856">
        <v>1488.62</v>
      </c>
      <c r="I856">
        <v>0.19</v>
      </c>
      <c r="J856">
        <v>6028.91</v>
      </c>
      <c r="K856">
        <f t="shared" si="39"/>
        <v>7443.0999999999995</v>
      </c>
      <c r="L856">
        <f t="shared" si="40"/>
        <v>1414.1899999999996</v>
      </c>
      <c r="M856">
        <f t="shared" si="41"/>
        <v>6028.91</v>
      </c>
      <c r="N856" t="s">
        <v>41</v>
      </c>
      <c r="O856" t="s">
        <v>20</v>
      </c>
      <c r="P856" t="s">
        <v>21</v>
      </c>
      <c r="Q856" t="s">
        <v>22</v>
      </c>
    </row>
    <row r="857" spans="1:17" x14ac:dyDescent="0.3">
      <c r="A857" t="s">
        <v>918</v>
      </c>
      <c r="B857" s="1">
        <v>45752</v>
      </c>
      <c r="C857" t="s">
        <v>15</v>
      </c>
      <c r="D857" t="s">
        <v>16</v>
      </c>
      <c r="E857" t="s">
        <v>99</v>
      </c>
      <c r="F857" t="s">
        <v>120</v>
      </c>
      <c r="G857">
        <v>2</v>
      </c>
      <c r="H857">
        <v>2525.63</v>
      </c>
      <c r="I857">
        <v>0.18</v>
      </c>
      <c r="J857">
        <v>4142.03</v>
      </c>
      <c r="K857">
        <f t="shared" si="39"/>
        <v>5051.26</v>
      </c>
      <c r="L857">
        <f t="shared" si="40"/>
        <v>909.23000000000047</v>
      </c>
      <c r="M857">
        <f t="shared" si="41"/>
        <v>4142.03</v>
      </c>
      <c r="N857" t="s">
        <v>33</v>
      </c>
      <c r="O857" t="s">
        <v>34</v>
      </c>
      <c r="P857" t="s">
        <v>30</v>
      </c>
      <c r="Q857" t="s">
        <v>59</v>
      </c>
    </row>
    <row r="858" spans="1:17" x14ac:dyDescent="0.3">
      <c r="A858" t="s">
        <v>919</v>
      </c>
      <c r="B858" s="1">
        <v>45747</v>
      </c>
      <c r="C858" t="s">
        <v>52</v>
      </c>
      <c r="D858" t="s">
        <v>25</v>
      </c>
      <c r="E858" t="s">
        <v>99</v>
      </c>
      <c r="F858" t="s">
        <v>100</v>
      </c>
      <c r="G858">
        <v>1</v>
      </c>
      <c r="H858">
        <v>4623.47</v>
      </c>
      <c r="I858">
        <v>0.19</v>
      </c>
      <c r="J858">
        <v>3745.01</v>
      </c>
      <c r="K858">
        <f t="shared" si="39"/>
        <v>4623.47</v>
      </c>
      <c r="L858">
        <f t="shared" si="40"/>
        <v>878.46</v>
      </c>
      <c r="M858">
        <f t="shared" si="41"/>
        <v>3745.01</v>
      </c>
      <c r="N858" t="s">
        <v>19</v>
      </c>
      <c r="O858" t="s">
        <v>29</v>
      </c>
      <c r="P858" t="s">
        <v>30</v>
      </c>
      <c r="Q858" t="s">
        <v>22</v>
      </c>
    </row>
    <row r="859" spans="1:17" x14ac:dyDescent="0.3">
      <c r="A859" t="s">
        <v>920</v>
      </c>
      <c r="B859" s="1">
        <v>45710</v>
      </c>
      <c r="C859" t="s">
        <v>36</v>
      </c>
      <c r="D859" t="s">
        <v>25</v>
      </c>
      <c r="E859" t="s">
        <v>61</v>
      </c>
      <c r="F859" t="s">
        <v>62</v>
      </c>
      <c r="G859">
        <v>4</v>
      </c>
      <c r="H859">
        <v>3421.7</v>
      </c>
      <c r="I859">
        <v>0.25</v>
      </c>
      <c r="J859">
        <v>10265.1</v>
      </c>
      <c r="K859">
        <f t="shared" si="39"/>
        <v>13686.8</v>
      </c>
      <c r="L859">
        <f t="shared" si="40"/>
        <v>3421.6999999999989</v>
      </c>
      <c r="M859">
        <f t="shared" si="41"/>
        <v>10265.1</v>
      </c>
      <c r="N859" t="s">
        <v>41</v>
      </c>
      <c r="O859" t="s">
        <v>34</v>
      </c>
      <c r="P859" t="s">
        <v>30</v>
      </c>
      <c r="Q859" t="s">
        <v>22</v>
      </c>
    </row>
    <row r="860" spans="1:17" x14ac:dyDescent="0.3">
      <c r="A860" t="s">
        <v>921</v>
      </c>
      <c r="B860" s="1">
        <v>45805</v>
      </c>
      <c r="C860" t="s">
        <v>52</v>
      </c>
      <c r="D860" t="s">
        <v>16</v>
      </c>
      <c r="E860" t="s">
        <v>99</v>
      </c>
      <c r="F860" t="s">
        <v>111</v>
      </c>
      <c r="G860">
        <v>1</v>
      </c>
      <c r="H860">
        <v>741.41</v>
      </c>
      <c r="I860">
        <v>0.19</v>
      </c>
      <c r="J860">
        <v>600.54</v>
      </c>
      <c r="K860">
        <f t="shared" si="39"/>
        <v>741.41</v>
      </c>
      <c r="L860">
        <f t="shared" si="40"/>
        <v>140.87</v>
      </c>
      <c r="M860">
        <f t="shared" si="41"/>
        <v>600.54</v>
      </c>
      <c r="N860" t="s">
        <v>33</v>
      </c>
      <c r="O860" t="s">
        <v>34</v>
      </c>
      <c r="P860" t="s">
        <v>21</v>
      </c>
      <c r="Q860" t="s">
        <v>88</v>
      </c>
    </row>
    <row r="861" spans="1:17" x14ac:dyDescent="0.3">
      <c r="A861" t="s">
        <v>922</v>
      </c>
      <c r="B861" s="1">
        <v>45708</v>
      </c>
      <c r="C861" t="s">
        <v>52</v>
      </c>
      <c r="D861" t="s">
        <v>43</v>
      </c>
      <c r="E861" t="s">
        <v>99</v>
      </c>
      <c r="F861" t="s">
        <v>115</v>
      </c>
      <c r="G861">
        <v>4</v>
      </c>
      <c r="H861">
        <v>3510.18</v>
      </c>
      <c r="I861">
        <v>7.0000000000000007E-2</v>
      </c>
      <c r="J861">
        <v>13057.87</v>
      </c>
      <c r="K861">
        <f t="shared" si="39"/>
        <v>14040.72</v>
      </c>
      <c r="L861">
        <f t="shared" si="40"/>
        <v>982.84999999999854</v>
      </c>
      <c r="M861">
        <f t="shared" si="41"/>
        <v>13057.87</v>
      </c>
      <c r="N861" t="s">
        <v>33</v>
      </c>
      <c r="O861" t="s">
        <v>20</v>
      </c>
      <c r="P861" t="s">
        <v>54</v>
      </c>
      <c r="Q861" t="s">
        <v>22</v>
      </c>
    </row>
    <row r="862" spans="1:17" x14ac:dyDescent="0.3">
      <c r="A862" t="s">
        <v>923</v>
      </c>
      <c r="B862" s="1">
        <v>45823</v>
      </c>
      <c r="C862" t="s">
        <v>15</v>
      </c>
      <c r="D862" t="s">
        <v>43</v>
      </c>
      <c r="E862" t="s">
        <v>61</v>
      </c>
      <c r="F862" t="s">
        <v>62</v>
      </c>
      <c r="G862">
        <v>2</v>
      </c>
      <c r="H862">
        <v>1945.12</v>
      </c>
      <c r="I862">
        <v>0.25</v>
      </c>
      <c r="J862">
        <v>2917.68</v>
      </c>
      <c r="K862">
        <f t="shared" si="39"/>
        <v>3890.24</v>
      </c>
      <c r="L862">
        <f t="shared" si="40"/>
        <v>972.56</v>
      </c>
      <c r="M862">
        <f t="shared" si="41"/>
        <v>2917.68</v>
      </c>
      <c r="N862" t="s">
        <v>33</v>
      </c>
      <c r="O862" t="s">
        <v>20</v>
      </c>
      <c r="P862" t="s">
        <v>21</v>
      </c>
      <c r="Q862" t="s">
        <v>37</v>
      </c>
    </row>
    <row r="863" spans="1:17" x14ac:dyDescent="0.3">
      <c r="A863" t="s">
        <v>924</v>
      </c>
      <c r="B863" s="1">
        <v>45783</v>
      </c>
      <c r="C863" t="s">
        <v>48</v>
      </c>
      <c r="D863" t="s">
        <v>25</v>
      </c>
      <c r="E863" t="s">
        <v>17</v>
      </c>
      <c r="F863" t="s">
        <v>32</v>
      </c>
      <c r="G863">
        <v>1</v>
      </c>
      <c r="H863">
        <v>4903.3599999999997</v>
      </c>
      <c r="I863">
        <v>0.16</v>
      </c>
      <c r="J863">
        <v>4118.82</v>
      </c>
      <c r="K863">
        <f t="shared" si="39"/>
        <v>4903.3599999999997</v>
      </c>
      <c r="L863">
        <f t="shared" si="40"/>
        <v>784.54</v>
      </c>
      <c r="M863">
        <f t="shared" si="41"/>
        <v>4118.82</v>
      </c>
      <c r="N863" t="s">
        <v>19</v>
      </c>
      <c r="O863" t="s">
        <v>20</v>
      </c>
      <c r="P863" t="s">
        <v>21</v>
      </c>
      <c r="Q863" t="s">
        <v>59</v>
      </c>
    </row>
    <row r="864" spans="1:17" x14ac:dyDescent="0.3">
      <c r="A864" t="s">
        <v>925</v>
      </c>
      <c r="B864" s="1">
        <v>45713</v>
      </c>
      <c r="C864" t="s">
        <v>24</v>
      </c>
      <c r="D864" t="s">
        <v>25</v>
      </c>
      <c r="E864" t="s">
        <v>49</v>
      </c>
      <c r="F864" t="s">
        <v>73</v>
      </c>
      <c r="G864">
        <v>4</v>
      </c>
      <c r="H864">
        <v>2494.27</v>
      </c>
      <c r="I864">
        <v>0.17</v>
      </c>
      <c r="J864">
        <v>8280.98</v>
      </c>
      <c r="K864">
        <f t="shared" si="39"/>
        <v>9977.08</v>
      </c>
      <c r="L864">
        <f t="shared" si="40"/>
        <v>1696.1000000000004</v>
      </c>
      <c r="M864">
        <f t="shared" si="41"/>
        <v>8280.98</v>
      </c>
      <c r="N864" t="s">
        <v>58</v>
      </c>
      <c r="O864" t="s">
        <v>20</v>
      </c>
      <c r="P864" t="s">
        <v>54</v>
      </c>
      <c r="Q864" t="s">
        <v>88</v>
      </c>
    </row>
    <row r="865" spans="1:17" x14ac:dyDescent="0.3">
      <c r="A865" t="s">
        <v>926</v>
      </c>
      <c r="B865" s="1">
        <v>45808</v>
      </c>
      <c r="C865" t="s">
        <v>48</v>
      </c>
      <c r="D865" t="s">
        <v>16</v>
      </c>
      <c r="E865" t="s">
        <v>17</v>
      </c>
      <c r="F865" t="s">
        <v>40</v>
      </c>
      <c r="G865">
        <v>4</v>
      </c>
      <c r="H865">
        <v>1899.88</v>
      </c>
      <c r="I865">
        <v>0.03</v>
      </c>
      <c r="J865">
        <v>7371.53</v>
      </c>
      <c r="K865">
        <f t="shared" si="39"/>
        <v>7599.52</v>
      </c>
      <c r="L865">
        <f t="shared" si="40"/>
        <v>227.99000000000069</v>
      </c>
      <c r="M865">
        <f t="shared" si="41"/>
        <v>7371.53</v>
      </c>
      <c r="N865" t="s">
        <v>46</v>
      </c>
      <c r="O865" t="s">
        <v>29</v>
      </c>
      <c r="P865" t="s">
        <v>54</v>
      </c>
      <c r="Q865" t="s">
        <v>22</v>
      </c>
    </row>
    <row r="866" spans="1:17" x14ac:dyDescent="0.3">
      <c r="A866" t="s">
        <v>927</v>
      </c>
      <c r="B866" s="1">
        <v>45811</v>
      </c>
      <c r="C866" t="s">
        <v>24</v>
      </c>
      <c r="D866" t="s">
        <v>43</v>
      </c>
      <c r="E866" t="s">
        <v>27</v>
      </c>
      <c r="F866" t="s">
        <v>68</v>
      </c>
      <c r="G866">
        <v>5</v>
      </c>
      <c r="H866">
        <v>2449.54</v>
      </c>
      <c r="I866">
        <v>0.17</v>
      </c>
      <c r="J866">
        <v>10165.59</v>
      </c>
      <c r="K866">
        <f t="shared" si="39"/>
        <v>12247.7</v>
      </c>
      <c r="L866">
        <f t="shared" si="40"/>
        <v>2082.1100000000006</v>
      </c>
      <c r="M866">
        <f t="shared" si="41"/>
        <v>10165.59</v>
      </c>
      <c r="N866" t="s">
        <v>33</v>
      </c>
      <c r="O866" t="s">
        <v>29</v>
      </c>
      <c r="P866" t="s">
        <v>54</v>
      </c>
      <c r="Q866" t="s">
        <v>22</v>
      </c>
    </row>
    <row r="867" spans="1:17" x14ac:dyDescent="0.3">
      <c r="A867" t="s">
        <v>928</v>
      </c>
      <c r="B867" s="1">
        <v>45761</v>
      </c>
      <c r="C867" t="s">
        <v>36</v>
      </c>
      <c r="D867" t="s">
        <v>43</v>
      </c>
      <c r="E867" t="s">
        <v>49</v>
      </c>
      <c r="F867" t="s">
        <v>53</v>
      </c>
      <c r="G867">
        <v>3</v>
      </c>
      <c r="H867">
        <v>411.14</v>
      </c>
      <c r="I867">
        <v>0.23</v>
      </c>
      <c r="J867">
        <v>949.73</v>
      </c>
      <c r="K867">
        <f t="shared" si="39"/>
        <v>1233.42</v>
      </c>
      <c r="L867">
        <f t="shared" si="40"/>
        <v>283.69000000000005</v>
      </c>
      <c r="M867">
        <f t="shared" si="41"/>
        <v>949.73</v>
      </c>
      <c r="N867" t="s">
        <v>19</v>
      </c>
      <c r="O867" t="s">
        <v>20</v>
      </c>
      <c r="P867" t="s">
        <v>21</v>
      </c>
      <c r="Q867" t="s">
        <v>22</v>
      </c>
    </row>
    <row r="868" spans="1:17" x14ac:dyDescent="0.3">
      <c r="A868" t="s">
        <v>929</v>
      </c>
      <c r="B868" s="1">
        <v>45754</v>
      </c>
      <c r="C868" t="s">
        <v>36</v>
      </c>
      <c r="D868" t="s">
        <v>16</v>
      </c>
      <c r="E868" t="s">
        <v>17</v>
      </c>
      <c r="F868" t="s">
        <v>40</v>
      </c>
      <c r="G868">
        <v>4</v>
      </c>
      <c r="H868">
        <v>413.27</v>
      </c>
      <c r="I868">
        <v>0.21</v>
      </c>
      <c r="J868">
        <v>1305.93</v>
      </c>
      <c r="K868">
        <f t="shared" si="39"/>
        <v>1653.08</v>
      </c>
      <c r="L868">
        <f t="shared" si="40"/>
        <v>347.14999999999986</v>
      </c>
      <c r="M868">
        <f t="shared" si="41"/>
        <v>1305.93</v>
      </c>
      <c r="N868" t="s">
        <v>33</v>
      </c>
      <c r="O868" t="s">
        <v>29</v>
      </c>
      <c r="P868" t="s">
        <v>21</v>
      </c>
      <c r="Q868" t="s">
        <v>88</v>
      </c>
    </row>
    <row r="869" spans="1:17" x14ac:dyDescent="0.3">
      <c r="A869" t="s">
        <v>930</v>
      </c>
      <c r="B869" s="1">
        <v>45781</v>
      </c>
      <c r="C869" t="s">
        <v>52</v>
      </c>
      <c r="D869" t="s">
        <v>16</v>
      </c>
      <c r="E869" t="s">
        <v>61</v>
      </c>
      <c r="F869" t="s">
        <v>62</v>
      </c>
      <c r="G869">
        <v>2</v>
      </c>
      <c r="H869">
        <v>126.09</v>
      </c>
      <c r="I869">
        <v>0.11</v>
      </c>
      <c r="J869">
        <v>224.44</v>
      </c>
      <c r="K869">
        <f t="shared" si="39"/>
        <v>252.18</v>
      </c>
      <c r="L869">
        <f t="shared" si="40"/>
        <v>27.740000000000009</v>
      </c>
      <c r="M869">
        <f t="shared" si="41"/>
        <v>224.44</v>
      </c>
      <c r="N869" t="s">
        <v>33</v>
      </c>
      <c r="O869" t="s">
        <v>29</v>
      </c>
      <c r="P869" t="s">
        <v>30</v>
      </c>
      <c r="Q869" t="s">
        <v>22</v>
      </c>
    </row>
    <row r="870" spans="1:17" x14ac:dyDescent="0.3">
      <c r="A870" t="s">
        <v>931</v>
      </c>
      <c r="B870" s="1">
        <v>45706</v>
      </c>
      <c r="C870" t="s">
        <v>52</v>
      </c>
      <c r="D870" t="s">
        <v>39</v>
      </c>
      <c r="E870" t="s">
        <v>27</v>
      </c>
      <c r="F870" t="s">
        <v>68</v>
      </c>
      <c r="G870">
        <v>3</v>
      </c>
      <c r="H870">
        <v>4272.1099999999997</v>
      </c>
      <c r="I870">
        <v>0.01</v>
      </c>
      <c r="J870">
        <v>12688.17</v>
      </c>
      <c r="K870">
        <f t="shared" si="39"/>
        <v>12816.329999999998</v>
      </c>
      <c r="L870">
        <f t="shared" si="40"/>
        <v>128.15999999999804</v>
      </c>
      <c r="M870">
        <f t="shared" si="41"/>
        <v>12688.17</v>
      </c>
      <c r="N870" t="s">
        <v>58</v>
      </c>
      <c r="O870" t="s">
        <v>29</v>
      </c>
      <c r="P870" t="s">
        <v>54</v>
      </c>
      <c r="Q870" t="s">
        <v>22</v>
      </c>
    </row>
    <row r="871" spans="1:17" x14ac:dyDescent="0.3">
      <c r="A871" t="s">
        <v>932</v>
      </c>
      <c r="B871" s="1">
        <v>45713</v>
      </c>
      <c r="C871" t="s">
        <v>48</v>
      </c>
      <c r="D871" t="s">
        <v>25</v>
      </c>
      <c r="E871" t="s">
        <v>27</v>
      </c>
      <c r="F871" t="s">
        <v>68</v>
      </c>
      <c r="G871">
        <v>3</v>
      </c>
      <c r="H871">
        <v>326.20999999999998</v>
      </c>
      <c r="I871">
        <v>0.24</v>
      </c>
      <c r="J871">
        <v>743.76</v>
      </c>
      <c r="K871">
        <f t="shared" si="39"/>
        <v>978.62999999999988</v>
      </c>
      <c r="L871">
        <f t="shared" si="40"/>
        <v>234.86999999999989</v>
      </c>
      <c r="M871">
        <f t="shared" si="41"/>
        <v>743.76</v>
      </c>
      <c r="N871" t="s">
        <v>58</v>
      </c>
      <c r="O871" t="s">
        <v>20</v>
      </c>
      <c r="P871" t="s">
        <v>30</v>
      </c>
      <c r="Q871" t="s">
        <v>22</v>
      </c>
    </row>
    <row r="872" spans="1:17" x14ac:dyDescent="0.3">
      <c r="A872" t="s">
        <v>933</v>
      </c>
      <c r="B872" s="1">
        <v>45745</v>
      </c>
      <c r="C872" t="s">
        <v>36</v>
      </c>
      <c r="D872" t="s">
        <v>16</v>
      </c>
      <c r="E872" t="s">
        <v>49</v>
      </c>
      <c r="F872" t="s">
        <v>53</v>
      </c>
      <c r="G872">
        <v>5</v>
      </c>
      <c r="H872">
        <v>2601.89</v>
      </c>
      <c r="I872">
        <v>0.17</v>
      </c>
      <c r="J872">
        <v>10797.84</v>
      </c>
      <c r="K872">
        <f t="shared" si="39"/>
        <v>13009.449999999999</v>
      </c>
      <c r="L872">
        <f t="shared" si="40"/>
        <v>2211.6099999999988</v>
      </c>
      <c r="M872">
        <f t="shared" si="41"/>
        <v>10797.84</v>
      </c>
      <c r="N872" t="s">
        <v>46</v>
      </c>
      <c r="O872" t="s">
        <v>29</v>
      </c>
      <c r="P872" t="s">
        <v>21</v>
      </c>
      <c r="Q872" t="s">
        <v>22</v>
      </c>
    </row>
    <row r="873" spans="1:17" x14ac:dyDescent="0.3">
      <c r="A873" t="s">
        <v>934</v>
      </c>
      <c r="B873" s="1">
        <v>45675</v>
      </c>
      <c r="C873" t="s">
        <v>15</v>
      </c>
      <c r="D873" t="s">
        <v>43</v>
      </c>
      <c r="E873" t="s">
        <v>61</v>
      </c>
      <c r="F873" t="s">
        <v>75</v>
      </c>
      <c r="G873">
        <v>5</v>
      </c>
      <c r="H873">
        <v>2805.15</v>
      </c>
      <c r="I873">
        <v>0.15</v>
      </c>
      <c r="J873">
        <v>11921.89</v>
      </c>
      <c r="K873">
        <f t="shared" si="39"/>
        <v>14025.75</v>
      </c>
      <c r="L873">
        <f t="shared" si="40"/>
        <v>2103.8600000000006</v>
      </c>
      <c r="M873">
        <f t="shared" si="41"/>
        <v>11921.89</v>
      </c>
      <c r="N873" t="s">
        <v>19</v>
      </c>
      <c r="O873" t="s">
        <v>20</v>
      </c>
      <c r="P873" t="s">
        <v>30</v>
      </c>
      <c r="Q873" t="s">
        <v>22</v>
      </c>
    </row>
    <row r="874" spans="1:17" x14ac:dyDescent="0.3">
      <c r="A874" t="s">
        <v>935</v>
      </c>
      <c r="B874" s="1">
        <v>45798</v>
      </c>
      <c r="C874" t="s">
        <v>36</v>
      </c>
      <c r="D874" t="s">
        <v>16</v>
      </c>
      <c r="E874" t="s">
        <v>49</v>
      </c>
      <c r="F874" t="s">
        <v>56</v>
      </c>
      <c r="G874">
        <v>4</v>
      </c>
      <c r="H874">
        <v>3283.87</v>
      </c>
      <c r="I874">
        <v>0.04</v>
      </c>
      <c r="J874">
        <v>12610.06</v>
      </c>
      <c r="K874">
        <f t="shared" si="39"/>
        <v>13135.48</v>
      </c>
      <c r="L874">
        <f t="shared" si="40"/>
        <v>525.42000000000007</v>
      </c>
      <c r="M874">
        <f t="shared" si="41"/>
        <v>12610.06</v>
      </c>
      <c r="N874" t="s">
        <v>46</v>
      </c>
      <c r="O874" t="s">
        <v>34</v>
      </c>
      <c r="P874" t="s">
        <v>30</v>
      </c>
      <c r="Q874" t="s">
        <v>37</v>
      </c>
    </row>
    <row r="875" spans="1:17" x14ac:dyDescent="0.3">
      <c r="A875" t="s">
        <v>936</v>
      </c>
      <c r="B875" s="1">
        <v>45715</v>
      </c>
      <c r="C875" t="s">
        <v>36</v>
      </c>
      <c r="D875" t="s">
        <v>39</v>
      </c>
      <c r="E875" t="s">
        <v>49</v>
      </c>
      <c r="F875" t="s">
        <v>73</v>
      </c>
      <c r="G875">
        <v>3</v>
      </c>
      <c r="H875">
        <v>4977.26</v>
      </c>
      <c r="I875">
        <v>0.17</v>
      </c>
      <c r="J875">
        <v>12393.38</v>
      </c>
      <c r="K875">
        <f t="shared" si="39"/>
        <v>14931.78</v>
      </c>
      <c r="L875">
        <f t="shared" si="40"/>
        <v>2538.4000000000015</v>
      </c>
      <c r="M875">
        <f t="shared" si="41"/>
        <v>12393.38</v>
      </c>
      <c r="N875" t="s">
        <v>19</v>
      </c>
      <c r="O875" t="s">
        <v>20</v>
      </c>
      <c r="P875" t="s">
        <v>54</v>
      </c>
      <c r="Q875" t="s">
        <v>22</v>
      </c>
    </row>
    <row r="876" spans="1:17" x14ac:dyDescent="0.3">
      <c r="A876" t="s">
        <v>937</v>
      </c>
      <c r="B876" s="1">
        <v>45705</v>
      </c>
      <c r="C876" t="s">
        <v>48</v>
      </c>
      <c r="D876" t="s">
        <v>16</v>
      </c>
      <c r="E876" t="s">
        <v>27</v>
      </c>
      <c r="F876" t="s">
        <v>68</v>
      </c>
      <c r="G876">
        <v>4</v>
      </c>
      <c r="H876">
        <v>1956.82</v>
      </c>
      <c r="I876">
        <v>0.24</v>
      </c>
      <c r="J876">
        <v>5948.73</v>
      </c>
      <c r="K876">
        <f t="shared" si="39"/>
        <v>7827.28</v>
      </c>
      <c r="L876">
        <f t="shared" si="40"/>
        <v>1878.5500000000002</v>
      </c>
      <c r="M876">
        <f t="shared" si="41"/>
        <v>5948.73</v>
      </c>
      <c r="N876" t="s">
        <v>19</v>
      </c>
      <c r="O876" t="s">
        <v>34</v>
      </c>
      <c r="P876" t="s">
        <v>54</v>
      </c>
      <c r="Q876" t="s">
        <v>22</v>
      </c>
    </row>
    <row r="877" spans="1:17" x14ac:dyDescent="0.3">
      <c r="A877" t="s">
        <v>938</v>
      </c>
      <c r="B877" s="1">
        <v>45712</v>
      </c>
      <c r="C877" t="s">
        <v>36</v>
      </c>
      <c r="D877" t="s">
        <v>39</v>
      </c>
      <c r="E877" t="s">
        <v>27</v>
      </c>
      <c r="F877" t="s">
        <v>79</v>
      </c>
      <c r="G877">
        <v>3</v>
      </c>
      <c r="H877">
        <v>3236.87</v>
      </c>
      <c r="I877">
        <v>0.09</v>
      </c>
      <c r="J877">
        <v>8836.66</v>
      </c>
      <c r="K877">
        <f t="shared" si="39"/>
        <v>9710.61</v>
      </c>
      <c r="L877">
        <f t="shared" si="40"/>
        <v>873.95000000000073</v>
      </c>
      <c r="M877">
        <f t="shared" si="41"/>
        <v>8836.66</v>
      </c>
      <c r="N877" t="s">
        <v>41</v>
      </c>
      <c r="O877" t="s">
        <v>20</v>
      </c>
      <c r="P877" t="s">
        <v>30</v>
      </c>
      <c r="Q877" t="s">
        <v>22</v>
      </c>
    </row>
    <row r="878" spans="1:17" x14ac:dyDescent="0.3">
      <c r="A878" t="s">
        <v>939</v>
      </c>
      <c r="B878" s="1">
        <v>45725</v>
      </c>
      <c r="C878" t="s">
        <v>24</v>
      </c>
      <c r="D878" t="s">
        <v>43</v>
      </c>
      <c r="E878" t="s">
        <v>61</v>
      </c>
      <c r="F878" t="s">
        <v>66</v>
      </c>
      <c r="G878">
        <v>2</v>
      </c>
      <c r="H878">
        <v>1955.3</v>
      </c>
      <c r="I878">
        <v>0.03</v>
      </c>
      <c r="J878">
        <v>3793.28</v>
      </c>
      <c r="K878">
        <f t="shared" si="39"/>
        <v>3910.6</v>
      </c>
      <c r="L878">
        <f t="shared" si="40"/>
        <v>117.31999999999971</v>
      </c>
      <c r="M878">
        <f t="shared" si="41"/>
        <v>3793.28</v>
      </c>
      <c r="N878" t="s">
        <v>58</v>
      </c>
      <c r="O878" t="s">
        <v>34</v>
      </c>
      <c r="P878" t="s">
        <v>54</v>
      </c>
      <c r="Q878" t="s">
        <v>22</v>
      </c>
    </row>
    <row r="879" spans="1:17" x14ac:dyDescent="0.3">
      <c r="A879" t="s">
        <v>940</v>
      </c>
      <c r="B879" s="1">
        <v>45722</v>
      </c>
      <c r="C879" t="s">
        <v>24</v>
      </c>
      <c r="D879" t="s">
        <v>16</v>
      </c>
      <c r="E879" t="s">
        <v>99</v>
      </c>
      <c r="F879" t="s">
        <v>115</v>
      </c>
      <c r="G879">
        <v>5</v>
      </c>
      <c r="H879">
        <v>4340.45</v>
      </c>
      <c r="I879">
        <v>0.14000000000000001</v>
      </c>
      <c r="J879">
        <v>18663.939999999999</v>
      </c>
      <c r="K879">
        <f t="shared" si="39"/>
        <v>21702.25</v>
      </c>
      <c r="L879">
        <f t="shared" si="40"/>
        <v>3038.3100000000013</v>
      </c>
      <c r="M879">
        <f t="shared" si="41"/>
        <v>18663.939999999999</v>
      </c>
      <c r="N879" t="s">
        <v>33</v>
      </c>
      <c r="O879" t="s">
        <v>34</v>
      </c>
      <c r="P879" t="s">
        <v>21</v>
      </c>
      <c r="Q879" t="s">
        <v>37</v>
      </c>
    </row>
    <row r="880" spans="1:17" x14ac:dyDescent="0.3">
      <c r="A880" t="s">
        <v>941</v>
      </c>
      <c r="B880" s="1">
        <v>45833</v>
      </c>
      <c r="C880" t="s">
        <v>48</v>
      </c>
      <c r="D880" t="s">
        <v>25</v>
      </c>
      <c r="E880" t="s">
        <v>61</v>
      </c>
      <c r="F880" t="s">
        <v>66</v>
      </c>
      <c r="G880">
        <v>5</v>
      </c>
      <c r="H880">
        <v>2803.19</v>
      </c>
      <c r="I880">
        <v>0.22</v>
      </c>
      <c r="J880">
        <v>10932.44</v>
      </c>
      <c r="K880">
        <f t="shared" si="39"/>
        <v>14015.95</v>
      </c>
      <c r="L880">
        <f t="shared" si="40"/>
        <v>3083.51</v>
      </c>
      <c r="M880">
        <f t="shared" si="41"/>
        <v>10932.44</v>
      </c>
      <c r="N880" t="s">
        <v>19</v>
      </c>
      <c r="O880" t="s">
        <v>34</v>
      </c>
      <c r="P880" t="s">
        <v>30</v>
      </c>
      <c r="Q880" t="s">
        <v>22</v>
      </c>
    </row>
    <row r="881" spans="1:17" x14ac:dyDescent="0.3">
      <c r="A881" t="s">
        <v>942</v>
      </c>
      <c r="B881" s="1">
        <v>45764</v>
      </c>
      <c r="C881" t="s">
        <v>36</v>
      </c>
      <c r="D881" t="s">
        <v>16</v>
      </c>
      <c r="E881" t="s">
        <v>99</v>
      </c>
      <c r="F881" t="s">
        <v>120</v>
      </c>
      <c r="G881">
        <v>2</v>
      </c>
      <c r="H881">
        <v>799.08</v>
      </c>
      <c r="I881">
        <v>0.14000000000000001</v>
      </c>
      <c r="J881">
        <v>1374.42</v>
      </c>
      <c r="K881">
        <f t="shared" si="39"/>
        <v>1598.16</v>
      </c>
      <c r="L881">
        <f t="shared" si="40"/>
        <v>223.74</v>
      </c>
      <c r="M881">
        <f t="shared" si="41"/>
        <v>1374.42</v>
      </c>
      <c r="N881" t="s">
        <v>19</v>
      </c>
      <c r="O881" t="s">
        <v>29</v>
      </c>
      <c r="P881" t="s">
        <v>30</v>
      </c>
      <c r="Q881" t="s">
        <v>37</v>
      </c>
    </row>
    <row r="882" spans="1:17" x14ac:dyDescent="0.3">
      <c r="A882" t="s">
        <v>943</v>
      </c>
      <c r="B882" s="1">
        <v>45675</v>
      </c>
      <c r="C882" t="s">
        <v>36</v>
      </c>
      <c r="D882" t="s">
        <v>39</v>
      </c>
      <c r="E882" t="s">
        <v>99</v>
      </c>
      <c r="F882" t="s">
        <v>100</v>
      </c>
      <c r="G882">
        <v>4</v>
      </c>
      <c r="H882">
        <v>997.21</v>
      </c>
      <c r="I882">
        <v>0.25</v>
      </c>
      <c r="J882">
        <v>2991.63</v>
      </c>
      <c r="K882">
        <f t="shared" si="39"/>
        <v>3988.84</v>
      </c>
      <c r="L882">
        <f t="shared" si="40"/>
        <v>997.21</v>
      </c>
      <c r="M882">
        <f t="shared" si="41"/>
        <v>2991.63</v>
      </c>
      <c r="N882" t="s">
        <v>41</v>
      </c>
      <c r="O882" t="s">
        <v>29</v>
      </c>
      <c r="P882" t="s">
        <v>30</v>
      </c>
      <c r="Q882" t="s">
        <v>22</v>
      </c>
    </row>
    <row r="883" spans="1:17" x14ac:dyDescent="0.3">
      <c r="A883" t="s">
        <v>944</v>
      </c>
      <c r="B883" s="1">
        <v>45686</v>
      </c>
      <c r="C883" t="s">
        <v>15</v>
      </c>
      <c r="D883" t="s">
        <v>16</v>
      </c>
      <c r="E883" t="s">
        <v>49</v>
      </c>
      <c r="F883" t="s">
        <v>73</v>
      </c>
      <c r="G883">
        <v>4</v>
      </c>
      <c r="H883">
        <v>3875.83</v>
      </c>
      <c r="I883">
        <v>0.21</v>
      </c>
      <c r="J883">
        <v>12247.62</v>
      </c>
      <c r="K883">
        <f t="shared" si="39"/>
        <v>15503.32</v>
      </c>
      <c r="L883">
        <f t="shared" si="40"/>
        <v>3255.6999999999989</v>
      </c>
      <c r="M883">
        <f t="shared" si="41"/>
        <v>12247.62</v>
      </c>
      <c r="N883" t="s">
        <v>58</v>
      </c>
      <c r="O883" t="s">
        <v>34</v>
      </c>
      <c r="P883" t="s">
        <v>21</v>
      </c>
      <c r="Q883" t="s">
        <v>22</v>
      </c>
    </row>
    <row r="884" spans="1:17" x14ac:dyDescent="0.3">
      <c r="A884" t="s">
        <v>945</v>
      </c>
      <c r="B884" s="1">
        <v>45689</v>
      </c>
      <c r="C884" t="s">
        <v>52</v>
      </c>
      <c r="D884" t="s">
        <v>16</v>
      </c>
      <c r="E884" t="s">
        <v>61</v>
      </c>
      <c r="F884" t="s">
        <v>62</v>
      </c>
      <c r="G884">
        <v>1</v>
      </c>
      <c r="H884">
        <v>3742.71</v>
      </c>
      <c r="I884">
        <v>0.14000000000000001</v>
      </c>
      <c r="J884">
        <v>3218.73</v>
      </c>
      <c r="K884">
        <f t="shared" si="39"/>
        <v>3742.71</v>
      </c>
      <c r="L884">
        <f t="shared" si="40"/>
        <v>523.98</v>
      </c>
      <c r="M884">
        <f t="shared" si="41"/>
        <v>3218.73</v>
      </c>
      <c r="N884" t="s">
        <v>33</v>
      </c>
      <c r="O884" t="s">
        <v>20</v>
      </c>
      <c r="P884" t="s">
        <v>30</v>
      </c>
      <c r="Q884" t="s">
        <v>59</v>
      </c>
    </row>
    <row r="885" spans="1:17" x14ac:dyDescent="0.3">
      <c r="A885" t="s">
        <v>946</v>
      </c>
      <c r="B885" s="1">
        <v>45704</v>
      </c>
      <c r="C885" t="s">
        <v>48</v>
      </c>
      <c r="D885" t="s">
        <v>43</v>
      </c>
      <c r="E885" t="s">
        <v>49</v>
      </c>
      <c r="F885" t="s">
        <v>73</v>
      </c>
      <c r="G885">
        <v>5</v>
      </c>
      <c r="H885">
        <v>3519.62</v>
      </c>
      <c r="I885">
        <v>0.1</v>
      </c>
      <c r="J885">
        <v>15838.29</v>
      </c>
      <c r="K885">
        <f t="shared" si="39"/>
        <v>17598.099999999999</v>
      </c>
      <c r="L885">
        <f t="shared" si="40"/>
        <v>1759.8099999999977</v>
      </c>
      <c r="M885">
        <f t="shared" si="41"/>
        <v>15838.29</v>
      </c>
      <c r="N885" t="s">
        <v>41</v>
      </c>
      <c r="O885" t="s">
        <v>29</v>
      </c>
      <c r="P885" t="s">
        <v>21</v>
      </c>
      <c r="Q885" t="s">
        <v>37</v>
      </c>
    </row>
    <row r="886" spans="1:17" x14ac:dyDescent="0.3">
      <c r="A886" t="s">
        <v>947</v>
      </c>
      <c r="B886" s="1">
        <v>45734</v>
      </c>
      <c r="C886" t="s">
        <v>36</v>
      </c>
      <c r="D886" t="s">
        <v>43</v>
      </c>
      <c r="E886" t="s">
        <v>17</v>
      </c>
      <c r="F886" t="s">
        <v>40</v>
      </c>
      <c r="G886">
        <v>5</v>
      </c>
      <c r="H886">
        <v>3451.98</v>
      </c>
      <c r="I886">
        <v>0.01</v>
      </c>
      <c r="J886">
        <v>17087.3</v>
      </c>
      <c r="K886">
        <f t="shared" si="39"/>
        <v>17259.900000000001</v>
      </c>
      <c r="L886">
        <f t="shared" si="40"/>
        <v>172.60000000000218</v>
      </c>
      <c r="M886">
        <f t="shared" si="41"/>
        <v>17087.3</v>
      </c>
      <c r="N886" t="s">
        <v>46</v>
      </c>
      <c r="O886" t="s">
        <v>20</v>
      </c>
      <c r="P886" t="s">
        <v>30</v>
      </c>
      <c r="Q886" t="s">
        <v>22</v>
      </c>
    </row>
    <row r="887" spans="1:17" x14ac:dyDescent="0.3">
      <c r="A887" t="s">
        <v>948</v>
      </c>
      <c r="B887" s="1">
        <v>45794</v>
      </c>
      <c r="C887" t="s">
        <v>52</v>
      </c>
      <c r="D887" t="s">
        <v>25</v>
      </c>
      <c r="E887" t="s">
        <v>27</v>
      </c>
      <c r="F887" t="s">
        <v>68</v>
      </c>
      <c r="G887">
        <v>2</v>
      </c>
      <c r="H887">
        <v>2617.0500000000002</v>
      </c>
      <c r="I887">
        <v>0.24</v>
      </c>
      <c r="J887">
        <v>3977.92</v>
      </c>
      <c r="K887">
        <f t="shared" si="39"/>
        <v>5234.1000000000004</v>
      </c>
      <c r="L887">
        <f t="shared" si="40"/>
        <v>1256.1800000000003</v>
      </c>
      <c r="M887">
        <f t="shared" si="41"/>
        <v>3977.92</v>
      </c>
      <c r="N887" t="s">
        <v>58</v>
      </c>
      <c r="O887" t="s">
        <v>34</v>
      </c>
      <c r="P887" t="s">
        <v>30</v>
      </c>
      <c r="Q887" t="s">
        <v>22</v>
      </c>
    </row>
    <row r="888" spans="1:17" x14ac:dyDescent="0.3">
      <c r="A888" t="s">
        <v>949</v>
      </c>
      <c r="B888" s="1">
        <v>45689</v>
      </c>
      <c r="C888" t="s">
        <v>15</v>
      </c>
      <c r="D888" t="s">
        <v>43</v>
      </c>
      <c r="E888" t="s">
        <v>99</v>
      </c>
      <c r="F888" t="s">
        <v>120</v>
      </c>
      <c r="G888">
        <v>1</v>
      </c>
      <c r="H888">
        <v>1521.32</v>
      </c>
      <c r="I888">
        <v>0.12</v>
      </c>
      <c r="J888">
        <v>1338.76</v>
      </c>
      <c r="K888">
        <f t="shared" si="39"/>
        <v>1521.32</v>
      </c>
      <c r="L888">
        <f t="shared" si="40"/>
        <v>182.55999999999995</v>
      </c>
      <c r="M888">
        <f t="shared" si="41"/>
        <v>1338.76</v>
      </c>
      <c r="N888" t="s">
        <v>19</v>
      </c>
      <c r="O888" t="s">
        <v>29</v>
      </c>
      <c r="P888" t="s">
        <v>30</v>
      </c>
      <c r="Q888" t="s">
        <v>22</v>
      </c>
    </row>
    <row r="889" spans="1:17" x14ac:dyDescent="0.3">
      <c r="A889" t="s">
        <v>950</v>
      </c>
      <c r="B889" s="1">
        <v>45797</v>
      </c>
      <c r="C889" t="s">
        <v>52</v>
      </c>
      <c r="D889" t="s">
        <v>25</v>
      </c>
      <c r="E889" t="s">
        <v>27</v>
      </c>
      <c r="F889" t="s">
        <v>87</v>
      </c>
      <c r="G889">
        <v>5</v>
      </c>
      <c r="H889">
        <v>4146.0600000000004</v>
      </c>
      <c r="I889">
        <v>0.01</v>
      </c>
      <c r="J889">
        <v>20523</v>
      </c>
      <c r="K889">
        <f t="shared" si="39"/>
        <v>20730.300000000003</v>
      </c>
      <c r="L889">
        <f t="shared" si="40"/>
        <v>207.30000000000291</v>
      </c>
      <c r="M889">
        <f t="shared" si="41"/>
        <v>20523</v>
      </c>
      <c r="N889" t="s">
        <v>46</v>
      </c>
      <c r="O889" t="s">
        <v>29</v>
      </c>
      <c r="P889" t="s">
        <v>30</v>
      </c>
      <c r="Q889" t="s">
        <v>22</v>
      </c>
    </row>
    <row r="890" spans="1:17" x14ac:dyDescent="0.3">
      <c r="A890" t="s">
        <v>951</v>
      </c>
      <c r="B890" s="1">
        <v>45701</v>
      </c>
      <c r="C890" t="s">
        <v>15</v>
      </c>
      <c r="D890" t="s">
        <v>25</v>
      </c>
      <c r="E890" t="s">
        <v>17</v>
      </c>
      <c r="F890" t="s">
        <v>40</v>
      </c>
      <c r="G890">
        <v>1</v>
      </c>
      <c r="H890">
        <v>125.26</v>
      </c>
      <c r="I890">
        <v>0.22</v>
      </c>
      <c r="J890">
        <v>97.7</v>
      </c>
      <c r="K890">
        <f t="shared" si="39"/>
        <v>125.26</v>
      </c>
      <c r="L890">
        <f t="shared" si="40"/>
        <v>27.560000000000002</v>
      </c>
      <c r="M890">
        <f t="shared" si="41"/>
        <v>97.7</v>
      </c>
      <c r="N890" t="s">
        <v>46</v>
      </c>
      <c r="O890" t="s">
        <v>34</v>
      </c>
      <c r="P890" t="s">
        <v>54</v>
      </c>
      <c r="Q890" t="s">
        <v>22</v>
      </c>
    </row>
    <row r="891" spans="1:17" x14ac:dyDescent="0.3">
      <c r="A891" t="s">
        <v>952</v>
      </c>
      <c r="B891" s="1">
        <v>45672</v>
      </c>
      <c r="C891" t="s">
        <v>48</v>
      </c>
      <c r="D891" t="s">
        <v>25</v>
      </c>
      <c r="E891" t="s">
        <v>17</v>
      </c>
      <c r="F891" t="s">
        <v>40</v>
      </c>
      <c r="G891">
        <v>5</v>
      </c>
      <c r="H891">
        <v>2620.16</v>
      </c>
      <c r="I891">
        <v>0.04</v>
      </c>
      <c r="J891">
        <v>12576.77</v>
      </c>
      <c r="K891">
        <f t="shared" si="39"/>
        <v>13100.8</v>
      </c>
      <c r="L891">
        <f t="shared" si="40"/>
        <v>524.02999999999884</v>
      </c>
      <c r="M891">
        <f t="shared" si="41"/>
        <v>12576.77</v>
      </c>
      <c r="N891" t="s">
        <v>19</v>
      </c>
      <c r="O891" t="s">
        <v>20</v>
      </c>
      <c r="P891" t="s">
        <v>54</v>
      </c>
      <c r="Q891" t="s">
        <v>22</v>
      </c>
    </row>
    <row r="892" spans="1:17" x14ac:dyDescent="0.3">
      <c r="A892" t="s">
        <v>953</v>
      </c>
      <c r="B892" s="1">
        <v>45740</v>
      </c>
      <c r="C892" t="s">
        <v>48</v>
      </c>
      <c r="D892" t="s">
        <v>39</v>
      </c>
      <c r="E892" t="s">
        <v>99</v>
      </c>
      <c r="F892" t="s">
        <v>100</v>
      </c>
      <c r="G892">
        <v>3</v>
      </c>
      <c r="H892">
        <v>1886.03</v>
      </c>
      <c r="I892">
        <v>0.22</v>
      </c>
      <c r="J892">
        <v>4413.3100000000004</v>
      </c>
      <c r="K892">
        <f t="shared" si="39"/>
        <v>5658.09</v>
      </c>
      <c r="L892">
        <f t="shared" si="40"/>
        <v>1244.7799999999997</v>
      </c>
      <c r="M892">
        <f t="shared" si="41"/>
        <v>4413.3100000000004</v>
      </c>
      <c r="N892" t="s">
        <v>41</v>
      </c>
      <c r="O892" t="s">
        <v>34</v>
      </c>
      <c r="P892" t="s">
        <v>21</v>
      </c>
      <c r="Q892" t="s">
        <v>22</v>
      </c>
    </row>
    <row r="893" spans="1:17" x14ac:dyDescent="0.3">
      <c r="A893" t="s">
        <v>954</v>
      </c>
      <c r="B893" s="1">
        <v>45739</v>
      </c>
      <c r="C893" t="s">
        <v>52</v>
      </c>
      <c r="D893" t="s">
        <v>43</v>
      </c>
      <c r="E893" t="s">
        <v>49</v>
      </c>
      <c r="F893" t="s">
        <v>50</v>
      </c>
      <c r="G893">
        <v>4</v>
      </c>
      <c r="H893">
        <v>128.47</v>
      </c>
      <c r="I893">
        <v>0.22</v>
      </c>
      <c r="J893">
        <v>400.83</v>
      </c>
      <c r="K893">
        <f t="shared" si="39"/>
        <v>513.88</v>
      </c>
      <c r="L893">
        <f t="shared" si="40"/>
        <v>113.05000000000001</v>
      </c>
      <c r="M893">
        <f t="shared" si="41"/>
        <v>400.83</v>
      </c>
      <c r="N893" t="s">
        <v>19</v>
      </c>
      <c r="O893" t="s">
        <v>34</v>
      </c>
      <c r="P893" t="s">
        <v>21</v>
      </c>
      <c r="Q893" t="s">
        <v>22</v>
      </c>
    </row>
    <row r="894" spans="1:17" x14ac:dyDescent="0.3">
      <c r="A894" t="s">
        <v>955</v>
      </c>
      <c r="B894" s="1">
        <v>45724</v>
      </c>
      <c r="C894" t="s">
        <v>52</v>
      </c>
      <c r="D894" t="s">
        <v>25</v>
      </c>
      <c r="E894" t="s">
        <v>99</v>
      </c>
      <c r="F894" t="s">
        <v>120</v>
      </c>
      <c r="G894">
        <v>3</v>
      </c>
      <c r="H894">
        <v>4514.8900000000003</v>
      </c>
      <c r="I894">
        <v>0.04</v>
      </c>
      <c r="J894">
        <v>13002.88</v>
      </c>
      <c r="K894">
        <f t="shared" si="39"/>
        <v>13544.670000000002</v>
      </c>
      <c r="L894">
        <f t="shared" si="40"/>
        <v>541.79000000000269</v>
      </c>
      <c r="M894">
        <f t="shared" si="41"/>
        <v>13002.88</v>
      </c>
      <c r="N894" t="s">
        <v>41</v>
      </c>
      <c r="O894" t="s">
        <v>34</v>
      </c>
      <c r="P894" t="s">
        <v>54</v>
      </c>
      <c r="Q894" t="s">
        <v>59</v>
      </c>
    </row>
    <row r="895" spans="1:17" x14ac:dyDescent="0.3">
      <c r="A895" t="s">
        <v>956</v>
      </c>
      <c r="B895" s="1">
        <v>45765</v>
      </c>
      <c r="C895" t="s">
        <v>48</v>
      </c>
      <c r="D895" t="s">
        <v>25</v>
      </c>
      <c r="E895" t="s">
        <v>99</v>
      </c>
      <c r="F895" t="s">
        <v>120</v>
      </c>
      <c r="G895">
        <v>4</v>
      </c>
      <c r="H895">
        <v>4019.12</v>
      </c>
      <c r="I895">
        <v>0.18</v>
      </c>
      <c r="J895">
        <v>13182.71</v>
      </c>
      <c r="K895">
        <f t="shared" si="39"/>
        <v>16076.48</v>
      </c>
      <c r="L895">
        <f t="shared" si="40"/>
        <v>2893.7700000000004</v>
      </c>
      <c r="M895">
        <f t="shared" si="41"/>
        <v>13182.71</v>
      </c>
      <c r="N895" t="s">
        <v>41</v>
      </c>
      <c r="O895" t="s">
        <v>29</v>
      </c>
      <c r="P895" t="s">
        <v>30</v>
      </c>
      <c r="Q895" t="s">
        <v>22</v>
      </c>
    </row>
    <row r="896" spans="1:17" x14ac:dyDescent="0.3">
      <c r="A896" t="s">
        <v>957</v>
      </c>
      <c r="B896" s="1">
        <v>45750</v>
      </c>
      <c r="C896" t="s">
        <v>24</v>
      </c>
      <c r="D896" t="s">
        <v>43</v>
      </c>
      <c r="E896" t="s">
        <v>49</v>
      </c>
      <c r="F896" t="s">
        <v>73</v>
      </c>
      <c r="G896">
        <v>2</v>
      </c>
      <c r="H896">
        <v>862.16</v>
      </c>
      <c r="I896">
        <v>0.13</v>
      </c>
      <c r="J896">
        <v>1500.16</v>
      </c>
      <c r="K896">
        <f t="shared" si="39"/>
        <v>1724.32</v>
      </c>
      <c r="L896">
        <f t="shared" si="40"/>
        <v>224.15999999999985</v>
      </c>
      <c r="M896">
        <f t="shared" si="41"/>
        <v>1500.16</v>
      </c>
      <c r="N896" t="s">
        <v>58</v>
      </c>
      <c r="O896" t="s">
        <v>20</v>
      </c>
      <c r="P896" t="s">
        <v>21</v>
      </c>
      <c r="Q896" t="s">
        <v>22</v>
      </c>
    </row>
    <row r="897" spans="1:17" x14ac:dyDescent="0.3">
      <c r="A897" t="s">
        <v>958</v>
      </c>
      <c r="B897" s="1">
        <v>45740</v>
      </c>
      <c r="C897" t="s">
        <v>36</v>
      </c>
      <c r="D897" t="s">
        <v>43</v>
      </c>
      <c r="E897" t="s">
        <v>99</v>
      </c>
      <c r="F897" t="s">
        <v>115</v>
      </c>
      <c r="G897">
        <v>4</v>
      </c>
      <c r="H897">
        <v>1518.39</v>
      </c>
      <c r="I897">
        <v>0.12</v>
      </c>
      <c r="J897">
        <v>5344.73</v>
      </c>
      <c r="K897">
        <f t="shared" si="39"/>
        <v>6073.56</v>
      </c>
      <c r="L897">
        <f t="shared" si="40"/>
        <v>728.83000000000084</v>
      </c>
      <c r="M897">
        <f t="shared" si="41"/>
        <v>5344.73</v>
      </c>
      <c r="N897" t="s">
        <v>58</v>
      </c>
      <c r="O897" t="s">
        <v>34</v>
      </c>
      <c r="P897" t="s">
        <v>30</v>
      </c>
      <c r="Q897" t="s">
        <v>22</v>
      </c>
    </row>
    <row r="898" spans="1:17" x14ac:dyDescent="0.3">
      <c r="A898" t="s">
        <v>959</v>
      </c>
      <c r="B898" s="1">
        <v>45672</v>
      </c>
      <c r="C898" t="s">
        <v>52</v>
      </c>
      <c r="D898" t="s">
        <v>43</v>
      </c>
      <c r="E898" t="s">
        <v>27</v>
      </c>
      <c r="F898" t="s">
        <v>68</v>
      </c>
      <c r="G898">
        <v>3</v>
      </c>
      <c r="H898">
        <v>4971.8599999999997</v>
      </c>
      <c r="I898">
        <v>0.06</v>
      </c>
      <c r="J898">
        <v>14020.65</v>
      </c>
      <c r="K898">
        <f t="shared" si="39"/>
        <v>14915.579999999998</v>
      </c>
      <c r="L898">
        <f t="shared" si="40"/>
        <v>894.92999999999847</v>
      </c>
      <c r="M898">
        <f t="shared" si="41"/>
        <v>14020.65</v>
      </c>
      <c r="N898" t="s">
        <v>46</v>
      </c>
      <c r="O898" t="s">
        <v>20</v>
      </c>
      <c r="P898" t="s">
        <v>30</v>
      </c>
      <c r="Q898" t="s">
        <v>22</v>
      </c>
    </row>
    <row r="899" spans="1:17" x14ac:dyDescent="0.3">
      <c r="A899" t="s">
        <v>960</v>
      </c>
      <c r="B899" s="1">
        <v>45700</v>
      </c>
      <c r="C899" t="s">
        <v>52</v>
      </c>
      <c r="D899" t="s">
        <v>39</v>
      </c>
      <c r="E899" t="s">
        <v>17</v>
      </c>
      <c r="F899" t="s">
        <v>44</v>
      </c>
      <c r="G899">
        <v>2</v>
      </c>
      <c r="H899">
        <v>1223.98</v>
      </c>
      <c r="I899">
        <v>0.03</v>
      </c>
      <c r="J899">
        <v>2374.52</v>
      </c>
      <c r="K899">
        <f t="shared" ref="K899:K962" si="42">G899*H899</f>
        <v>2447.96</v>
      </c>
      <c r="L899">
        <f t="shared" ref="L899:L962" si="43">K899-J899</f>
        <v>73.440000000000055</v>
      </c>
      <c r="M899">
        <f t="shared" ref="M899:M962" si="44">K899-L899</f>
        <v>2374.52</v>
      </c>
      <c r="N899" t="s">
        <v>33</v>
      </c>
      <c r="O899" t="s">
        <v>29</v>
      </c>
      <c r="P899" t="s">
        <v>54</v>
      </c>
      <c r="Q899" t="s">
        <v>59</v>
      </c>
    </row>
    <row r="900" spans="1:17" x14ac:dyDescent="0.3">
      <c r="A900" t="s">
        <v>961</v>
      </c>
      <c r="B900" s="1">
        <v>45821</v>
      </c>
      <c r="C900" t="s">
        <v>24</v>
      </c>
      <c r="D900" t="s">
        <v>39</v>
      </c>
      <c r="E900" t="s">
        <v>61</v>
      </c>
      <c r="F900" t="s">
        <v>92</v>
      </c>
      <c r="G900">
        <v>1</v>
      </c>
      <c r="H900">
        <v>4335.32</v>
      </c>
      <c r="I900">
        <v>0.1</v>
      </c>
      <c r="J900">
        <v>3901.79</v>
      </c>
      <c r="K900">
        <f t="shared" si="42"/>
        <v>4335.32</v>
      </c>
      <c r="L900">
        <f t="shared" si="43"/>
        <v>433.52999999999975</v>
      </c>
      <c r="M900">
        <f t="shared" si="44"/>
        <v>3901.79</v>
      </c>
      <c r="N900" t="s">
        <v>33</v>
      </c>
      <c r="O900" t="s">
        <v>20</v>
      </c>
      <c r="P900" t="s">
        <v>21</v>
      </c>
      <c r="Q900" t="s">
        <v>22</v>
      </c>
    </row>
    <row r="901" spans="1:17" x14ac:dyDescent="0.3">
      <c r="A901" t="s">
        <v>962</v>
      </c>
      <c r="B901" s="1">
        <v>45741</v>
      </c>
      <c r="C901" t="s">
        <v>15</v>
      </c>
      <c r="D901" t="s">
        <v>16</v>
      </c>
      <c r="E901" t="s">
        <v>61</v>
      </c>
      <c r="F901" t="s">
        <v>75</v>
      </c>
      <c r="G901">
        <v>1</v>
      </c>
      <c r="H901">
        <v>2598.33</v>
      </c>
      <c r="I901">
        <v>0.16</v>
      </c>
      <c r="J901">
        <v>2182.6</v>
      </c>
      <c r="K901">
        <f t="shared" si="42"/>
        <v>2598.33</v>
      </c>
      <c r="L901">
        <f t="shared" si="43"/>
        <v>415.73</v>
      </c>
      <c r="M901">
        <f t="shared" si="44"/>
        <v>2182.6</v>
      </c>
      <c r="N901" t="s">
        <v>41</v>
      </c>
      <c r="O901" t="s">
        <v>34</v>
      </c>
      <c r="P901" t="s">
        <v>30</v>
      </c>
      <c r="Q901" t="s">
        <v>22</v>
      </c>
    </row>
    <row r="902" spans="1:17" x14ac:dyDescent="0.3">
      <c r="A902" t="s">
        <v>963</v>
      </c>
      <c r="B902" s="1">
        <v>45735</v>
      </c>
      <c r="C902" t="s">
        <v>48</v>
      </c>
      <c r="D902" t="s">
        <v>39</v>
      </c>
      <c r="E902" t="s">
        <v>99</v>
      </c>
      <c r="F902" t="s">
        <v>111</v>
      </c>
      <c r="G902">
        <v>1</v>
      </c>
      <c r="H902">
        <v>990.58</v>
      </c>
      <c r="I902">
        <v>0</v>
      </c>
      <c r="J902">
        <v>990.58</v>
      </c>
      <c r="K902">
        <f t="shared" si="42"/>
        <v>990.58</v>
      </c>
      <c r="L902">
        <f t="shared" si="43"/>
        <v>0</v>
      </c>
      <c r="M902">
        <f t="shared" si="44"/>
        <v>990.58</v>
      </c>
      <c r="N902" t="s">
        <v>19</v>
      </c>
      <c r="O902" t="s">
        <v>34</v>
      </c>
      <c r="P902" t="s">
        <v>21</v>
      </c>
      <c r="Q902" t="s">
        <v>22</v>
      </c>
    </row>
    <row r="903" spans="1:17" x14ac:dyDescent="0.3">
      <c r="A903" t="s">
        <v>964</v>
      </c>
      <c r="B903" s="1">
        <v>45835</v>
      </c>
      <c r="C903" t="s">
        <v>36</v>
      </c>
      <c r="D903" t="s">
        <v>39</v>
      </c>
      <c r="E903" t="s">
        <v>49</v>
      </c>
      <c r="F903" t="s">
        <v>53</v>
      </c>
      <c r="G903">
        <v>2</v>
      </c>
      <c r="H903">
        <v>1336.09</v>
      </c>
      <c r="I903">
        <v>0.12</v>
      </c>
      <c r="J903">
        <v>2351.52</v>
      </c>
      <c r="K903">
        <f t="shared" si="42"/>
        <v>2672.18</v>
      </c>
      <c r="L903">
        <f t="shared" si="43"/>
        <v>320.65999999999985</v>
      </c>
      <c r="M903">
        <f t="shared" si="44"/>
        <v>2351.52</v>
      </c>
      <c r="N903" t="s">
        <v>58</v>
      </c>
      <c r="O903" t="s">
        <v>34</v>
      </c>
      <c r="P903" t="s">
        <v>30</v>
      </c>
      <c r="Q903" t="s">
        <v>22</v>
      </c>
    </row>
    <row r="904" spans="1:17" x14ac:dyDescent="0.3">
      <c r="A904" t="s">
        <v>965</v>
      </c>
      <c r="B904" s="1">
        <v>45809</v>
      </c>
      <c r="C904" t="s">
        <v>15</v>
      </c>
      <c r="D904" t="s">
        <v>39</v>
      </c>
      <c r="E904" t="s">
        <v>17</v>
      </c>
      <c r="F904" t="s">
        <v>44</v>
      </c>
      <c r="G904">
        <v>3</v>
      </c>
      <c r="H904">
        <v>3740.37</v>
      </c>
      <c r="I904">
        <v>0.15</v>
      </c>
      <c r="J904">
        <v>9537.94</v>
      </c>
      <c r="K904">
        <f t="shared" si="42"/>
        <v>11221.11</v>
      </c>
      <c r="L904">
        <f t="shared" si="43"/>
        <v>1683.17</v>
      </c>
      <c r="M904">
        <f t="shared" si="44"/>
        <v>9537.94</v>
      </c>
      <c r="N904" t="s">
        <v>46</v>
      </c>
      <c r="O904" t="s">
        <v>29</v>
      </c>
      <c r="P904" t="s">
        <v>21</v>
      </c>
      <c r="Q904" t="s">
        <v>22</v>
      </c>
    </row>
    <row r="905" spans="1:17" x14ac:dyDescent="0.3">
      <c r="A905" t="s">
        <v>966</v>
      </c>
      <c r="B905" s="1">
        <v>45773</v>
      </c>
      <c r="C905" t="s">
        <v>36</v>
      </c>
      <c r="D905" t="s">
        <v>16</v>
      </c>
      <c r="E905" t="s">
        <v>99</v>
      </c>
      <c r="F905" t="s">
        <v>100</v>
      </c>
      <c r="G905">
        <v>1</v>
      </c>
      <c r="H905">
        <v>739.38</v>
      </c>
      <c r="I905">
        <v>0.19</v>
      </c>
      <c r="J905">
        <v>598.9</v>
      </c>
      <c r="K905">
        <f t="shared" si="42"/>
        <v>739.38</v>
      </c>
      <c r="L905">
        <f t="shared" si="43"/>
        <v>140.48000000000002</v>
      </c>
      <c r="M905">
        <f t="shared" si="44"/>
        <v>598.9</v>
      </c>
      <c r="N905" t="s">
        <v>41</v>
      </c>
      <c r="O905" t="s">
        <v>20</v>
      </c>
      <c r="P905" t="s">
        <v>54</v>
      </c>
      <c r="Q905" t="s">
        <v>22</v>
      </c>
    </row>
    <row r="906" spans="1:17" x14ac:dyDescent="0.3">
      <c r="A906" t="s">
        <v>967</v>
      </c>
      <c r="B906" s="1">
        <v>45795</v>
      </c>
      <c r="C906" t="s">
        <v>48</v>
      </c>
      <c r="D906" t="s">
        <v>43</v>
      </c>
      <c r="E906" t="s">
        <v>61</v>
      </c>
      <c r="F906" t="s">
        <v>75</v>
      </c>
      <c r="G906">
        <v>5</v>
      </c>
      <c r="H906">
        <v>3133.15</v>
      </c>
      <c r="I906">
        <v>0.08</v>
      </c>
      <c r="J906">
        <v>14412.49</v>
      </c>
      <c r="K906">
        <f t="shared" si="42"/>
        <v>15665.75</v>
      </c>
      <c r="L906">
        <f t="shared" si="43"/>
        <v>1253.2600000000002</v>
      </c>
      <c r="M906">
        <f t="shared" si="44"/>
        <v>14412.49</v>
      </c>
      <c r="N906" t="s">
        <v>58</v>
      </c>
      <c r="O906" t="s">
        <v>20</v>
      </c>
      <c r="P906" t="s">
        <v>30</v>
      </c>
      <c r="Q906" t="s">
        <v>22</v>
      </c>
    </row>
    <row r="907" spans="1:17" x14ac:dyDescent="0.3">
      <c r="A907" t="s">
        <v>968</v>
      </c>
      <c r="B907" s="1">
        <v>45663</v>
      </c>
      <c r="C907" t="s">
        <v>52</v>
      </c>
      <c r="D907" t="s">
        <v>39</v>
      </c>
      <c r="E907" t="s">
        <v>61</v>
      </c>
      <c r="F907" t="s">
        <v>62</v>
      </c>
      <c r="G907">
        <v>5</v>
      </c>
      <c r="H907">
        <v>3586.86</v>
      </c>
      <c r="I907">
        <v>0.22</v>
      </c>
      <c r="J907">
        <v>13988.75</v>
      </c>
      <c r="K907">
        <f t="shared" si="42"/>
        <v>17934.3</v>
      </c>
      <c r="L907">
        <f t="shared" si="43"/>
        <v>3945.5499999999993</v>
      </c>
      <c r="M907">
        <f t="shared" si="44"/>
        <v>13988.75</v>
      </c>
      <c r="N907" t="s">
        <v>19</v>
      </c>
      <c r="O907" t="s">
        <v>34</v>
      </c>
      <c r="P907" t="s">
        <v>21</v>
      </c>
      <c r="Q907" t="s">
        <v>37</v>
      </c>
    </row>
    <row r="908" spans="1:17" x14ac:dyDescent="0.3">
      <c r="A908" t="s">
        <v>969</v>
      </c>
      <c r="B908" s="1">
        <v>45826</v>
      </c>
      <c r="C908" t="s">
        <v>48</v>
      </c>
      <c r="D908" t="s">
        <v>43</v>
      </c>
      <c r="E908" t="s">
        <v>49</v>
      </c>
      <c r="F908" t="s">
        <v>56</v>
      </c>
      <c r="G908">
        <v>4</v>
      </c>
      <c r="H908">
        <v>2666.44</v>
      </c>
      <c r="I908">
        <v>0.24</v>
      </c>
      <c r="J908">
        <v>8105.98</v>
      </c>
      <c r="K908">
        <f t="shared" si="42"/>
        <v>10665.76</v>
      </c>
      <c r="L908">
        <f t="shared" si="43"/>
        <v>2559.7800000000007</v>
      </c>
      <c r="M908">
        <f t="shared" si="44"/>
        <v>8105.98</v>
      </c>
      <c r="N908" t="s">
        <v>58</v>
      </c>
      <c r="O908" t="s">
        <v>34</v>
      </c>
      <c r="P908" t="s">
        <v>54</v>
      </c>
      <c r="Q908" t="s">
        <v>22</v>
      </c>
    </row>
    <row r="909" spans="1:17" x14ac:dyDescent="0.3">
      <c r="A909" t="s">
        <v>970</v>
      </c>
      <c r="B909" s="1">
        <v>45831</v>
      </c>
      <c r="C909" t="s">
        <v>24</v>
      </c>
      <c r="D909" t="s">
        <v>16</v>
      </c>
      <c r="E909" t="s">
        <v>61</v>
      </c>
      <c r="F909" t="s">
        <v>66</v>
      </c>
      <c r="G909">
        <v>2</v>
      </c>
      <c r="H909">
        <v>3729.5</v>
      </c>
      <c r="I909">
        <v>0.1</v>
      </c>
      <c r="J909">
        <v>6713.1</v>
      </c>
      <c r="K909">
        <f t="shared" si="42"/>
        <v>7459</v>
      </c>
      <c r="L909">
        <f t="shared" si="43"/>
        <v>745.89999999999964</v>
      </c>
      <c r="M909">
        <f t="shared" si="44"/>
        <v>6713.1</v>
      </c>
      <c r="N909" t="s">
        <v>33</v>
      </c>
      <c r="O909" t="s">
        <v>20</v>
      </c>
      <c r="P909" t="s">
        <v>21</v>
      </c>
      <c r="Q909" t="s">
        <v>22</v>
      </c>
    </row>
    <row r="910" spans="1:17" x14ac:dyDescent="0.3">
      <c r="A910" t="s">
        <v>971</v>
      </c>
      <c r="B910" s="1">
        <v>45808</v>
      </c>
      <c r="C910" t="s">
        <v>36</v>
      </c>
      <c r="D910" t="s">
        <v>43</v>
      </c>
      <c r="E910" t="s">
        <v>27</v>
      </c>
      <c r="F910" t="s">
        <v>87</v>
      </c>
      <c r="G910">
        <v>5</v>
      </c>
      <c r="H910">
        <v>1430.32</v>
      </c>
      <c r="I910">
        <v>0.05</v>
      </c>
      <c r="J910">
        <v>6794.02</v>
      </c>
      <c r="K910">
        <f t="shared" si="42"/>
        <v>7151.5999999999995</v>
      </c>
      <c r="L910">
        <f t="shared" si="43"/>
        <v>357.57999999999902</v>
      </c>
      <c r="M910">
        <f t="shared" si="44"/>
        <v>6794.02</v>
      </c>
      <c r="N910" t="s">
        <v>41</v>
      </c>
      <c r="O910" t="s">
        <v>34</v>
      </c>
      <c r="P910" t="s">
        <v>54</v>
      </c>
      <c r="Q910" t="s">
        <v>22</v>
      </c>
    </row>
    <row r="911" spans="1:17" x14ac:dyDescent="0.3">
      <c r="A911" t="s">
        <v>972</v>
      </c>
      <c r="B911" s="1">
        <v>45771</v>
      </c>
      <c r="C911" t="s">
        <v>36</v>
      </c>
      <c r="D911" t="s">
        <v>16</v>
      </c>
      <c r="E911" t="s">
        <v>17</v>
      </c>
      <c r="F911" t="s">
        <v>40</v>
      </c>
      <c r="G911">
        <v>3</v>
      </c>
      <c r="H911">
        <v>4277.13</v>
      </c>
      <c r="I911">
        <v>7.0000000000000007E-2</v>
      </c>
      <c r="J911">
        <v>11933.19</v>
      </c>
      <c r="K911">
        <f t="shared" si="42"/>
        <v>12831.39</v>
      </c>
      <c r="L911">
        <f t="shared" si="43"/>
        <v>898.19999999999891</v>
      </c>
      <c r="M911">
        <f t="shared" si="44"/>
        <v>11933.19</v>
      </c>
      <c r="N911" t="s">
        <v>33</v>
      </c>
      <c r="O911" t="s">
        <v>34</v>
      </c>
      <c r="P911" t="s">
        <v>30</v>
      </c>
      <c r="Q911" t="s">
        <v>22</v>
      </c>
    </row>
    <row r="912" spans="1:17" x14ac:dyDescent="0.3">
      <c r="A912" t="s">
        <v>973</v>
      </c>
      <c r="B912" s="1">
        <v>45733</v>
      </c>
      <c r="C912" t="s">
        <v>15</v>
      </c>
      <c r="D912" t="s">
        <v>39</v>
      </c>
      <c r="E912" t="s">
        <v>17</v>
      </c>
      <c r="F912" t="s">
        <v>44</v>
      </c>
      <c r="G912">
        <v>2</v>
      </c>
      <c r="H912">
        <v>4716.03</v>
      </c>
      <c r="I912">
        <v>7.0000000000000007E-2</v>
      </c>
      <c r="J912">
        <v>8771.82</v>
      </c>
      <c r="K912">
        <f t="shared" si="42"/>
        <v>9432.06</v>
      </c>
      <c r="L912">
        <f t="shared" si="43"/>
        <v>660.23999999999978</v>
      </c>
      <c r="M912">
        <f t="shared" si="44"/>
        <v>8771.82</v>
      </c>
      <c r="N912" t="s">
        <v>58</v>
      </c>
      <c r="O912" t="s">
        <v>29</v>
      </c>
      <c r="P912" t="s">
        <v>54</v>
      </c>
      <c r="Q912" t="s">
        <v>37</v>
      </c>
    </row>
    <row r="913" spans="1:17" x14ac:dyDescent="0.3">
      <c r="A913" t="s">
        <v>974</v>
      </c>
      <c r="B913" s="1">
        <v>45752</v>
      </c>
      <c r="C913" t="s">
        <v>52</v>
      </c>
      <c r="D913" t="s">
        <v>39</v>
      </c>
      <c r="E913" t="s">
        <v>17</v>
      </c>
      <c r="F913" t="s">
        <v>44</v>
      </c>
      <c r="G913">
        <v>1</v>
      </c>
      <c r="H913">
        <v>3278.36</v>
      </c>
      <c r="I913">
        <v>0.16</v>
      </c>
      <c r="J913">
        <v>2753.82</v>
      </c>
      <c r="K913">
        <f t="shared" si="42"/>
        <v>3278.36</v>
      </c>
      <c r="L913">
        <f t="shared" si="43"/>
        <v>524.54</v>
      </c>
      <c r="M913">
        <f t="shared" si="44"/>
        <v>2753.82</v>
      </c>
      <c r="N913" t="s">
        <v>33</v>
      </c>
      <c r="O913" t="s">
        <v>20</v>
      </c>
      <c r="P913" t="s">
        <v>30</v>
      </c>
      <c r="Q913" t="s">
        <v>22</v>
      </c>
    </row>
    <row r="914" spans="1:17" x14ac:dyDescent="0.3">
      <c r="A914" t="s">
        <v>975</v>
      </c>
      <c r="B914" s="1">
        <v>45661</v>
      </c>
      <c r="C914" t="s">
        <v>52</v>
      </c>
      <c r="D914" t="s">
        <v>39</v>
      </c>
      <c r="E914" t="s">
        <v>27</v>
      </c>
      <c r="F914" t="s">
        <v>28</v>
      </c>
      <c r="G914">
        <v>3</v>
      </c>
      <c r="H914">
        <v>1690.71</v>
      </c>
      <c r="I914">
        <v>0.01</v>
      </c>
      <c r="J914">
        <v>5021.41</v>
      </c>
      <c r="K914">
        <f t="shared" si="42"/>
        <v>5072.13</v>
      </c>
      <c r="L914">
        <f t="shared" si="43"/>
        <v>50.720000000000255</v>
      </c>
      <c r="M914">
        <f t="shared" si="44"/>
        <v>5021.41</v>
      </c>
      <c r="N914" t="s">
        <v>41</v>
      </c>
      <c r="O914" t="s">
        <v>29</v>
      </c>
      <c r="P914" t="s">
        <v>54</v>
      </c>
      <c r="Q914" t="s">
        <v>22</v>
      </c>
    </row>
    <row r="915" spans="1:17" x14ac:dyDescent="0.3">
      <c r="A915" t="s">
        <v>976</v>
      </c>
      <c r="B915" s="1">
        <v>45728</v>
      </c>
      <c r="C915" t="s">
        <v>15</v>
      </c>
      <c r="D915" t="s">
        <v>39</v>
      </c>
      <c r="E915" t="s">
        <v>99</v>
      </c>
      <c r="F915" t="s">
        <v>100</v>
      </c>
      <c r="G915">
        <v>5</v>
      </c>
      <c r="H915">
        <v>621.57000000000005</v>
      </c>
      <c r="I915">
        <v>0.19</v>
      </c>
      <c r="J915">
        <v>2517.36</v>
      </c>
      <c r="K915">
        <f t="shared" si="42"/>
        <v>3107.8500000000004</v>
      </c>
      <c r="L915">
        <f t="shared" si="43"/>
        <v>590.49000000000024</v>
      </c>
      <c r="M915">
        <f t="shared" si="44"/>
        <v>2517.36</v>
      </c>
      <c r="N915" t="s">
        <v>58</v>
      </c>
      <c r="O915" t="s">
        <v>29</v>
      </c>
      <c r="P915" t="s">
        <v>30</v>
      </c>
      <c r="Q915" t="s">
        <v>37</v>
      </c>
    </row>
    <row r="916" spans="1:17" x14ac:dyDescent="0.3">
      <c r="A916" t="s">
        <v>977</v>
      </c>
      <c r="B916" s="1">
        <v>45717</v>
      </c>
      <c r="C916" t="s">
        <v>48</v>
      </c>
      <c r="D916" t="s">
        <v>43</v>
      </c>
      <c r="E916" t="s">
        <v>27</v>
      </c>
      <c r="F916" t="s">
        <v>68</v>
      </c>
      <c r="G916">
        <v>3</v>
      </c>
      <c r="H916">
        <v>1099.2</v>
      </c>
      <c r="I916">
        <v>0.16</v>
      </c>
      <c r="J916">
        <v>2769.98</v>
      </c>
      <c r="K916">
        <f t="shared" si="42"/>
        <v>3297.6000000000004</v>
      </c>
      <c r="L916">
        <f t="shared" si="43"/>
        <v>527.62000000000035</v>
      </c>
      <c r="M916">
        <f t="shared" si="44"/>
        <v>2769.98</v>
      </c>
      <c r="N916" t="s">
        <v>19</v>
      </c>
      <c r="O916" t="s">
        <v>34</v>
      </c>
      <c r="P916" t="s">
        <v>30</v>
      </c>
      <c r="Q916" t="s">
        <v>22</v>
      </c>
    </row>
    <row r="917" spans="1:17" x14ac:dyDescent="0.3">
      <c r="A917" t="s">
        <v>978</v>
      </c>
      <c r="B917" s="1">
        <v>45806</v>
      </c>
      <c r="C917" t="s">
        <v>52</v>
      </c>
      <c r="D917" t="s">
        <v>43</v>
      </c>
      <c r="E917" t="s">
        <v>49</v>
      </c>
      <c r="F917" t="s">
        <v>53</v>
      </c>
      <c r="G917">
        <v>4</v>
      </c>
      <c r="H917">
        <v>989.42</v>
      </c>
      <c r="I917">
        <v>0.05</v>
      </c>
      <c r="J917">
        <v>3759.8</v>
      </c>
      <c r="K917">
        <f t="shared" si="42"/>
        <v>3957.68</v>
      </c>
      <c r="L917">
        <f t="shared" si="43"/>
        <v>197.87999999999965</v>
      </c>
      <c r="M917">
        <f t="shared" si="44"/>
        <v>3759.8</v>
      </c>
      <c r="N917" t="s">
        <v>41</v>
      </c>
      <c r="O917" t="s">
        <v>20</v>
      </c>
      <c r="P917" t="s">
        <v>54</v>
      </c>
      <c r="Q917" t="s">
        <v>22</v>
      </c>
    </row>
    <row r="918" spans="1:17" x14ac:dyDescent="0.3">
      <c r="A918" t="s">
        <v>979</v>
      </c>
      <c r="B918" s="1">
        <v>45735</v>
      </c>
      <c r="C918" t="s">
        <v>24</v>
      </c>
      <c r="D918" t="s">
        <v>16</v>
      </c>
      <c r="E918" t="s">
        <v>61</v>
      </c>
      <c r="F918" t="s">
        <v>66</v>
      </c>
      <c r="G918">
        <v>2</v>
      </c>
      <c r="H918">
        <v>4105.75</v>
      </c>
      <c r="I918">
        <v>0.17</v>
      </c>
      <c r="J918">
        <v>6815.55</v>
      </c>
      <c r="K918">
        <f t="shared" si="42"/>
        <v>8211.5</v>
      </c>
      <c r="L918">
        <f t="shared" si="43"/>
        <v>1395.9499999999998</v>
      </c>
      <c r="M918">
        <f t="shared" si="44"/>
        <v>6815.55</v>
      </c>
      <c r="N918" t="s">
        <v>46</v>
      </c>
      <c r="O918" t="s">
        <v>20</v>
      </c>
      <c r="P918" t="s">
        <v>54</v>
      </c>
      <c r="Q918" t="s">
        <v>22</v>
      </c>
    </row>
    <row r="919" spans="1:17" x14ac:dyDescent="0.3">
      <c r="A919" t="s">
        <v>980</v>
      </c>
      <c r="B919" s="1">
        <v>45825</v>
      </c>
      <c r="C919" t="s">
        <v>48</v>
      </c>
      <c r="D919" t="s">
        <v>16</v>
      </c>
      <c r="E919" t="s">
        <v>49</v>
      </c>
      <c r="F919" t="s">
        <v>73</v>
      </c>
      <c r="G919">
        <v>5</v>
      </c>
      <c r="H919">
        <v>772.73</v>
      </c>
      <c r="I919">
        <v>0.19</v>
      </c>
      <c r="J919">
        <v>3129.56</v>
      </c>
      <c r="K919">
        <f t="shared" si="42"/>
        <v>3863.65</v>
      </c>
      <c r="L919">
        <f t="shared" si="43"/>
        <v>734.09000000000015</v>
      </c>
      <c r="M919">
        <f t="shared" si="44"/>
        <v>3129.56</v>
      </c>
      <c r="N919" t="s">
        <v>41</v>
      </c>
      <c r="O919" t="s">
        <v>20</v>
      </c>
      <c r="P919" t="s">
        <v>54</v>
      </c>
      <c r="Q919" t="s">
        <v>22</v>
      </c>
    </row>
    <row r="920" spans="1:17" x14ac:dyDescent="0.3">
      <c r="A920" t="s">
        <v>981</v>
      </c>
      <c r="B920" s="1">
        <v>45833</v>
      </c>
      <c r="C920" t="s">
        <v>24</v>
      </c>
      <c r="D920" t="s">
        <v>16</v>
      </c>
      <c r="E920" t="s">
        <v>17</v>
      </c>
      <c r="F920" t="s">
        <v>18</v>
      </c>
      <c r="G920">
        <v>2</v>
      </c>
      <c r="H920">
        <v>3873.58</v>
      </c>
      <c r="I920">
        <v>7.0000000000000007E-2</v>
      </c>
      <c r="J920">
        <v>7204.86</v>
      </c>
      <c r="K920">
        <f t="shared" si="42"/>
        <v>7747.16</v>
      </c>
      <c r="L920">
        <f t="shared" si="43"/>
        <v>542.30000000000018</v>
      </c>
      <c r="M920">
        <f t="shared" si="44"/>
        <v>7204.86</v>
      </c>
      <c r="N920" t="s">
        <v>58</v>
      </c>
      <c r="O920" t="s">
        <v>20</v>
      </c>
      <c r="P920" t="s">
        <v>21</v>
      </c>
      <c r="Q920" t="s">
        <v>88</v>
      </c>
    </row>
    <row r="921" spans="1:17" x14ac:dyDescent="0.3">
      <c r="A921" t="s">
        <v>982</v>
      </c>
      <c r="B921" s="1">
        <v>45822</v>
      </c>
      <c r="C921" t="s">
        <v>36</v>
      </c>
      <c r="D921" t="s">
        <v>25</v>
      </c>
      <c r="E921" t="s">
        <v>17</v>
      </c>
      <c r="F921" t="s">
        <v>18</v>
      </c>
      <c r="G921">
        <v>1</v>
      </c>
      <c r="H921">
        <v>1091.3800000000001</v>
      </c>
      <c r="I921">
        <v>0.12</v>
      </c>
      <c r="J921">
        <v>960.41</v>
      </c>
      <c r="K921">
        <f t="shared" si="42"/>
        <v>1091.3800000000001</v>
      </c>
      <c r="L921">
        <f t="shared" si="43"/>
        <v>130.97000000000014</v>
      </c>
      <c r="M921">
        <f t="shared" si="44"/>
        <v>960.41</v>
      </c>
      <c r="N921" t="s">
        <v>46</v>
      </c>
      <c r="O921" t="s">
        <v>29</v>
      </c>
      <c r="P921" t="s">
        <v>21</v>
      </c>
      <c r="Q921" t="s">
        <v>88</v>
      </c>
    </row>
    <row r="922" spans="1:17" x14ac:dyDescent="0.3">
      <c r="A922" t="s">
        <v>983</v>
      </c>
      <c r="B922" s="1">
        <v>45741</v>
      </c>
      <c r="C922" t="s">
        <v>48</v>
      </c>
      <c r="D922" t="s">
        <v>16</v>
      </c>
      <c r="E922" t="s">
        <v>99</v>
      </c>
      <c r="F922" t="s">
        <v>111</v>
      </c>
      <c r="G922">
        <v>1</v>
      </c>
      <c r="H922">
        <v>2763.28</v>
      </c>
      <c r="I922">
        <v>7.0000000000000007E-2</v>
      </c>
      <c r="J922">
        <v>2569.85</v>
      </c>
      <c r="K922">
        <f t="shared" si="42"/>
        <v>2763.28</v>
      </c>
      <c r="L922">
        <f t="shared" si="43"/>
        <v>193.43000000000029</v>
      </c>
      <c r="M922">
        <f t="shared" si="44"/>
        <v>2569.85</v>
      </c>
      <c r="N922" t="s">
        <v>19</v>
      </c>
      <c r="O922" t="s">
        <v>20</v>
      </c>
      <c r="P922" t="s">
        <v>21</v>
      </c>
      <c r="Q922" t="s">
        <v>22</v>
      </c>
    </row>
    <row r="923" spans="1:17" x14ac:dyDescent="0.3">
      <c r="A923" t="s">
        <v>984</v>
      </c>
      <c r="B923" s="1">
        <v>45764</v>
      </c>
      <c r="C923" t="s">
        <v>36</v>
      </c>
      <c r="D923" t="s">
        <v>43</v>
      </c>
      <c r="E923" t="s">
        <v>17</v>
      </c>
      <c r="F923" t="s">
        <v>18</v>
      </c>
      <c r="G923">
        <v>5</v>
      </c>
      <c r="H923">
        <v>4443.6400000000003</v>
      </c>
      <c r="I923">
        <v>0.1</v>
      </c>
      <c r="J923">
        <v>19996.38</v>
      </c>
      <c r="K923">
        <f t="shared" si="42"/>
        <v>22218.2</v>
      </c>
      <c r="L923">
        <f t="shared" si="43"/>
        <v>2221.8199999999997</v>
      </c>
      <c r="M923">
        <f t="shared" si="44"/>
        <v>19996.38</v>
      </c>
      <c r="N923" t="s">
        <v>46</v>
      </c>
      <c r="O923" t="s">
        <v>20</v>
      </c>
      <c r="P923" t="s">
        <v>54</v>
      </c>
      <c r="Q923" t="s">
        <v>22</v>
      </c>
    </row>
    <row r="924" spans="1:17" x14ac:dyDescent="0.3">
      <c r="A924" t="s">
        <v>985</v>
      </c>
      <c r="B924" s="1">
        <v>45805</v>
      </c>
      <c r="C924" t="s">
        <v>52</v>
      </c>
      <c r="D924" t="s">
        <v>16</v>
      </c>
      <c r="E924" t="s">
        <v>49</v>
      </c>
      <c r="F924" t="s">
        <v>50</v>
      </c>
      <c r="G924">
        <v>3</v>
      </c>
      <c r="H924">
        <v>1206.83</v>
      </c>
      <c r="I924">
        <v>0.22</v>
      </c>
      <c r="J924">
        <v>2823.98</v>
      </c>
      <c r="K924">
        <f t="shared" si="42"/>
        <v>3620.49</v>
      </c>
      <c r="L924">
        <f t="shared" si="43"/>
        <v>796.50999999999976</v>
      </c>
      <c r="M924">
        <f t="shared" si="44"/>
        <v>2823.98</v>
      </c>
      <c r="N924" t="s">
        <v>46</v>
      </c>
      <c r="O924" t="s">
        <v>29</v>
      </c>
      <c r="P924" t="s">
        <v>30</v>
      </c>
      <c r="Q924" t="s">
        <v>22</v>
      </c>
    </row>
    <row r="925" spans="1:17" x14ac:dyDescent="0.3">
      <c r="A925" t="s">
        <v>986</v>
      </c>
      <c r="B925" s="1">
        <v>45802</v>
      </c>
      <c r="C925" t="s">
        <v>24</v>
      </c>
      <c r="D925" t="s">
        <v>16</v>
      </c>
      <c r="E925" t="s">
        <v>17</v>
      </c>
      <c r="F925" t="s">
        <v>44</v>
      </c>
      <c r="G925">
        <v>1</v>
      </c>
      <c r="H925">
        <v>3116.91</v>
      </c>
      <c r="I925">
        <v>0.03</v>
      </c>
      <c r="J925">
        <v>3023.4</v>
      </c>
      <c r="K925">
        <f t="shared" si="42"/>
        <v>3116.91</v>
      </c>
      <c r="L925">
        <f t="shared" si="43"/>
        <v>93.509999999999764</v>
      </c>
      <c r="M925">
        <f t="shared" si="44"/>
        <v>3023.4</v>
      </c>
      <c r="N925" t="s">
        <v>46</v>
      </c>
      <c r="O925" t="s">
        <v>34</v>
      </c>
      <c r="P925" t="s">
        <v>54</v>
      </c>
      <c r="Q925" t="s">
        <v>22</v>
      </c>
    </row>
    <row r="926" spans="1:17" x14ac:dyDescent="0.3">
      <c r="A926" t="s">
        <v>987</v>
      </c>
      <c r="B926" s="1">
        <v>45766</v>
      </c>
      <c r="C926" t="s">
        <v>36</v>
      </c>
      <c r="D926" t="s">
        <v>39</v>
      </c>
      <c r="E926" t="s">
        <v>61</v>
      </c>
      <c r="F926" t="s">
        <v>92</v>
      </c>
      <c r="G926">
        <v>2</v>
      </c>
      <c r="H926">
        <v>3429.22</v>
      </c>
      <c r="I926">
        <v>0.04</v>
      </c>
      <c r="J926">
        <v>6584.1</v>
      </c>
      <c r="K926">
        <f t="shared" si="42"/>
        <v>6858.44</v>
      </c>
      <c r="L926">
        <f t="shared" si="43"/>
        <v>274.33999999999924</v>
      </c>
      <c r="M926">
        <f t="shared" si="44"/>
        <v>6584.1</v>
      </c>
      <c r="N926" t="s">
        <v>46</v>
      </c>
      <c r="O926" t="s">
        <v>29</v>
      </c>
      <c r="P926" t="s">
        <v>21</v>
      </c>
      <c r="Q926" t="s">
        <v>22</v>
      </c>
    </row>
    <row r="927" spans="1:17" x14ac:dyDescent="0.3">
      <c r="A927" t="s">
        <v>988</v>
      </c>
      <c r="B927" s="1">
        <v>45815</v>
      </c>
      <c r="C927" t="s">
        <v>24</v>
      </c>
      <c r="D927" t="s">
        <v>16</v>
      </c>
      <c r="E927" t="s">
        <v>99</v>
      </c>
      <c r="F927" t="s">
        <v>111</v>
      </c>
      <c r="G927">
        <v>3</v>
      </c>
      <c r="H927">
        <v>4671.12</v>
      </c>
      <c r="I927">
        <v>0.2</v>
      </c>
      <c r="J927">
        <v>11210.69</v>
      </c>
      <c r="K927">
        <f t="shared" si="42"/>
        <v>14013.36</v>
      </c>
      <c r="L927">
        <f t="shared" si="43"/>
        <v>2802.67</v>
      </c>
      <c r="M927">
        <f t="shared" si="44"/>
        <v>11210.69</v>
      </c>
      <c r="N927" t="s">
        <v>46</v>
      </c>
      <c r="O927" t="s">
        <v>34</v>
      </c>
      <c r="P927" t="s">
        <v>21</v>
      </c>
      <c r="Q927" t="s">
        <v>88</v>
      </c>
    </row>
    <row r="928" spans="1:17" x14ac:dyDescent="0.3">
      <c r="A928" t="s">
        <v>989</v>
      </c>
      <c r="B928" s="1">
        <v>45777</v>
      </c>
      <c r="C928" t="s">
        <v>15</v>
      </c>
      <c r="D928" t="s">
        <v>16</v>
      </c>
      <c r="E928" t="s">
        <v>61</v>
      </c>
      <c r="F928" t="s">
        <v>75</v>
      </c>
      <c r="G928">
        <v>4</v>
      </c>
      <c r="H928">
        <v>3634.58</v>
      </c>
      <c r="I928">
        <v>0.2</v>
      </c>
      <c r="J928">
        <v>11630.66</v>
      </c>
      <c r="K928">
        <f t="shared" si="42"/>
        <v>14538.32</v>
      </c>
      <c r="L928">
        <f t="shared" si="43"/>
        <v>2907.66</v>
      </c>
      <c r="M928">
        <f t="shared" si="44"/>
        <v>11630.66</v>
      </c>
      <c r="N928" t="s">
        <v>19</v>
      </c>
      <c r="O928" t="s">
        <v>34</v>
      </c>
      <c r="P928" t="s">
        <v>30</v>
      </c>
      <c r="Q928" t="s">
        <v>22</v>
      </c>
    </row>
    <row r="929" spans="1:17" x14ac:dyDescent="0.3">
      <c r="A929" t="s">
        <v>990</v>
      </c>
      <c r="B929" s="1">
        <v>45834</v>
      </c>
      <c r="C929" t="s">
        <v>52</v>
      </c>
      <c r="D929" t="s">
        <v>25</v>
      </c>
      <c r="E929" t="s">
        <v>49</v>
      </c>
      <c r="F929" t="s">
        <v>53</v>
      </c>
      <c r="G929">
        <v>2</v>
      </c>
      <c r="H929">
        <v>991.17</v>
      </c>
      <c r="I929">
        <v>0.1</v>
      </c>
      <c r="J929">
        <v>1784.11</v>
      </c>
      <c r="K929">
        <f t="shared" si="42"/>
        <v>1982.34</v>
      </c>
      <c r="L929">
        <f t="shared" si="43"/>
        <v>198.23000000000002</v>
      </c>
      <c r="M929">
        <f t="shared" si="44"/>
        <v>1784.11</v>
      </c>
      <c r="N929" t="s">
        <v>58</v>
      </c>
      <c r="O929" t="s">
        <v>34</v>
      </c>
      <c r="P929" t="s">
        <v>30</v>
      </c>
      <c r="Q929" t="s">
        <v>22</v>
      </c>
    </row>
    <row r="930" spans="1:17" x14ac:dyDescent="0.3">
      <c r="A930" t="s">
        <v>991</v>
      </c>
      <c r="B930" s="1">
        <v>45702</v>
      </c>
      <c r="C930" t="s">
        <v>52</v>
      </c>
      <c r="D930" t="s">
        <v>43</v>
      </c>
      <c r="E930" t="s">
        <v>49</v>
      </c>
      <c r="F930" t="s">
        <v>53</v>
      </c>
      <c r="G930">
        <v>4</v>
      </c>
      <c r="H930">
        <v>2791.76</v>
      </c>
      <c r="I930">
        <v>0.13</v>
      </c>
      <c r="J930">
        <v>9715.32</v>
      </c>
      <c r="K930">
        <f t="shared" si="42"/>
        <v>11167.04</v>
      </c>
      <c r="L930">
        <f t="shared" si="43"/>
        <v>1451.7200000000012</v>
      </c>
      <c r="M930">
        <f t="shared" si="44"/>
        <v>9715.32</v>
      </c>
      <c r="N930" t="s">
        <v>19</v>
      </c>
      <c r="O930" t="s">
        <v>34</v>
      </c>
      <c r="P930" t="s">
        <v>30</v>
      </c>
      <c r="Q930" t="s">
        <v>22</v>
      </c>
    </row>
    <row r="931" spans="1:17" x14ac:dyDescent="0.3">
      <c r="A931" t="s">
        <v>992</v>
      </c>
      <c r="B931" s="1">
        <v>45754</v>
      </c>
      <c r="C931" t="s">
        <v>36</v>
      </c>
      <c r="D931" t="s">
        <v>43</v>
      </c>
      <c r="E931" t="s">
        <v>27</v>
      </c>
      <c r="F931" t="s">
        <v>87</v>
      </c>
      <c r="G931">
        <v>2</v>
      </c>
      <c r="H931">
        <v>3545.16</v>
      </c>
      <c r="I931">
        <v>0.06</v>
      </c>
      <c r="J931">
        <v>6664.9</v>
      </c>
      <c r="K931">
        <f t="shared" si="42"/>
        <v>7090.32</v>
      </c>
      <c r="L931">
        <f t="shared" si="43"/>
        <v>425.42000000000007</v>
      </c>
      <c r="M931">
        <f t="shared" si="44"/>
        <v>6664.9</v>
      </c>
      <c r="N931" t="s">
        <v>33</v>
      </c>
      <c r="O931" t="s">
        <v>29</v>
      </c>
      <c r="P931" t="s">
        <v>54</v>
      </c>
      <c r="Q931" t="s">
        <v>59</v>
      </c>
    </row>
    <row r="932" spans="1:17" x14ac:dyDescent="0.3">
      <c r="A932" t="s">
        <v>993</v>
      </c>
      <c r="B932" s="1">
        <v>45702</v>
      </c>
      <c r="C932" t="s">
        <v>36</v>
      </c>
      <c r="D932" t="s">
        <v>39</v>
      </c>
      <c r="E932" t="s">
        <v>17</v>
      </c>
      <c r="F932" t="s">
        <v>32</v>
      </c>
      <c r="G932">
        <v>1</v>
      </c>
      <c r="H932">
        <v>391.93</v>
      </c>
      <c r="I932">
        <v>0.09</v>
      </c>
      <c r="J932">
        <v>356.66</v>
      </c>
      <c r="K932">
        <f t="shared" si="42"/>
        <v>391.93</v>
      </c>
      <c r="L932">
        <f t="shared" si="43"/>
        <v>35.269999999999982</v>
      </c>
      <c r="M932">
        <f t="shared" si="44"/>
        <v>356.66</v>
      </c>
      <c r="N932" t="s">
        <v>41</v>
      </c>
      <c r="O932" t="s">
        <v>20</v>
      </c>
      <c r="P932" t="s">
        <v>54</v>
      </c>
      <c r="Q932" t="s">
        <v>22</v>
      </c>
    </row>
    <row r="933" spans="1:17" x14ac:dyDescent="0.3">
      <c r="A933" t="s">
        <v>994</v>
      </c>
      <c r="B933" s="1">
        <v>45712</v>
      </c>
      <c r="C933" t="s">
        <v>52</v>
      </c>
      <c r="D933" t="s">
        <v>43</v>
      </c>
      <c r="E933" t="s">
        <v>27</v>
      </c>
      <c r="F933" t="s">
        <v>87</v>
      </c>
      <c r="G933">
        <v>1</v>
      </c>
      <c r="H933">
        <v>3760.28</v>
      </c>
      <c r="I933">
        <v>0.03</v>
      </c>
      <c r="J933">
        <v>3647.47</v>
      </c>
      <c r="K933">
        <f t="shared" si="42"/>
        <v>3760.28</v>
      </c>
      <c r="L933">
        <f t="shared" si="43"/>
        <v>112.8100000000004</v>
      </c>
      <c r="M933">
        <f t="shared" si="44"/>
        <v>3647.47</v>
      </c>
      <c r="N933" t="s">
        <v>19</v>
      </c>
      <c r="O933" t="s">
        <v>20</v>
      </c>
      <c r="P933" t="s">
        <v>21</v>
      </c>
      <c r="Q933" t="s">
        <v>22</v>
      </c>
    </row>
    <row r="934" spans="1:17" x14ac:dyDescent="0.3">
      <c r="A934" t="s">
        <v>995</v>
      </c>
      <c r="B934" s="1">
        <v>45744</v>
      </c>
      <c r="C934" t="s">
        <v>15</v>
      </c>
      <c r="D934" t="s">
        <v>43</v>
      </c>
      <c r="E934" t="s">
        <v>17</v>
      </c>
      <c r="F934" t="s">
        <v>40</v>
      </c>
      <c r="G934">
        <v>1</v>
      </c>
      <c r="H934">
        <v>3347.46</v>
      </c>
      <c r="I934">
        <v>0.02</v>
      </c>
      <c r="J934">
        <v>3280.51</v>
      </c>
      <c r="K934">
        <f t="shared" si="42"/>
        <v>3347.46</v>
      </c>
      <c r="L934">
        <f t="shared" si="43"/>
        <v>66.949999999999818</v>
      </c>
      <c r="M934">
        <f t="shared" si="44"/>
        <v>3280.51</v>
      </c>
      <c r="N934" t="s">
        <v>58</v>
      </c>
      <c r="O934" t="s">
        <v>29</v>
      </c>
      <c r="P934" t="s">
        <v>21</v>
      </c>
      <c r="Q934" t="s">
        <v>22</v>
      </c>
    </row>
    <row r="935" spans="1:17" x14ac:dyDescent="0.3">
      <c r="A935" t="s">
        <v>996</v>
      </c>
      <c r="B935" s="1">
        <v>45754</v>
      </c>
      <c r="C935" t="s">
        <v>24</v>
      </c>
      <c r="D935" t="s">
        <v>43</v>
      </c>
      <c r="E935" t="s">
        <v>99</v>
      </c>
      <c r="F935" t="s">
        <v>100</v>
      </c>
      <c r="G935">
        <v>1</v>
      </c>
      <c r="H935">
        <v>2889</v>
      </c>
      <c r="I935">
        <v>0.2</v>
      </c>
      <c r="J935">
        <v>2311.1999999999998</v>
      </c>
      <c r="K935">
        <f t="shared" si="42"/>
        <v>2889</v>
      </c>
      <c r="L935">
        <f t="shared" si="43"/>
        <v>577.80000000000018</v>
      </c>
      <c r="M935">
        <f t="shared" si="44"/>
        <v>2311.1999999999998</v>
      </c>
      <c r="N935" t="s">
        <v>19</v>
      </c>
      <c r="O935" t="s">
        <v>20</v>
      </c>
      <c r="P935" t="s">
        <v>54</v>
      </c>
      <c r="Q935" t="s">
        <v>22</v>
      </c>
    </row>
    <row r="936" spans="1:17" x14ac:dyDescent="0.3">
      <c r="A936" t="s">
        <v>997</v>
      </c>
      <c r="B936" s="1">
        <v>45665</v>
      </c>
      <c r="C936" t="s">
        <v>48</v>
      </c>
      <c r="D936" t="s">
        <v>39</v>
      </c>
      <c r="E936" t="s">
        <v>61</v>
      </c>
      <c r="F936" t="s">
        <v>66</v>
      </c>
      <c r="G936">
        <v>3</v>
      </c>
      <c r="H936">
        <v>2275.4699999999998</v>
      </c>
      <c r="I936">
        <v>0.16</v>
      </c>
      <c r="J936">
        <v>5734.18</v>
      </c>
      <c r="K936">
        <f t="shared" si="42"/>
        <v>6826.41</v>
      </c>
      <c r="L936">
        <f t="shared" si="43"/>
        <v>1092.2299999999996</v>
      </c>
      <c r="M936">
        <f t="shared" si="44"/>
        <v>5734.18</v>
      </c>
      <c r="N936" t="s">
        <v>41</v>
      </c>
      <c r="O936" t="s">
        <v>29</v>
      </c>
      <c r="P936" t="s">
        <v>54</v>
      </c>
      <c r="Q936" t="s">
        <v>22</v>
      </c>
    </row>
    <row r="937" spans="1:17" x14ac:dyDescent="0.3">
      <c r="A937" t="s">
        <v>998</v>
      </c>
      <c r="B937" s="1">
        <v>45735</v>
      </c>
      <c r="C937" t="s">
        <v>36</v>
      </c>
      <c r="D937" t="s">
        <v>25</v>
      </c>
      <c r="E937" t="s">
        <v>17</v>
      </c>
      <c r="F937" t="s">
        <v>18</v>
      </c>
      <c r="G937">
        <v>2</v>
      </c>
      <c r="H937">
        <v>153.25</v>
      </c>
      <c r="I937">
        <v>0.21</v>
      </c>
      <c r="J937">
        <v>242.14</v>
      </c>
      <c r="K937">
        <f t="shared" si="42"/>
        <v>306.5</v>
      </c>
      <c r="L937">
        <f t="shared" si="43"/>
        <v>64.360000000000014</v>
      </c>
      <c r="M937">
        <f t="shared" si="44"/>
        <v>242.14</v>
      </c>
      <c r="N937" t="s">
        <v>19</v>
      </c>
      <c r="O937" t="s">
        <v>29</v>
      </c>
      <c r="P937" t="s">
        <v>21</v>
      </c>
      <c r="Q937" t="s">
        <v>22</v>
      </c>
    </row>
    <row r="938" spans="1:17" x14ac:dyDescent="0.3">
      <c r="A938" t="s">
        <v>999</v>
      </c>
      <c r="B938" s="1">
        <v>45725</v>
      </c>
      <c r="C938" t="s">
        <v>52</v>
      </c>
      <c r="D938" t="s">
        <v>43</v>
      </c>
      <c r="E938" t="s">
        <v>99</v>
      </c>
      <c r="F938" t="s">
        <v>111</v>
      </c>
      <c r="G938">
        <v>3</v>
      </c>
      <c r="H938">
        <v>4868.3</v>
      </c>
      <c r="I938">
        <v>0.13</v>
      </c>
      <c r="J938">
        <v>12706.26</v>
      </c>
      <c r="K938">
        <f t="shared" si="42"/>
        <v>14604.900000000001</v>
      </c>
      <c r="L938">
        <f t="shared" si="43"/>
        <v>1898.6400000000012</v>
      </c>
      <c r="M938">
        <f t="shared" si="44"/>
        <v>12706.26</v>
      </c>
      <c r="N938" t="s">
        <v>41</v>
      </c>
      <c r="O938" t="s">
        <v>20</v>
      </c>
      <c r="P938" t="s">
        <v>54</v>
      </c>
      <c r="Q938" t="s">
        <v>22</v>
      </c>
    </row>
    <row r="939" spans="1:17" x14ac:dyDescent="0.3">
      <c r="A939" t="s">
        <v>1000</v>
      </c>
      <c r="B939" s="1">
        <v>45789</v>
      </c>
      <c r="C939" t="s">
        <v>48</v>
      </c>
      <c r="D939" t="s">
        <v>25</v>
      </c>
      <c r="E939" t="s">
        <v>17</v>
      </c>
      <c r="F939" t="s">
        <v>44</v>
      </c>
      <c r="G939">
        <v>5</v>
      </c>
      <c r="H939">
        <v>3064.91</v>
      </c>
      <c r="I939">
        <v>0.02</v>
      </c>
      <c r="J939">
        <v>15018.06</v>
      </c>
      <c r="K939">
        <f t="shared" si="42"/>
        <v>15324.55</v>
      </c>
      <c r="L939">
        <f t="shared" si="43"/>
        <v>306.48999999999978</v>
      </c>
      <c r="M939">
        <f t="shared" si="44"/>
        <v>15018.06</v>
      </c>
      <c r="N939" t="s">
        <v>19</v>
      </c>
      <c r="O939" t="s">
        <v>29</v>
      </c>
      <c r="P939" t="s">
        <v>21</v>
      </c>
      <c r="Q939" t="s">
        <v>22</v>
      </c>
    </row>
    <row r="940" spans="1:17" x14ac:dyDescent="0.3">
      <c r="A940" t="s">
        <v>1001</v>
      </c>
      <c r="B940" s="1">
        <v>45791</v>
      </c>
      <c r="C940" t="s">
        <v>52</v>
      </c>
      <c r="D940" t="s">
        <v>39</v>
      </c>
      <c r="E940" t="s">
        <v>49</v>
      </c>
      <c r="F940" t="s">
        <v>50</v>
      </c>
      <c r="G940">
        <v>4</v>
      </c>
      <c r="H940">
        <v>1054.18</v>
      </c>
      <c r="I940">
        <v>0.03</v>
      </c>
      <c r="J940">
        <v>4090.22</v>
      </c>
      <c r="K940">
        <f t="shared" si="42"/>
        <v>4216.72</v>
      </c>
      <c r="L940">
        <f t="shared" si="43"/>
        <v>126.50000000000045</v>
      </c>
      <c r="M940">
        <f t="shared" si="44"/>
        <v>4090.22</v>
      </c>
      <c r="N940" t="s">
        <v>58</v>
      </c>
      <c r="O940" t="s">
        <v>34</v>
      </c>
      <c r="P940" t="s">
        <v>54</v>
      </c>
      <c r="Q940" t="s">
        <v>22</v>
      </c>
    </row>
    <row r="941" spans="1:17" x14ac:dyDescent="0.3">
      <c r="A941" t="s">
        <v>1002</v>
      </c>
      <c r="B941" s="1">
        <v>45814</v>
      </c>
      <c r="C941" t="s">
        <v>52</v>
      </c>
      <c r="D941" t="s">
        <v>39</v>
      </c>
      <c r="E941" t="s">
        <v>99</v>
      </c>
      <c r="F941" t="s">
        <v>120</v>
      </c>
      <c r="G941">
        <v>5</v>
      </c>
      <c r="H941">
        <v>621.67999999999995</v>
      </c>
      <c r="I941">
        <v>0.05</v>
      </c>
      <c r="J941">
        <v>2952.98</v>
      </c>
      <c r="K941">
        <f t="shared" si="42"/>
        <v>3108.3999999999996</v>
      </c>
      <c r="L941">
        <f t="shared" si="43"/>
        <v>155.41999999999962</v>
      </c>
      <c r="M941">
        <f t="shared" si="44"/>
        <v>2952.98</v>
      </c>
      <c r="N941" t="s">
        <v>46</v>
      </c>
      <c r="O941" t="s">
        <v>20</v>
      </c>
      <c r="P941" t="s">
        <v>54</v>
      </c>
      <c r="Q941" t="s">
        <v>22</v>
      </c>
    </row>
    <row r="942" spans="1:17" x14ac:dyDescent="0.3">
      <c r="A942" t="s">
        <v>1003</v>
      </c>
      <c r="B942" s="1">
        <v>45738</v>
      </c>
      <c r="C942" t="s">
        <v>52</v>
      </c>
      <c r="D942" t="s">
        <v>16</v>
      </c>
      <c r="E942" t="s">
        <v>61</v>
      </c>
      <c r="F942" t="s">
        <v>62</v>
      </c>
      <c r="G942">
        <v>5</v>
      </c>
      <c r="H942">
        <v>2867.5</v>
      </c>
      <c r="I942">
        <v>0.14000000000000001</v>
      </c>
      <c r="J942">
        <v>12330.25</v>
      </c>
      <c r="K942">
        <f t="shared" si="42"/>
        <v>14337.5</v>
      </c>
      <c r="L942">
        <f t="shared" si="43"/>
        <v>2007.25</v>
      </c>
      <c r="M942">
        <f t="shared" si="44"/>
        <v>12330.25</v>
      </c>
      <c r="N942" t="s">
        <v>46</v>
      </c>
      <c r="O942" t="s">
        <v>20</v>
      </c>
      <c r="P942" t="s">
        <v>30</v>
      </c>
      <c r="Q942" t="s">
        <v>22</v>
      </c>
    </row>
    <row r="943" spans="1:17" x14ac:dyDescent="0.3">
      <c r="A943" t="s">
        <v>1004</v>
      </c>
      <c r="B943" s="1">
        <v>45800</v>
      </c>
      <c r="C943" t="s">
        <v>24</v>
      </c>
      <c r="D943" t="s">
        <v>39</v>
      </c>
      <c r="E943" t="s">
        <v>17</v>
      </c>
      <c r="F943" t="s">
        <v>32</v>
      </c>
      <c r="G943">
        <v>4</v>
      </c>
      <c r="H943">
        <v>2551.06</v>
      </c>
      <c r="I943">
        <v>0.08</v>
      </c>
      <c r="J943">
        <v>9387.9</v>
      </c>
      <c r="K943">
        <f t="shared" si="42"/>
        <v>10204.24</v>
      </c>
      <c r="L943">
        <f t="shared" si="43"/>
        <v>816.34000000000015</v>
      </c>
      <c r="M943">
        <f t="shared" si="44"/>
        <v>9387.9</v>
      </c>
      <c r="N943" t="s">
        <v>46</v>
      </c>
      <c r="O943" t="s">
        <v>34</v>
      </c>
      <c r="P943" t="s">
        <v>30</v>
      </c>
      <c r="Q943" t="s">
        <v>59</v>
      </c>
    </row>
    <row r="944" spans="1:17" x14ac:dyDescent="0.3">
      <c r="A944" t="s">
        <v>1005</v>
      </c>
      <c r="B944" s="1">
        <v>45692</v>
      </c>
      <c r="C944" t="s">
        <v>48</v>
      </c>
      <c r="D944" t="s">
        <v>25</v>
      </c>
      <c r="E944" t="s">
        <v>17</v>
      </c>
      <c r="F944" t="s">
        <v>32</v>
      </c>
      <c r="G944">
        <v>5</v>
      </c>
      <c r="H944">
        <v>4056.72</v>
      </c>
      <c r="I944">
        <v>0.04</v>
      </c>
      <c r="J944">
        <v>19472.259999999998</v>
      </c>
      <c r="K944">
        <f t="shared" si="42"/>
        <v>20283.599999999999</v>
      </c>
      <c r="L944">
        <f t="shared" si="43"/>
        <v>811.34000000000015</v>
      </c>
      <c r="M944">
        <f t="shared" si="44"/>
        <v>19472.259999999998</v>
      </c>
      <c r="N944" t="s">
        <v>33</v>
      </c>
      <c r="O944" t="s">
        <v>20</v>
      </c>
      <c r="P944" t="s">
        <v>21</v>
      </c>
      <c r="Q944" t="s">
        <v>22</v>
      </c>
    </row>
    <row r="945" spans="1:17" x14ac:dyDescent="0.3">
      <c r="A945" t="s">
        <v>1006</v>
      </c>
      <c r="B945" s="1">
        <v>45823</v>
      </c>
      <c r="C945" t="s">
        <v>52</v>
      </c>
      <c r="D945" t="s">
        <v>43</v>
      </c>
      <c r="E945" t="s">
        <v>17</v>
      </c>
      <c r="F945" t="s">
        <v>32</v>
      </c>
      <c r="G945">
        <v>4</v>
      </c>
      <c r="H945">
        <v>485.89</v>
      </c>
      <c r="I945">
        <v>0.16</v>
      </c>
      <c r="J945">
        <v>1632.59</v>
      </c>
      <c r="K945">
        <f t="shared" si="42"/>
        <v>1943.56</v>
      </c>
      <c r="L945">
        <f t="shared" si="43"/>
        <v>310.97000000000003</v>
      </c>
      <c r="M945">
        <f t="shared" si="44"/>
        <v>1632.59</v>
      </c>
      <c r="N945" t="s">
        <v>19</v>
      </c>
      <c r="O945" t="s">
        <v>29</v>
      </c>
      <c r="P945" t="s">
        <v>21</v>
      </c>
      <c r="Q945" t="s">
        <v>37</v>
      </c>
    </row>
    <row r="946" spans="1:17" x14ac:dyDescent="0.3">
      <c r="A946" t="s">
        <v>1007</v>
      </c>
      <c r="B946" s="1">
        <v>45750</v>
      </c>
      <c r="C946" t="s">
        <v>36</v>
      </c>
      <c r="D946" t="s">
        <v>25</v>
      </c>
      <c r="E946" t="s">
        <v>61</v>
      </c>
      <c r="F946" t="s">
        <v>75</v>
      </c>
      <c r="G946">
        <v>5</v>
      </c>
      <c r="H946">
        <v>3291.84</v>
      </c>
      <c r="I946">
        <v>0.23</v>
      </c>
      <c r="J946">
        <v>12673.58</v>
      </c>
      <c r="K946">
        <f t="shared" si="42"/>
        <v>16459.2</v>
      </c>
      <c r="L946">
        <f t="shared" si="43"/>
        <v>3785.6200000000008</v>
      </c>
      <c r="M946">
        <f t="shared" si="44"/>
        <v>12673.58</v>
      </c>
      <c r="N946" t="s">
        <v>33</v>
      </c>
      <c r="O946" t="s">
        <v>29</v>
      </c>
      <c r="P946" t="s">
        <v>30</v>
      </c>
      <c r="Q946" t="s">
        <v>88</v>
      </c>
    </row>
    <row r="947" spans="1:17" x14ac:dyDescent="0.3">
      <c r="A947" t="s">
        <v>1008</v>
      </c>
      <c r="B947" s="1">
        <v>45838</v>
      </c>
      <c r="C947" t="s">
        <v>15</v>
      </c>
      <c r="D947" t="s">
        <v>43</v>
      </c>
      <c r="E947" t="s">
        <v>99</v>
      </c>
      <c r="F947" t="s">
        <v>111</v>
      </c>
      <c r="G947">
        <v>1</v>
      </c>
      <c r="H947">
        <v>4464.33</v>
      </c>
      <c r="I947">
        <v>0.19</v>
      </c>
      <c r="J947">
        <v>3616.11</v>
      </c>
      <c r="K947">
        <f t="shared" si="42"/>
        <v>4464.33</v>
      </c>
      <c r="L947">
        <f t="shared" si="43"/>
        <v>848.2199999999998</v>
      </c>
      <c r="M947">
        <f t="shared" si="44"/>
        <v>3616.11</v>
      </c>
      <c r="N947" t="s">
        <v>33</v>
      </c>
      <c r="O947" t="s">
        <v>34</v>
      </c>
      <c r="P947" t="s">
        <v>30</v>
      </c>
      <c r="Q947" t="s">
        <v>22</v>
      </c>
    </row>
    <row r="948" spans="1:17" x14ac:dyDescent="0.3">
      <c r="A948" t="s">
        <v>1009</v>
      </c>
      <c r="B948" s="1">
        <v>45684</v>
      </c>
      <c r="C948" t="s">
        <v>52</v>
      </c>
      <c r="D948" t="s">
        <v>16</v>
      </c>
      <c r="E948" t="s">
        <v>27</v>
      </c>
      <c r="F948" t="s">
        <v>79</v>
      </c>
      <c r="G948">
        <v>4</v>
      </c>
      <c r="H948">
        <v>577.29</v>
      </c>
      <c r="I948">
        <v>0</v>
      </c>
      <c r="J948">
        <v>2309.16</v>
      </c>
      <c r="K948">
        <f t="shared" si="42"/>
        <v>2309.16</v>
      </c>
      <c r="L948">
        <f t="shared" si="43"/>
        <v>0</v>
      </c>
      <c r="M948">
        <f t="shared" si="44"/>
        <v>2309.16</v>
      </c>
      <c r="N948" t="s">
        <v>33</v>
      </c>
      <c r="O948" t="s">
        <v>29</v>
      </c>
      <c r="P948" t="s">
        <v>30</v>
      </c>
      <c r="Q948" t="s">
        <v>22</v>
      </c>
    </row>
    <row r="949" spans="1:17" x14ac:dyDescent="0.3">
      <c r="A949" t="s">
        <v>1010</v>
      </c>
      <c r="B949" s="1">
        <v>45780</v>
      </c>
      <c r="C949" t="s">
        <v>52</v>
      </c>
      <c r="D949" t="s">
        <v>16</v>
      </c>
      <c r="E949" t="s">
        <v>49</v>
      </c>
      <c r="F949" t="s">
        <v>53</v>
      </c>
      <c r="G949">
        <v>1</v>
      </c>
      <c r="H949">
        <v>1472.57</v>
      </c>
      <c r="I949">
        <v>0.09</v>
      </c>
      <c r="J949">
        <v>1340.04</v>
      </c>
      <c r="K949">
        <f t="shared" si="42"/>
        <v>1472.57</v>
      </c>
      <c r="L949">
        <f t="shared" si="43"/>
        <v>132.52999999999997</v>
      </c>
      <c r="M949">
        <f t="shared" si="44"/>
        <v>1340.04</v>
      </c>
      <c r="N949" t="s">
        <v>46</v>
      </c>
      <c r="O949" t="s">
        <v>20</v>
      </c>
      <c r="P949" t="s">
        <v>54</v>
      </c>
      <c r="Q949" t="s">
        <v>22</v>
      </c>
    </row>
    <row r="950" spans="1:17" x14ac:dyDescent="0.3">
      <c r="A950" t="s">
        <v>1011</v>
      </c>
      <c r="B950" s="1">
        <v>45763</v>
      </c>
      <c r="C950" t="s">
        <v>48</v>
      </c>
      <c r="D950" t="s">
        <v>16</v>
      </c>
      <c r="E950" t="s">
        <v>49</v>
      </c>
      <c r="F950" t="s">
        <v>53</v>
      </c>
      <c r="G950">
        <v>2</v>
      </c>
      <c r="H950">
        <v>4705.16</v>
      </c>
      <c r="I950">
        <v>0.24</v>
      </c>
      <c r="J950">
        <v>7151.84</v>
      </c>
      <c r="K950">
        <f t="shared" si="42"/>
        <v>9410.32</v>
      </c>
      <c r="L950">
        <f t="shared" si="43"/>
        <v>2258.4799999999996</v>
      </c>
      <c r="M950">
        <f t="shared" si="44"/>
        <v>7151.84</v>
      </c>
      <c r="N950" t="s">
        <v>46</v>
      </c>
      <c r="O950" t="s">
        <v>34</v>
      </c>
      <c r="P950" t="s">
        <v>30</v>
      </c>
      <c r="Q950" t="s">
        <v>22</v>
      </c>
    </row>
    <row r="951" spans="1:17" x14ac:dyDescent="0.3">
      <c r="A951" t="s">
        <v>1012</v>
      </c>
      <c r="B951" s="1">
        <v>45665</v>
      </c>
      <c r="C951" t="s">
        <v>48</v>
      </c>
      <c r="D951" t="s">
        <v>39</v>
      </c>
      <c r="E951" t="s">
        <v>99</v>
      </c>
      <c r="F951" t="s">
        <v>115</v>
      </c>
      <c r="G951">
        <v>2</v>
      </c>
      <c r="H951">
        <v>2260.06</v>
      </c>
      <c r="I951">
        <v>0.13</v>
      </c>
      <c r="J951">
        <v>3932.5</v>
      </c>
      <c r="K951">
        <f t="shared" si="42"/>
        <v>4520.12</v>
      </c>
      <c r="L951">
        <f t="shared" si="43"/>
        <v>587.61999999999989</v>
      </c>
      <c r="M951">
        <f t="shared" si="44"/>
        <v>3932.5</v>
      </c>
      <c r="N951" t="s">
        <v>33</v>
      </c>
      <c r="O951" t="s">
        <v>29</v>
      </c>
      <c r="P951" t="s">
        <v>21</v>
      </c>
      <c r="Q951" t="s">
        <v>22</v>
      </c>
    </row>
    <row r="952" spans="1:17" x14ac:dyDescent="0.3">
      <c r="A952" t="s">
        <v>1013</v>
      </c>
      <c r="B952" s="1">
        <v>45836</v>
      </c>
      <c r="C952" t="s">
        <v>15</v>
      </c>
      <c r="D952" t="s">
        <v>16</v>
      </c>
      <c r="E952" t="s">
        <v>49</v>
      </c>
      <c r="F952" t="s">
        <v>50</v>
      </c>
      <c r="G952">
        <v>1</v>
      </c>
      <c r="H952">
        <v>3731.11</v>
      </c>
      <c r="I952">
        <v>0.06</v>
      </c>
      <c r="J952">
        <v>3507.24</v>
      </c>
      <c r="K952">
        <f t="shared" si="42"/>
        <v>3731.11</v>
      </c>
      <c r="L952">
        <f t="shared" si="43"/>
        <v>223.87000000000035</v>
      </c>
      <c r="M952">
        <f t="shared" si="44"/>
        <v>3507.24</v>
      </c>
      <c r="N952" t="s">
        <v>58</v>
      </c>
      <c r="O952" t="s">
        <v>29</v>
      </c>
      <c r="P952" t="s">
        <v>21</v>
      </c>
      <c r="Q952" t="s">
        <v>22</v>
      </c>
    </row>
    <row r="953" spans="1:17" x14ac:dyDescent="0.3">
      <c r="A953" t="s">
        <v>1014</v>
      </c>
      <c r="B953" s="1">
        <v>45736</v>
      </c>
      <c r="C953" t="s">
        <v>48</v>
      </c>
      <c r="D953" t="s">
        <v>16</v>
      </c>
      <c r="E953" t="s">
        <v>17</v>
      </c>
      <c r="F953" t="s">
        <v>32</v>
      </c>
      <c r="G953">
        <v>4</v>
      </c>
      <c r="H953">
        <v>4283.76</v>
      </c>
      <c r="I953">
        <v>0.06</v>
      </c>
      <c r="J953">
        <v>16106.94</v>
      </c>
      <c r="K953">
        <f t="shared" si="42"/>
        <v>17135.04</v>
      </c>
      <c r="L953">
        <f t="shared" si="43"/>
        <v>1028.1000000000004</v>
      </c>
      <c r="M953">
        <f t="shared" si="44"/>
        <v>16106.94</v>
      </c>
      <c r="N953" t="s">
        <v>19</v>
      </c>
      <c r="O953" t="s">
        <v>29</v>
      </c>
      <c r="P953" t="s">
        <v>30</v>
      </c>
      <c r="Q953" t="s">
        <v>22</v>
      </c>
    </row>
    <row r="954" spans="1:17" x14ac:dyDescent="0.3">
      <c r="A954" t="s">
        <v>1015</v>
      </c>
      <c r="B954" s="1">
        <v>45774</v>
      </c>
      <c r="C954" t="s">
        <v>24</v>
      </c>
      <c r="D954" t="s">
        <v>43</v>
      </c>
      <c r="E954" t="s">
        <v>49</v>
      </c>
      <c r="F954" t="s">
        <v>50</v>
      </c>
      <c r="G954">
        <v>1</v>
      </c>
      <c r="H954">
        <v>4595.5600000000004</v>
      </c>
      <c r="I954">
        <v>0.23</v>
      </c>
      <c r="J954">
        <v>3538.58</v>
      </c>
      <c r="K954">
        <f t="shared" si="42"/>
        <v>4595.5600000000004</v>
      </c>
      <c r="L954">
        <f t="shared" si="43"/>
        <v>1056.9800000000005</v>
      </c>
      <c r="M954">
        <f t="shared" si="44"/>
        <v>3538.58</v>
      </c>
      <c r="N954" t="s">
        <v>58</v>
      </c>
      <c r="O954" t="s">
        <v>20</v>
      </c>
      <c r="P954" t="s">
        <v>30</v>
      </c>
      <c r="Q954" t="s">
        <v>22</v>
      </c>
    </row>
    <row r="955" spans="1:17" x14ac:dyDescent="0.3">
      <c r="A955" t="s">
        <v>1016</v>
      </c>
      <c r="B955" s="1">
        <v>45769</v>
      </c>
      <c r="C955" t="s">
        <v>15</v>
      </c>
      <c r="D955" t="s">
        <v>25</v>
      </c>
      <c r="E955" t="s">
        <v>17</v>
      </c>
      <c r="F955" t="s">
        <v>32</v>
      </c>
      <c r="G955">
        <v>2</v>
      </c>
      <c r="H955">
        <v>3541.23</v>
      </c>
      <c r="I955">
        <v>0.12</v>
      </c>
      <c r="J955">
        <v>6232.56</v>
      </c>
      <c r="K955">
        <f t="shared" si="42"/>
        <v>7082.46</v>
      </c>
      <c r="L955">
        <f t="shared" si="43"/>
        <v>849.89999999999964</v>
      </c>
      <c r="M955">
        <f t="shared" si="44"/>
        <v>6232.56</v>
      </c>
      <c r="N955" t="s">
        <v>33</v>
      </c>
      <c r="O955" t="s">
        <v>34</v>
      </c>
      <c r="P955" t="s">
        <v>30</v>
      </c>
      <c r="Q955" t="s">
        <v>22</v>
      </c>
    </row>
    <row r="956" spans="1:17" x14ac:dyDescent="0.3">
      <c r="A956" t="s">
        <v>1017</v>
      </c>
      <c r="B956" s="1">
        <v>45788</v>
      </c>
      <c r="C956" t="s">
        <v>52</v>
      </c>
      <c r="D956" t="s">
        <v>16</v>
      </c>
      <c r="E956" t="s">
        <v>61</v>
      </c>
      <c r="F956" t="s">
        <v>92</v>
      </c>
      <c r="G956">
        <v>5</v>
      </c>
      <c r="H956">
        <v>253.48</v>
      </c>
      <c r="I956">
        <v>0.15</v>
      </c>
      <c r="J956">
        <v>1077.29</v>
      </c>
      <c r="K956">
        <f t="shared" si="42"/>
        <v>1267.3999999999999</v>
      </c>
      <c r="L956">
        <f t="shared" si="43"/>
        <v>190.1099999999999</v>
      </c>
      <c r="M956">
        <f t="shared" si="44"/>
        <v>1077.29</v>
      </c>
      <c r="N956" t="s">
        <v>19</v>
      </c>
      <c r="O956" t="s">
        <v>34</v>
      </c>
      <c r="P956" t="s">
        <v>30</v>
      </c>
      <c r="Q956" t="s">
        <v>37</v>
      </c>
    </row>
    <row r="957" spans="1:17" x14ac:dyDescent="0.3">
      <c r="A957" t="s">
        <v>1018</v>
      </c>
      <c r="B957" s="1">
        <v>45665</v>
      </c>
      <c r="C957" t="s">
        <v>48</v>
      </c>
      <c r="D957" t="s">
        <v>25</v>
      </c>
      <c r="E957" t="s">
        <v>99</v>
      </c>
      <c r="F957" t="s">
        <v>115</v>
      </c>
      <c r="G957">
        <v>2</v>
      </c>
      <c r="H957">
        <v>4353.3</v>
      </c>
      <c r="I957">
        <v>0.24</v>
      </c>
      <c r="J957">
        <v>6617.02</v>
      </c>
      <c r="K957">
        <f t="shared" si="42"/>
        <v>8706.6</v>
      </c>
      <c r="L957">
        <f t="shared" si="43"/>
        <v>2089.58</v>
      </c>
      <c r="M957">
        <f t="shared" si="44"/>
        <v>6617.02</v>
      </c>
      <c r="N957" t="s">
        <v>19</v>
      </c>
      <c r="O957" t="s">
        <v>20</v>
      </c>
      <c r="P957" t="s">
        <v>21</v>
      </c>
      <c r="Q957" t="s">
        <v>22</v>
      </c>
    </row>
    <row r="958" spans="1:17" x14ac:dyDescent="0.3">
      <c r="A958" t="s">
        <v>1019</v>
      </c>
      <c r="B958" s="1">
        <v>45676</v>
      </c>
      <c r="C958" t="s">
        <v>52</v>
      </c>
      <c r="D958" t="s">
        <v>25</v>
      </c>
      <c r="E958" t="s">
        <v>61</v>
      </c>
      <c r="F958" t="s">
        <v>62</v>
      </c>
      <c r="G958">
        <v>4</v>
      </c>
      <c r="H958">
        <v>500.37</v>
      </c>
      <c r="I958">
        <v>0.22</v>
      </c>
      <c r="J958">
        <v>1561.15</v>
      </c>
      <c r="K958">
        <f t="shared" si="42"/>
        <v>2001.48</v>
      </c>
      <c r="L958">
        <f t="shared" si="43"/>
        <v>440.32999999999993</v>
      </c>
      <c r="M958">
        <f t="shared" si="44"/>
        <v>1561.15</v>
      </c>
      <c r="N958" t="s">
        <v>58</v>
      </c>
      <c r="O958" t="s">
        <v>34</v>
      </c>
      <c r="P958" t="s">
        <v>30</v>
      </c>
      <c r="Q958" t="s">
        <v>22</v>
      </c>
    </row>
    <row r="959" spans="1:17" x14ac:dyDescent="0.3">
      <c r="A959" t="s">
        <v>1020</v>
      </c>
      <c r="B959" s="1">
        <v>45784</v>
      </c>
      <c r="C959" t="s">
        <v>24</v>
      </c>
      <c r="D959" t="s">
        <v>39</v>
      </c>
      <c r="E959" t="s">
        <v>99</v>
      </c>
      <c r="F959" t="s">
        <v>100</v>
      </c>
      <c r="G959">
        <v>3</v>
      </c>
      <c r="H959">
        <v>4820.49</v>
      </c>
      <c r="I959">
        <v>7.0000000000000007E-2</v>
      </c>
      <c r="J959">
        <v>13449.17</v>
      </c>
      <c r="K959">
        <f t="shared" si="42"/>
        <v>14461.47</v>
      </c>
      <c r="L959">
        <f t="shared" si="43"/>
        <v>1012.2999999999993</v>
      </c>
      <c r="M959">
        <f t="shared" si="44"/>
        <v>13449.17</v>
      </c>
      <c r="N959" t="s">
        <v>58</v>
      </c>
      <c r="O959" t="s">
        <v>34</v>
      </c>
      <c r="P959" t="s">
        <v>54</v>
      </c>
      <c r="Q959" t="s">
        <v>37</v>
      </c>
    </row>
    <row r="960" spans="1:17" x14ac:dyDescent="0.3">
      <c r="A960" t="s">
        <v>1021</v>
      </c>
      <c r="B960" s="1">
        <v>45743</v>
      </c>
      <c r="C960" t="s">
        <v>36</v>
      </c>
      <c r="D960" t="s">
        <v>16</v>
      </c>
      <c r="E960" t="s">
        <v>49</v>
      </c>
      <c r="F960" t="s">
        <v>50</v>
      </c>
      <c r="G960">
        <v>4</v>
      </c>
      <c r="H960">
        <v>1837.99</v>
      </c>
      <c r="I960">
        <v>0.17</v>
      </c>
      <c r="J960">
        <v>6102.13</v>
      </c>
      <c r="K960">
        <f t="shared" si="42"/>
        <v>7351.96</v>
      </c>
      <c r="L960">
        <f t="shared" si="43"/>
        <v>1249.83</v>
      </c>
      <c r="M960">
        <f t="shared" si="44"/>
        <v>6102.13</v>
      </c>
      <c r="N960" t="s">
        <v>19</v>
      </c>
      <c r="O960" t="s">
        <v>29</v>
      </c>
      <c r="P960" t="s">
        <v>30</v>
      </c>
      <c r="Q960" t="s">
        <v>22</v>
      </c>
    </row>
    <row r="961" spans="1:17" x14ac:dyDescent="0.3">
      <c r="A961" t="s">
        <v>1022</v>
      </c>
      <c r="B961" s="1">
        <v>45686</v>
      </c>
      <c r="C961" t="s">
        <v>24</v>
      </c>
      <c r="D961" t="s">
        <v>39</v>
      </c>
      <c r="E961" t="s">
        <v>27</v>
      </c>
      <c r="F961" t="s">
        <v>68</v>
      </c>
      <c r="G961">
        <v>2</v>
      </c>
      <c r="H961">
        <v>1686.29</v>
      </c>
      <c r="I961">
        <v>0.25</v>
      </c>
      <c r="J961">
        <v>2529.4299999999998</v>
      </c>
      <c r="K961">
        <f t="shared" si="42"/>
        <v>3372.58</v>
      </c>
      <c r="L961">
        <f t="shared" si="43"/>
        <v>843.15000000000009</v>
      </c>
      <c r="M961">
        <f t="shared" si="44"/>
        <v>2529.4299999999998</v>
      </c>
      <c r="N961" t="s">
        <v>33</v>
      </c>
      <c r="O961" t="s">
        <v>29</v>
      </c>
      <c r="P961" t="s">
        <v>21</v>
      </c>
      <c r="Q961" t="s">
        <v>22</v>
      </c>
    </row>
    <row r="962" spans="1:17" x14ac:dyDescent="0.3">
      <c r="A962" t="s">
        <v>1023</v>
      </c>
      <c r="B962" s="1">
        <v>45828</v>
      </c>
      <c r="C962" t="s">
        <v>48</v>
      </c>
      <c r="D962" t="s">
        <v>43</v>
      </c>
      <c r="E962" t="s">
        <v>49</v>
      </c>
      <c r="F962" t="s">
        <v>73</v>
      </c>
      <c r="G962">
        <v>4</v>
      </c>
      <c r="H962">
        <v>1387.73</v>
      </c>
      <c r="I962">
        <v>0.18</v>
      </c>
      <c r="J962">
        <v>4551.75</v>
      </c>
      <c r="K962">
        <f t="shared" si="42"/>
        <v>5550.92</v>
      </c>
      <c r="L962">
        <f t="shared" si="43"/>
        <v>999.17000000000007</v>
      </c>
      <c r="M962">
        <f t="shared" si="44"/>
        <v>4551.75</v>
      </c>
      <c r="N962" t="s">
        <v>46</v>
      </c>
      <c r="O962" t="s">
        <v>20</v>
      </c>
      <c r="P962" t="s">
        <v>30</v>
      </c>
      <c r="Q962" t="s">
        <v>22</v>
      </c>
    </row>
    <row r="963" spans="1:17" x14ac:dyDescent="0.3">
      <c r="A963" t="s">
        <v>1024</v>
      </c>
      <c r="B963" s="1">
        <v>45749</v>
      </c>
      <c r="C963" t="s">
        <v>24</v>
      </c>
      <c r="D963" t="s">
        <v>25</v>
      </c>
      <c r="E963" t="s">
        <v>27</v>
      </c>
      <c r="F963" t="s">
        <v>79</v>
      </c>
      <c r="G963">
        <v>2</v>
      </c>
      <c r="H963">
        <v>2158.86</v>
      </c>
      <c r="I963">
        <v>0.14000000000000001</v>
      </c>
      <c r="J963">
        <v>3713.24</v>
      </c>
      <c r="K963">
        <f t="shared" ref="K963:K1026" si="45">G963*H963</f>
        <v>4317.72</v>
      </c>
      <c r="L963">
        <f t="shared" ref="L963:L1026" si="46">K963-J963</f>
        <v>604.48000000000047</v>
      </c>
      <c r="M963">
        <f t="shared" ref="M963:M1026" si="47">K963-L963</f>
        <v>3713.24</v>
      </c>
      <c r="N963" t="s">
        <v>19</v>
      </c>
      <c r="O963" t="s">
        <v>29</v>
      </c>
      <c r="P963" t="s">
        <v>54</v>
      </c>
      <c r="Q963" t="s">
        <v>22</v>
      </c>
    </row>
    <row r="964" spans="1:17" x14ac:dyDescent="0.3">
      <c r="A964" t="s">
        <v>1025</v>
      </c>
      <c r="B964" s="1">
        <v>45695</v>
      </c>
      <c r="C964" t="s">
        <v>36</v>
      </c>
      <c r="D964" t="s">
        <v>16</v>
      </c>
      <c r="E964" t="s">
        <v>61</v>
      </c>
      <c r="F964" t="s">
        <v>75</v>
      </c>
      <c r="G964">
        <v>3</v>
      </c>
      <c r="H964">
        <v>179.34</v>
      </c>
      <c r="I964">
        <v>0.22</v>
      </c>
      <c r="J964">
        <v>419.66</v>
      </c>
      <c r="K964">
        <f t="shared" si="45"/>
        <v>538.02</v>
      </c>
      <c r="L964">
        <f t="shared" si="46"/>
        <v>118.35999999999996</v>
      </c>
      <c r="M964">
        <f t="shared" si="47"/>
        <v>419.66</v>
      </c>
      <c r="N964" t="s">
        <v>58</v>
      </c>
      <c r="O964" t="s">
        <v>34</v>
      </c>
      <c r="P964" t="s">
        <v>21</v>
      </c>
      <c r="Q964" t="s">
        <v>22</v>
      </c>
    </row>
    <row r="965" spans="1:17" x14ac:dyDescent="0.3">
      <c r="A965" t="s">
        <v>1026</v>
      </c>
      <c r="B965" s="1">
        <v>45669</v>
      </c>
      <c r="C965" t="s">
        <v>48</v>
      </c>
      <c r="D965" t="s">
        <v>16</v>
      </c>
      <c r="E965" t="s">
        <v>49</v>
      </c>
      <c r="F965" t="s">
        <v>50</v>
      </c>
      <c r="G965">
        <v>5</v>
      </c>
      <c r="H965">
        <v>2186.66</v>
      </c>
      <c r="I965">
        <v>0.24</v>
      </c>
      <c r="J965">
        <v>8309.31</v>
      </c>
      <c r="K965">
        <f t="shared" si="45"/>
        <v>10933.3</v>
      </c>
      <c r="L965">
        <f t="shared" si="46"/>
        <v>2623.99</v>
      </c>
      <c r="M965">
        <f t="shared" si="47"/>
        <v>8309.31</v>
      </c>
      <c r="N965" t="s">
        <v>46</v>
      </c>
      <c r="O965" t="s">
        <v>34</v>
      </c>
      <c r="P965" t="s">
        <v>30</v>
      </c>
      <c r="Q965" t="s">
        <v>37</v>
      </c>
    </row>
    <row r="966" spans="1:17" x14ac:dyDescent="0.3">
      <c r="A966" t="s">
        <v>1027</v>
      </c>
      <c r="B966" s="1">
        <v>45710</v>
      </c>
      <c r="C966" t="s">
        <v>15</v>
      </c>
      <c r="D966" t="s">
        <v>25</v>
      </c>
      <c r="E966" t="s">
        <v>49</v>
      </c>
      <c r="F966" t="s">
        <v>50</v>
      </c>
      <c r="G966">
        <v>5</v>
      </c>
      <c r="H966">
        <v>897.02</v>
      </c>
      <c r="I966">
        <v>0.11</v>
      </c>
      <c r="J966">
        <v>3991.74</v>
      </c>
      <c r="K966">
        <f t="shared" si="45"/>
        <v>4485.1000000000004</v>
      </c>
      <c r="L966">
        <f t="shared" si="46"/>
        <v>493.36000000000058</v>
      </c>
      <c r="M966">
        <f t="shared" si="47"/>
        <v>3991.74</v>
      </c>
      <c r="N966" t="s">
        <v>19</v>
      </c>
      <c r="O966" t="s">
        <v>29</v>
      </c>
      <c r="P966" t="s">
        <v>30</v>
      </c>
      <c r="Q966" t="s">
        <v>22</v>
      </c>
    </row>
    <row r="967" spans="1:17" x14ac:dyDescent="0.3">
      <c r="A967" t="s">
        <v>1028</v>
      </c>
      <c r="B967" s="1">
        <v>45733</v>
      </c>
      <c r="C967" t="s">
        <v>24</v>
      </c>
      <c r="D967" t="s">
        <v>16</v>
      </c>
      <c r="E967" t="s">
        <v>27</v>
      </c>
      <c r="F967" t="s">
        <v>79</v>
      </c>
      <c r="G967">
        <v>1</v>
      </c>
      <c r="H967">
        <v>3119.68</v>
      </c>
      <c r="I967">
        <v>0.1</v>
      </c>
      <c r="J967">
        <v>2807.71</v>
      </c>
      <c r="K967">
        <f t="shared" si="45"/>
        <v>3119.68</v>
      </c>
      <c r="L967">
        <f t="shared" si="46"/>
        <v>311.9699999999998</v>
      </c>
      <c r="M967">
        <f t="shared" si="47"/>
        <v>2807.71</v>
      </c>
      <c r="N967" t="s">
        <v>58</v>
      </c>
      <c r="O967" t="s">
        <v>20</v>
      </c>
      <c r="P967" t="s">
        <v>30</v>
      </c>
      <c r="Q967" t="s">
        <v>22</v>
      </c>
    </row>
    <row r="968" spans="1:17" x14ac:dyDescent="0.3">
      <c r="A968" t="s">
        <v>1029</v>
      </c>
      <c r="B968" s="1">
        <v>45723</v>
      </c>
      <c r="C968" t="s">
        <v>15</v>
      </c>
      <c r="D968" t="s">
        <v>43</v>
      </c>
      <c r="E968" t="s">
        <v>27</v>
      </c>
      <c r="F968" t="s">
        <v>79</v>
      </c>
      <c r="G968">
        <v>2</v>
      </c>
      <c r="H968">
        <v>3906.71</v>
      </c>
      <c r="I968">
        <v>0.14000000000000001</v>
      </c>
      <c r="J968">
        <v>6719.54</v>
      </c>
      <c r="K968">
        <f t="shared" si="45"/>
        <v>7813.42</v>
      </c>
      <c r="L968">
        <f t="shared" si="46"/>
        <v>1093.8800000000001</v>
      </c>
      <c r="M968">
        <f t="shared" si="47"/>
        <v>6719.54</v>
      </c>
      <c r="N968" t="s">
        <v>41</v>
      </c>
      <c r="O968" t="s">
        <v>20</v>
      </c>
      <c r="P968" t="s">
        <v>54</v>
      </c>
      <c r="Q968" t="s">
        <v>37</v>
      </c>
    </row>
    <row r="969" spans="1:17" x14ac:dyDescent="0.3">
      <c r="A969" t="s">
        <v>1030</v>
      </c>
      <c r="B969" s="1">
        <v>45701</v>
      </c>
      <c r="C969" t="s">
        <v>48</v>
      </c>
      <c r="D969" t="s">
        <v>39</v>
      </c>
      <c r="E969" t="s">
        <v>17</v>
      </c>
      <c r="F969" t="s">
        <v>32</v>
      </c>
      <c r="G969">
        <v>4</v>
      </c>
      <c r="H969">
        <v>137.27000000000001</v>
      </c>
      <c r="I969">
        <v>0.09</v>
      </c>
      <c r="J969">
        <v>499.66</v>
      </c>
      <c r="K969">
        <f t="shared" si="45"/>
        <v>549.08000000000004</v>
      </c>
      <c r="L969">
        <f t="shared" si="46"/>
        <v>49.420000000000016</v>
      </c>
      <c r="M969">
        <f t="shared" si="47"/>
        <v>499.66</v>
      </c>
      <c r="N969" t="s">
        <v>41</v>
      </c>
      <c r="O969" t="s">
        <v>29</v>
      </c>
      <c r="P969" t="s">
        <v>54</v>
      </c>
      <c r="Q969" t="s">
        <v>22</v>
      </c>
    </row>
    <row r="970" spans="1:17" x14ac:dyDescent="0.3">
      <c r="A970" t="s">
        <v>1031</v>
      </c>
      <c r="B970" s="1">
        <v>45748</v>
      </c>
      <c r="C970" t="s">
        <v>48</v>
      </c>
      <c r="D970" t="s">
        <v>39</v>
      </c>
      <c r="E970" t="s">
        <v>99</v>
      </c>
      <c r="F970" t="s">
        <v>111</v>
      </c>
      <c r="G970">
        <v>4</v>
      </c>
      <c r="H970">
        <v>260.11</v>
      </c>
      <c r="I970">
        <v>0.01</v>
      </c>
      <c r="J970">
        <v>1030.04</v>
      </c>
      <c r="K970">
        <f t="shared" si="45"/>
        <v>1040.44</v>
      </c>
      <c r="L970">
        <f t="shared" si="46"/>
        <v>10.400000000000091</v>
      </c>
      <c r="M970">
        <f t="shared" si="47"/>
        <v>1030.04</v>
      </c>
      <c r="N970" t="s">
        <v>19</v>
      </c>
      <c r="O970" t="s">
        <v>20</v>
      </c>
      <c r="P970" t="s">
        <v>30</v>
      </c>
      <c r="Q970" t="s">
        <v>22</v>
      </c>
    </row>
    <row r="971" spans="1:17" x14ac:dyDescent="0.3">
      <c r="A971" t="s">
        <v>1032</v>
      </c>
      <c r="B971" s="1">
        <v>45723</v>
      </c>
      <c r="C971" t="s">
        <v>52</v>
      </c>
      <c r="D971" t="s">
        <v>25</v>
      </c>
      <c r="E971" t="s">
        <v>27</v>
      </c>
      <c r="F971" t="s">
        <v>87</v>
      </c>
      <c r="G971">
        <v>2</v>
      </c>
      <c r="H971">
        <v>3119.71</v>
      </c>
      <c r="I971">
        <v>0.1</v>
      </c>
      <c r="J971">
        <v>5615.48</v>
      </c>
      <c r="K971">
        <f t="shared" si="45"/>
        <v>6239.42</v>
      </c>
      <c r="L971">
        <f t="shared" si="46"/>
        <v>623.94000000000051</v>
      </c>
      <c r="M971">
        <f t="shared" si="47"/>
        <v>5615.48</v>
      </c>
      <c r="N971" t="s">
        <v>33</v>
      </c>
      <c r="O971" t="s">
        <v>34</v>
      </c>
      <c r="P971" t="s">
        <v>54</v>
      </c>
      <c r="Q971" t="s">
        <v>22</v>
      </c>
    </row>
    <row r="972" spans="1:17" x14ac:dyDescent="0.3">
      <c r="A972" t="s">
        <v>1033</v>
      </c>
      <c r="B972" s="1">
        <v>45725</v>
      </c>
      <c r="C972" t="s">
        <v>48</v>
      </c>
      <c r="D972" t="s">
        <v>16</v>
      </c>
      <c r="E972" t="s">
        <v>49</v>
      </c>
      <c r="F972" t="s">
        <v>73</v>
      </c>
      <c r="G972">
        <v>2</v>
      </c>
      <c r="H972">
        <v>2243.27</v>
      </c>
      <c r="I972">
        <v>0.02</v>
      </c>
      <c r="J972">
        <v>4396.8100000000004</v>
      </c>
      <c r="K972">
        <f t="shared" si="45"/>
        <v>4486.54</v>
      </c>
      <c r="L972">
        <f t="shared" si="46"/>
        <v>89.729999999999563</v>
      </c>
      <c r="M972">
        <f t="shared" si="47"/>
        <v>4396.8100000000004</v>
      </c>
      <c r="N972" t="s">
        <v>46</v>
      </c>
      <c r="O972" t="s">
        <v>29</v>
      </c>
      <c r="P972" t="s">
        <v>54</v>
      </c>
      <c r="Q972" t="s">
        <v>22</v>
      </c>
    </row>
    <row r="973" spans="1:17" x14ac:dyDescent="0.3">
      <c r="A973" t="s">
        <v>1034</v>
      </c>
      <c r="B973" s="1">
        <v>45807</v>
      </c>
      <c r="C973" t="s">
        <v>36</v>
      </c>
      <c r="D973" t="s">
        <v>43</v>
      </c>
      <c r="E973" t="s">
        <v>49</v>
      </c>
      <c r="F973" t="s">
        <v>53</v>
      </c>
      <c r="G973">
        <v>2</v>
      </c>
      <c r="H973">
        <v>556.95000000000005</v>
      </c>
      <c r="I973">
        <v>0.01</v>
      </c>
      <c r="J973">
        <v>1102.76</v>
      </c>
      <c r="K973">
        <f t="shared" si="45"/>
        <v>1113.9000000000001</v>
      </c>
      <c r="L973">
        <f t="shared" si="46"/>
        <v>11.1400000000001</v>
      </c>
      <c r="M973">
        <f t="shared" si="47"/>
        <v>1102.76</v>
      </c>
      <c r="N973" t="s">
        <v>19</v>
      </c>
      <c r="O973" t="s">
        <v>34</v>
      </c>
      <c r="P973" t="s">
        <v>54</v>
      </c>
      <c r="Q973" t="s">
        <v>22</v>
      </c>
    </row>
    <row r="974" spans="1:17" x14ac:dyDescent="0.3">
      <c r="A974" t="s">
        <v>1035</v>
      </c>
      <c r="B974" s="1">
        <v>45830</v>
      </c>
      <c r="C974" t="s">
        <v>36</v>
      </c>
      <c r="D974" t="s">
        <v>43</v>
      </c>
      <c r="E974" t="s">
        <v>27</v>
      </c>
      <c r="F974" t="s">
        <v>79</v>
      </c>
      <c r="G974">
        <v>2</v>
      </c>
      <c r="H974">
        <v>4918.7299999999996</v>
      </c>
      <c r="I974">
        <v>0.16</v>
      </c>
      <c r="J974">
        <v>8263.4699999999993</v>
      </c>
      <c r="K974">
        <f t="shared" si="45"/>
        <v>9837.4599999999991</v>
      </c>
      <c r="L974">
        <f t="shared" si="46"/>
        <v>1573.9899999999998</v>
      </c>
      <c r="M974">
        <f t="shared" si="47"/>
        <v>8263.4699999999993</v>
      </c>
      <c r="N974" t="s">
        <v>41</v>
      </c>
      <c r="O974" t="s">
        <v>20</v>
      </c>
      <c r="P974" t="s">
        <v>30</v>
      </c>
      <c r="Q974" t="s">
        <v>22</v>
      </c>
    </row>
    <row r="975" spans="1:17" x14ac:dyDescent="0.3">
      <c r="A975" t="s">
        <v>1036</v>
      </c>
      <c r="B975" s="1">
        <v>45733</v>
      </c>
      <c r="C975" t="s">
        <v>52</v>
      </c>
      <c r="D975" t="s">
        <v>16</v>
      </c>
      <c r="E975" t="s">
        <v>61</v>
      </c>
      <c r="F975" t="s">
        <v>66</v>
      </c>
      <c r="G975">
        <v>4</v>
      </c>
      <c r="H975">
        <v>3874.92</v>
      </c>
      <c r="I975">
        <v>0.16</v>
      </c>
      <c r="J975">
        <v>13019.73</v>
      </c>
      <c r="K975">
        <f t="shared" si="45"/>
        <v>15499.68</v>
      </c>
      <c r="L975">
        <f t="shared" si="46"/>
        <v>2479.9500000000007</v>
      </c>
      <c r="M975">
        <f t="shared" si="47"/>
        <v>13019.73</v>
      </c>
      <c r="N975" t="s">
        <v>33</v>
      </c>
      <c r="O975" t="s">
        <v>20</v>
      </c>
      <c r="P975" t="s">
        <v>30</v>
      </c>
      <c r="Q975" t="s">
        <v>37</v>
      </c>
    </row>
    <row r="976" spans="1:17" x14ac:dyDescent="0.3">
      <c r="A976" t="s">
        <v>1037</v>
      </c>
      <c r="B976" s="1">
        <v>45714</v>
      </c>
      <c r="C976" t="s">
        <v>24</v>
      </c>
      <c r="D976" t="s">
        <v>16</v>
      </c>
      <c r="E976" t="s">
        <v>17</v>
      </c>
      <c r="F976" t="s">
        <v>18</v>
      </c>
      <c r="G976">
        <v>1</v>
      </c>
      <c r="H976">
        <v>624.67999999999995</v>
      </c>
      <c r="I976">
        <v>7.0000000000000007E-2</v>
      </c>
      <c r="J976">
        <v>580.95000000000005</v>
      </c>
      <c r="K976">
        <f t="shared" si="45"/>
        <v>624.67999999999995</v>
      </c>
      <c r="L976">
        <f t="shared" si="46"/>
        <v>43.729999999999905</v>
      </c>
      <c r="M976">
        <f t="shared" si="47"/>
        <v>580.95000000000005</v>
      </c>
      <c r="N976" t="s">
        <v>41</v>
      </c>
      <c r="O976" t="s">
        <v>29</v>
      </c>
      <c r="P976" t="s">
        <v>54</v>
      </c>
      <c r="Q976" t="s">
        <v>22</v>
      </c>
    </row>
    <row r="977" spans="1:17" x14ac:dyDescent="0.3">
      <c r="A977" t="s">
        <v>1038</v>
      </c>
      <c r="B977" s="1">
        <v>45806</v>
      </c>
      <c r="C977" t="s">
        <v>48</v>
      </c>
      <c r="D977" t="s">
        <v>16</v>
      </c>
      <c r="E977" t="s">
        <v>99</v>
      </c>
      <c r="F977" t="s">
        <v>100</v>
      </c>
      <c r="G977">
        <v>1</v>
      </c>
      <c r="H977">
        <v>2127.35</v>
      </c>
      <c r="I977">
        <v>0.12</v>
      </c>
      <c r="J977">
        <v>1872.07</v>
      </c>
      <c r="K977">
        <f t="shared" si="45"/>
        <v>2127.35</v>
      </c>
      <c r="L977">
        <f t="shared" si="46"/>
        <v>255.27999999999997</v>
      </c>
      <c r="M977">
        <f t="shared" si="47"/>
        <v>1872.07</v>
      </c>
      <c r="N977" t="s">
        <v>58</v>
      </c>
      <c r="O977" t="s">
        <v>34</v>
      </c>
      <c r="P977" t="s">
        <v>21</v>
      </c>
      <c r="Q977" t="s">
        <v>22</v>
      </c>
    </row>
    <row r="978" spans="1:17" x14ac:dyDescent="0.3">
      <c r="A978" t="s">
        <v>1039</v>
      </c>
      <c r="B978" s="1">
        <v>45821</v>
      </c>
      <c r="C978" t="s">
        <v>15</v>
      </c>
      <c r="D978" t="s">
        <v>16</v>
      </c>
      <c r="E978" t="s">
        <v>49</v>
      </c>
      <c r="F978" t="s">
        <v>50</v>
      </c>
      <c r="G978">
        <v>2</v>
      </c>
      <c r="H978">
        <v>1563.9</v>
      </c>
      <c r="I978">
        <v>0.23</v>
      </c>
      <c r="J978">
        <v>2408.41</v>
      </c>
      <c r="K978">
        <f t="shared" si="45"/>
        <v>3127.8</v>
      </c>
      <c r="L978">
        <f t="shared" si="46"/>
        <v>719.39000000000033</v>
      </c>
      <c r="M978">
        <f t="shared" si="47"/>
        <v>2408.41</v>
      </c>
      <c r="N978" t="s">
        <v>41</v>
      </c>
      <c r="O978" t="s">
        <v>20</v>
      </c>
      <c r="P978" t="s">
        <v>21</v>
      </c>
      <c r="Q978" t="s">
        <v>22</v>
      </c>
    </row>
    <row r="979" spans="1:17" x14ac:dyDescent="0.3">
      <c r="A979" t="s">
        <v>1040</v>
      </c>
      <c r="B979" s="1">
        <v>45741</v>
      </c>
      <c r="C979" t="s">
        <v>48</v>
      </c>
      <c r="D979" t="s">
        <v>16</v>
      </c>
      <c r="E979" t="s">
        <v>99</v>
      </c>
      <c r="F979" t="s">
        <v>111</v>
      </c>
      <c r="G979">
        <v>5</v>
      </c>
      <c r="H979">
        <v>124.57</v>
      </c>
      <c r="I979">
        <v>0.13</v>
      </c>
      <c r="J979">
        <v>541.88</v>
      </c>
      <c r="K979">
        <f t="shared" si="45"/>
        <v>622.84999999999991</v>
      </c>
      <c r="L979">
        <f t="shared" si="46"/>
        <v>80.969999999999914</v>
      </c>
      <c r="M979">
        <f t="shared" si="47"/>
        <v>541.88</v>
      </c>
      <c r="N979" t="s">
        <v>33</v>
      </c>
      <c r="O979" t="s">
        <v>29</v>
      </c>
      <c r="P979" t="s">
        <v>30</v>
      </c>
      <c r="Q979" t="s">
        <v>22</v>
      </c>
    </row>
    <row r="980" spans="1:17" x14ac:dyDescent="0.3">
      <c r="A980" t="s">
        <v>1041</v>
      </c>
      <c r="B980" s="1">
        <v>45708</v>
      </c>
      <c r="C980" t="s">
        <v>36</v>
      </c>
      <c r="D980" t="s">
        <v>16</v>
      </c>
      <c r="E980" t="s">
        <v>17</v>
      </c>
      <c r="F980" t="s">
        <v>18</v>
      </c>
      <c r="G980">
        <v>2</v>
      </c>
      <c r="H980">
        <v>4347.68</v>
      </c>
      <c r="I980">
        <v>0.03</v>
      </c>
      <c r="J980">
        <v>8434.5</v>
      </c>
      <c r="K980">
        <f t="shared" si="45"/>
        <v>8695.36</v>
      </c>
      <c r="L980">
        <f t="shared" si="46"/>
        <v>260.86000000000058</v>
      </c>
      <c r="M980">
        <f t="shared" si="47"/>
        <v>8434.5</v>
      </c>
      <c r="N980" t="s">
        <v>33</v>
      </c>
      <c r="O980" t="s">
        <v>20</v>
      </c>
      <c r="P980" t="s">
        <v>54</v>
      </c>
      <c r="Q980" t="s">
        <v>22</v>
      </c>
    </row>
    <row r="981" spans="1:17" x14ac:dyDescent="0.3">
      <c r="A981" t="s">
        <v>1042</v>
      </c>
      <c r="B981" s="1">
        <v>45822</v>
      </c>
      <c r="C981" t="s">
        <v>52</v>
      </c>
      <c r="D981" t="s">
        <v>39</v>
      </c>
      <c r="E981" t="s">
        <v>61</v>
      </c>
      <c r="F981" t="s">
        <v>62</v>
      </c>
      <c r="G981">
        <v>4</v>
      </c>
      <c r="H981">
        <v>1076.26</v>
      </c>
      <c r="I981">
        <v>0.02</v>
      </c>
      <c r="J981">
        <v>4218.9399999999996</v>
      </c>
      <c r="K981">
        <f t="shared" si="45"/>
        <v>4305.04</v>
      </c>
      <c r="L981">
        <f t="shared" si="46"/>
        <v>86.100000000000364</v>
      </c>
      <c r="M981">
        <f t="shared" si="47"/>
        <v>4218.9399999999996</v>
      </c>
      <c r="N981" t="s">
        <v>46</v>
      </c>
      <c r="O981" t="s">
        <v>34</v>
      </c>
      <c r="P981" t="s">
        <v>21</v>
      </c>
      <c r="Q981" t="s">
        <v>22</v>
      </c>
    </row>
    <row r="982" spans="1:17" x14ac:dyDescent="0.3">
      <c r="A982" t="s">
        <v>1043</v>
      </c>
      <c r="B982" s="1">
        <v>45675</v>
      </c>
      <c r="C982" t="s">
        <v>36</v>
      </c>
      <c r="D982" t="s">
        <v>39</v>
      </c>
      <c r="E982" t="s">
        <v>49</v>
      </c>
      <c r="F982" t="s">
        <v>50</v>
      </c>
      <c r="G982">
        <v>3</v>
      </c>
      <c r="H982">
        <v>947.5</v>
      </c>
      <c r="I982">
        <v>0.17</v>
      </c>
      <c r="J982">
        <v>2359.2800000000002</v>
      </c>
      <c r="K982">
        <f t="shared" si="45"/>
        <v>2842.5</v>
      </c>
      <c r="L982">
        <f t="shared" si="46"/>
        <v>483.2199999999998</v>
      </c>
      <c r="M982">
        <f t="shared" si="47"/>
        <v>2359.2800000000002</v>
      </c>
      <c r="N982" t="s">
        <v>41</v>
      </c>
      <c r="O982" t="s">
        <v>20</v>
      </c>
      <c r="P982" t="s">
        <v>21</v>
      </c>
      <c r="Q982" t="s">
        <v>59</v>
      </c>
    </row>
    <row r="983" spans="1:17" x14ac:dyDescent="0.3">
      <c r="A983" t="s">
        <v>1044</v>
      </c>
      <c r="B983" s="1">
        <v>45751</v>
      </c>
      <c r="C983" t="s">
        <v>52</v>
      </c>
      <c r="D983" t="s">
        <v>39</v>
      </c>
      <c r="E983" t="s">
        <v>17</v>
      </c>
      <c r="F983" t="s">
        <v>32</v>
      </c>
      <c r="G983">
        <v>4</v>
      </c>
      <c r="H983">
        <v>2224.0100000000002</v>
      </c>
      <c r="I983">
        <v>0.11</v>
      </c>
      <c r="J983">
        <v>7917.48</v>
      </c>
      <c r="K983">
        <f t="shared" si="45"/>
        <v>8896.0400000000009</v>
      </c>
      <c r="L983">
        <f t="shared" si="46"/>
        <v>978.56000000000131</v>
      </c>
      <c r="M983">
        <f t="shared" si="47"/>
        <v>7917.48</v>
      </c>
      <c r="N983" t="s">
        <v>19</v>
      </c>
      <c r="O983" t="s">
        <v>29</v>
      </c>
      <c r="P983" t="s">
        <v>21</v>
      </c>
      <c r="Q983" t="s">
        <v>88</v>
      </c>
    </row>
    <row r="984" spans="1:17" x14ac:dyDescent="0.3">
      <c r="A984" t="s">
        <v>1045</v>
      </c>
      <c r="B984" s="1">
        <v>45663</v>
      </c>
      <c r="C984" t="s">
        <v>36</v>
      </c>
      <c r="D984" t="s">
        <v>16</v>
      </c>
      <c r="E984" t="s">
        <v>27</v>
      </c>
      <c r="F984" t="s">
        <v>79</v>
      </c>
      <c r="G984">
        <v>2</v>
      </c>
      <c r="H984">
        <v>2879</v>
      </c>
      <c r="I984">
        <v>0.09</v>
      </c>
      <c r="J984">
        <v>5239.78</v>
      </c>
      <c r="K984">
        <f t="shared" si="45"/>
        <v>5758</v>
      </c>
      <c r="L984">
        <f t="shared" si="46"/>
        <v>518.22000000000025</v>
      </c>
      <c r="M984">
        <f t="shared" si="47"/>
        <v>5239.78</v>
      </c>
      <c r="N984" t="s">
        <v>41</v>
      </c>
      <c r="O984" t="s">
        <v>34</v>
      </c>
      <c r="P984" t="s">
        <v>21</v>
      </c>
      <c r="Q984" t="s">
        <v>22</v>
      </c>
    </row>
    <row r="985" spans="1:17" x14ac:dyDescent="0.3">
      <c r="A985" t="s">
        <v>1046</v>
      </c>
      <c r="B985" s="1">
        <v>45805</v>
      </c>
      <c r="C985" t="s">
        <v>36</v>
      </c>
      <c r="D985" t="s">
        <v>39</v>
      </c>
      <c r="E985" t="s">
        <v>17</v>
      </c>
      <c r="F985" t="s">
        <v>32</v>
      </c>
      <c r="G985">
        <v>5</v>
      </c>
      <c r="H985">
        <v>4150.76</v>
      </c>
      <c r="I985">
        <v>0.16</v>
      </c>
      <c r="J985">
        <v>17433.189999999999</v>
      </c>
      <c r="K985">
        <f t="shared" si="45"/>
        <v>20753.800000000003</v>
      </c>
      <c r="L985">
        <f t="shared" si="46"/>
        <v>3320.6100000000042</v>
      </c>
      <c r="M985">
        <f t="shared" si="47"/>
        <v>17433.189999999999</v>
      </c>
      <c r="N985" t="s">
        <v>41</v>
      </c>
      <c r="O985" t="s">
        <v>34</v>
      </c>
      <c r="P985" t="s">
        <v>21</v>
      </c>
      <c r="Q985" t="s">
        <v>22</v>
      </c>
    </row>
    <row r="986" spans="1:17" x14ac:dyDescent="0.3">
      <c r="A986" t="s">
        <v>1047</v>
      </c>
      <c r="B986" s="1">
        <v>45764</v>
      </c>
      <c r="C986" t="s">
        <v>15</v>
      </c>
      <c r="D986" t="s">
        <v>39</v>
      </c>
      <c r="E986" t="s">
        <v>17</v>
      </c>
      <c r="F986" t="s">
        <v>44</v>
      </c>
      <c r="G986">
        <v>3</v>
      </c>
      <c r="H986">
        <v>1302.06</v>
      </c>
      <c r="I986">
        <v>0.05</v>
      </c>
      <c r="J986">
        <v>3710.87</v>
      </c>
      <c r="K986">
        <f t="shared" si="45"/>
        <v>3906.18</v>
      </c>
      <c r="L986">
        <f t="shared" si="46"/>
        <v>195.30999999999995</v>
      </c>
      <c r="M986">
        <f t="shared" si="47"/>
        <v>3710.87</v>
      </c>
      <c r="N986" t="s">
        <v>41</v>
      </c>
      <c r="O986" t="s">
        <v>20</v>
      </c>
      <c r="P986" t="s">
        <v>30</v>
      </c>
      <c r="Q986" t="s">
        <v>22</v>
      </c>
    </row>
    <row r="987" spans="1:17" x14ac:dyDescent="0.3">
      <c r="A987" t="s">
        <v>1048</v>
      </c>
      <c r="B987" s="1">
        <v>45670</v>
      </c>
      <c r="C987" t="s">
        <v>24</v>
      </c>
      <c r="D987" t="s">
        <v>39</v>
      </c>
      <c r="E987" t="s">
        <v>99</v>
      </c>
      <c r="F987" t="s">
        <v>120</v>
      </c>
      <c r="G987">
        <v>1</v>
      </c>
      <c r="H987">
        <v>3612.33</v>
      </c>
      <c r="I987">
        <v>0.05</v>
      </c>
      <c r="J987">
        <v>3431.71</v>
      </c>
      <c r="K987">
        <f t="shared" si="45"/>
        <v>3612.33</v>
      </c>
      <c r="L987">
        <f t="shared" si="46"/>
        <v>180.61999999999989</v>
      </c>
      <c r="M987">
        <f t="shared" si="47"/>
        <v>3431.71</v>
      </c>
      <c r="N987" t="s">
        <v>46</v>
      </c>
      <c r="O987" t="s">
        <v>29</v>
      </c>
      <c r="P987" t="s">
        <v>21</v>
      </c>
      <c r="Q987" t="s">
        <v>37</v>
      </c>
    </row>
    <row r="988" spans="1:17" x14ac:dyDescent="0.3">
      <c r="A988" t="s">
        <v>1049</v>
      </c>
      <c r="B988" s="1">
        <v>45727</v>
      </c>
      <c r="C988" t="s">
        <v>48</v>
      </c>
      <c r="D988" t="s">
        <v>16</v>
      </c>
      <c r="E988" t="s">
        <v>27</v>
      </c>
      <c r="F988" t="s">
        <v>79</v>
      </c>
      <c r="G988">
        <v>2</v>
      </c>
      <c r="H988">
        <v>2683.59</v>
      </c>
      <c r="I988">
        <v>0.03</v>
      </c>
      <c r="J988">
        <v>5206.16</v>
      </c>
      <c r="K988">
        <f t="shared" si="45"/>
        <v>5367.18</v>
      </c>
      <c r="L988">
        <f t="shared" si="46"/>
        <v>161.02000000000044</v>
      </c>
      <c r="M988">
        <f t="shared" si="47"/>
        <v>5206.16</v>
      </c>
      <c r="N988" t="s">
        <v>46</v>
      </c>
      <c r="O988" t="s">
        <v>29</v>
      </c>
      <c r="P988" t="s">
        <v>30</v>
      </c>
      <c r="Q988" t="s">
        <v>22</v>
      </c>
    </row>
    <row r="989" spans="1:17" x14ac:dyDescent="0.3">
      <c r="A989" t="s">
        <v>1050</v>
      </c>
      <c r="B989" s="1">
        <v>45703</v>
      </c>
      <c r="C989" t="s">
        <v>15</v>
      </c>
      <c r="D989" t="s">
        <v>39</v>
      </c>
      <c r="E989" t="s">
        <v>49</v>
      </c>
      <c r="F989" t="s">
        <v>50</v>
      </c>
      <c r="G989">
        <v>2</v>
      </c>
      <c r="H989">
        <v>343.33</v>
      </c>
      <c r="I989">
        <v>0.12</v>
      </c>
      <c r="J989">
        <v>604.26</v>
      </c>
      <c r="K989">
        <f t="shared" si="45"/>
        <v>686.66</v>
      </c>
      <c r="L989">
        <f t="shared" si="46"/>
        <v>82.399999999999977</v>
      </c>
      <c r="M989">
        <f t="shared" si="47"/>
        <v>604.26</v>
      </c>
      <c r="N989" t="s">
        <v>46</v>
      </c>
      <c r="O989" t="s">
        <v>20</v>
      </c>
      <c r="P989" t="s">
        <v>54</v>
      </c>
      <c r="Q989" t="s">
        <v>22</v>
      </c>
    </row>
    <row r="990" spans="1:17" x14ac:dyDescent="0.3">
      <c r="A990" t="s">
        <v>1051</v>
      </c>
      <c r="B990" s="1">
        <v>45786</v>
      </c>
      <c r="C990" t="s">
        <v>52</v>
      </c>
      <c r="D990" t="s">
        <v>16</v>
      </c>
      <c r="E990" t="s">
        <v>17</v>
      </c>
      <c r="F990" t="s">
        <v>40</v>
      </c>
      <c r="G990">
        <v>5</v>
      </c>
      <c r="H990">
        <v>1976</v>
      </c>
      <c r="I990">
        <v>0.14000000000000001</v>
      </c>
      <c r="J990">
        <v>8496.7999999999993</v>
      </c>
      <c r="K990">
        <f t="shared" si="45"/>
        <v>9880</v>
      </c>
      <c r="L990">
        <f t="shared" si="46"/>
        <v>1383.2000000000007</v>
      </c>
      <c r="M990">
        <f t="shared" si="47"/>
        <v>8496.7999999999993</v>
      </c>
      <c r="N990" t="s">
        <v>33</v>
      </c>
      <c r="O990" t="s">
        <v>34</v>
      </c>
      <c r="P990" t="s">
        <v>30</v>
      </c>
      <c r="Q990" t="s">
        <v>22</v>
      </c>
    </row>
    <row r="991" spans="1:17" x14ac:dyDescent="0.3">
      <c r="A991" t="s">
        <v>1052</v>
      </c>
      <c r="B991" s="1">
        <v>45673</v>
      </c>
      <c r="C991" t="s">
        <v>48</v>
      </c>
      <c r="D991" t="s">
        <v>16</v>
      </c>
      <c r="E991" t="s">
        <v>27</v>
      </c>
      <c r="F991" t="s">
        <v>79</v>
      </c>
      <c r="G991">
        <v>4</v>
      </c>
      <c r="H991">
        <v>281.33999999999997</v>
      </c>
      <c r="I991">
        <v>0.13</v>
      </c>
      <c r="J991">
        <v>979.06</v>
      </c>
      <c r="K991">
        <f t="shared" si="45"/>
        <v>1125.3599999999999</v>
      </c>
      <c r="L991">
        <f t="shared" si="46"/>
        <v>146.29999999999995</v>
      </c>
      <c r="M991">
        <f t="shared" si="47"/>
        <v>979.06</v>
      </c>
      <c r="N991" t="s">
        <v>46</v>
      </c>
      <c r="O991" t="s">
        <v>20</v>
      </c>
      <c r="P991" t="s">
        <v>21</v>
      </c>
      <c r="Q991" t="s">
        <v>22</v>
      </c>
    </row>
    <row r="992" spans="1:17" x14ac:dyDescent="0.3">
      <c r="A992" t="s">
        <v>1053</v>
      </c>
      <c r="B992" s="1">
        <v>45811</v>
      </c>
      <c r="C992" t="s">
        <v>48</v>
      </c>
      <c r="D992" t="s">
        <v>16</v>
      </c>
      <c r="E992" t="s">
        <v>17</v>
      </c>
      <c r="F992" t="s">
        <v>18</v>
      </c>
      <c r="G992">
        <v>3</v>
      </c>
      <c r="H992">
        <v>1445.9</v>
      </c>
      <c r="I992">
        <v>0.19</v>
      </c>
      <c r="J992">
        <v>3513.54</v>
      </c>
      <c r="K992">
        <f t="shared" si="45"/>
        <v>4337.7000000000007</v>
      </c>
      <c r="L992">
        <f t="shared" si="46"/>
        <v>824.16000000000076</v>
      </c>
      <c r="M992">
        <f t="shared" si="47"/>
        <v>3513.54</v>
      </c>
      <c r="N992" t="s">
        <v>58</v>
      </c>
      <c r="O992" t="s">
        <v>34</v>
      </c>
      <c r="P992" t="s">
        <v>30</v>
      </c>
      <c r="Q992" t="s">
        <v>22</v>
      </c>
    </row>
    <row r="993" spans="1:17" x14ac:dyDescent="0.3">
      <c r="A993" t="s">
        <v>1054</v>
      </c>
      <c r="B993" s="1">
        <v>45786</v>
      </c>
      <c r="C993" t="s">
        <v>36</v>
      </c>
      <c r="D993" t="s">
        <v>16</v>
      </c>
      <c r="E993" t="s">
        <v>99</v>
      </c>
      <c r="F993" t="s">
        <v>115</v>
      </c>
      <c r="G993">
        <v>3</v>
      </c>
      <c r="H993">
        <v>3512.64</v>
      </c>
      <c r="I993">
        <v>0.11</v>
      </c>
      <c r="J993">
        <v>9378.75</v>
      </c>
      <c r="K993">
        <f t="shared" si="45"/>
        <v>10537.92</v>
      </c>
      <c r="L993">
        <f t="shared" si="46"/>
        <v>1159.17</v>
      </c>
      <c r="M993">
        <f t="shared" si="47"/>
        <v>9378.75</v>
      </c>
      <c r="N993" t="s">
        <v>58</v>
      </c>
      <c r="O993" t="s">
        <v>34</v>
      </c>
      <c r="P993" t="s">
        <v>21</v>
      </c>
      <c r="Q993" t="s">
        <v>88</v>
      </c>
    </row>
    <row r="994" spans="1:17" x14ac:dyDescent="0.3">
      <c r="A994" t="s">
        <v>1055</v>
      </c>
      <c r="B994" s="1">
        <v>45667</v>
      </c>
      <c r="C994" t="s">
        <v>24</v>
      </c>
      <c r="D994" t="s">
        <v>25</v>
      </c>
      <c r="E994" t="s">
        <v>27</v>
      </c>
      <c r="F994" t="s">
        <v>79</v>
      </c>
      <c r="G994">
        <v>1</v>
      </c>
      <c r="H994">
        <v>779.8</v>
      </c>
      <c r="I994">
        <v>0.25</v>
      </c>
      <c r="J994">
        <v>584.85</v>
      </c>
      <c r="K994">
        <f t="shared" si="45"/>
        <v>779.8</v>
      </c>
      <c r="L994">
        <f t="shared" si="46"/>
        <v>194.94999999999993</v>
      </c>
      <c r="M994">
        <f t="shared" si="47"/>
        <v>584.85</v>
      </c>
      <c r="N994" t="s">
        <v>19</v>
      </c>
      <c r="O994" t="s">
        <v>20</v>
      </c>
      <c r="P994" t="s">
        <v>21</v>
      </c>
      <c r="Q994" t="s">
        <v>22</v>
      </c>
    </row>
    <row r="995" spans="1:17" x14ac:dyDescent="0.3">
      <c r="A995" t="s">
        <v>1056</v>
      </c>
      <c r="B995" s="1">
        <v>45806</v>
      </c>
      <c r="C995" t="s">
        <v>15</v>
      </c>
      <c r="D995" t="s">
        <v>16</v>
      </c>
      <c r="E995" t="s">
        <v>17</v>
      </c>
      <c r="F995" t="s">
        <v>44</v>
      </c>
      <c r="G995">
        <v>1</v>
      </c>
      <c r="H995">
        <v>1372.47</v>
      </c>
      <c r="I995">
        <v>0.2</v>
      </c>
      <c r="J995">
        <v>1097.98</v>
      </c>
      <c r="K995">
        <f t="shared" si="45"/>
        <v>1372.47</v>
      </c>
      <c r="L995">
        <f t="shared" si="46"/>
        <v>274.49</v>
      </c>
      <c r="M995">
        <f t="shared" si="47"/>
        <v>1097.98</v>
      </c>
      <c r="N995" t="s">
        <v>33</v>
      </c>
      <c r="O995" t="s">
        <v>20</v>
      </c>
      <c r="P995" t="s">
        <v>54</v>
      </c>
      <c r="Q995" t="s">
        <v>37</v>
      </c>
    </row>
    <row r="996" spans="1:17" x14ac:dyDescent="0.3">
      <c r="A996" t="s">
        <v>1057</v>
      </c>
      <c r="B996" s="1">
        <v>45666</v>
      </c>
      <c r="C996" t="s">
        <v>15</v>
      </c>
      <c r="D996" t="s">
        <v>25</v>
      </c>
      <c r="E996" t="s">
        <v>17</v>
      </c>
      <c r="F996" t="s">
        <v>32</v>
      </c>
      <c r="G996">
        <v>3</v>
      </c>
      <c r="H996">
        <v>3523.46</v>
      </c>
      <c r="I996">
        <v>0.23</v>
      </c>
      <c r="J996">
        <v>8139.19</v>
      </c>
      <c r="K996">
        <f t="shared" si="45"/>
        <v>10570.380000000001</v>
      </c>
      <c r="L996">
        <f t="shared" si="46"/>
        <v>2431.1900000000014</v>
      </c>
      <c r="M996">
        <f t="shared" si="47"/>
        <v>8139.19</v>
      </c>
      <c r="N996" t="s">
        <v>33</v>
      </c>
      <c r="O996" t="s">
        <v>34</v>
      </c>
      <c r="P996" t="s">
        <v>21</v>
      </c>
      <c r="Q996" t="s">
        <v>22</v>
      </c>
    </row>
    <row r="997" spans="1:17" x14ac:dyDescent="0.3">
      <c r="A997" t="s">
        <v>1058</v>
      </c>
      <c r="B997" s="1">
        <v>45708</v>
      </c>
      <c r="C997" t="s">
        <v>36</v>
      </c>
      <c r="D997" t="s">
        <v>25</v>
      </c>
      <c r="E997" t="s">
        <v>99</v>
      </c>
      <c r="F997" t="s">
        <v>100</v>
      </c>
      <c r="G997">
        <v>4</v>
      </c>
      <c r="H997">
        <v>3374.35</v>
      </c>
      <c r="I997">
        <v>0.13</v>
      </c>
      <c r="J997">
        <v>11742.74</v>
      </c>
      <c r="K997">
        <f t="shared" si="45"/>
        <v>13497.4</v>
      </c>
      <c r="L997">
        <f t="shared" si="46"/>
        <v>1754.6599999999999</v>
      </c>
      <c r="M997">
        <f t="shared" si="47"/>
        <v>11742.74</v>
      </c>
      <c r="N997" t="s">
        <v>41</v>
      </c>
      <c r="O997" t="s">
        <v>29</v>
      </c>
      <c r="P997" t="s">
        <v>54</v>
      </c>
      <c r="Q997" t="s">
        <v>22</v>
      </c>
    </row>
    <row r="998" spans="1:17" x14ac:dyDescent="0.3">
      <c r="A998" t="s">
        <v>1059</v>
      </c>
      <c r="B998" s="1">
        <v>45698</v>
      </c>
      <c r="C998" t="s">
        <v>48</v>
      </c>
      <c r="D998" t="s">
        <v>43</v>
      </c>
      <c r="E998" t="s">
        <v>99</v>
      </c>
      <c r="F998" t="s">
        <v>111</v>
      </c>
      <c r="G998">
        <v>3</v>
      </c>
      <c r="H998">
        <v>3854.39</v>
      </c>
      <c r="I998">
        <v>0.18</v>
      </c>
      <c r="J998">
        <v>9481.7999999999993</v>
      </c>
      <c r="K998">
        <f t="shared" si="45"/>
        <v>11563.17</v>
      </c>
      <c r="L998">
        <f t="shared" si="46"/>
        <v>2081.3700000000008</v>
      </c>
      <c r="M998">
        <f t="shared" si="47"/>
        <v>9481.7999999999993</v>
      </c>
      <c r="N998" t="s">
        <v>19</v>
      </c>
      <c r="O998" t="s">
        <v>20</v>
      </c>
      <c r="P998" t="s">
        <v>30</v>
      </c>
      <c r="Q998" t="s">
        <v>22</v>
      </c>
    </row>
    <row r="999" spans="1:17" x14ac:dyDescent="0.3">
      <c r="A999" t="s">
        <v>1060</v>
      </c>
      <c r="B999" s="1">
        <v>45822</v>
      </c>
      <c r="C999" t="s">
        <v>24</v>
      </c>
      <c r="D999" t="s">
        <v>43</v>
      </c>
      <c r="E999" t="s">
        <v>61</v>
      </c>
      <c r="F999" t="s">
        <v>62</v>
      </c>
      <c r="G999">
        <v>2</v>
      </c>
      <c r="H999">
        <v>164.33</v>
      </c>
      <c r="I999">
        <v>0.05</v>
      </c>
      <c r="J999">
        <v>312.23</v>
      </c>
      <c r="K999">
        <f t="shared" si="45"/>
        <v>328.66</v>
      </c>
      <c r="L999">
        <f t="shared" si="46"/>
        <v>16.430000000000007</v>
      </c>
      <c r="M999">
        <f t="shared" si="47"/>
        <v>312.23</v>
      </c>
      <c r="N999" t="s">
        <v>41</v>
      </c>
      <c r="O999" t="s">
        <v>20</v>
      </c>
      <c r="P999" t="s">
        <v>30</v>
      </c>
      <c r="Q999" t="s">
        <v>22</v>
      </c>
    </row>
    <row r="1000" spans="1:17" x14ac:dyDescent="0.3">
      <c r="A1000" t="s">
        <v>1061</v>
      </c>
      <c r="B1000" s="1">
        <v>45663</v>
      </c>
      <c r="C1000" t="s">
        <v>36</v>
      </c>
      <c r="D1000" t="s">
        <v>43</v>
      </c>
      <c r="E1000" t="s">
        <v>99</v>
      </c>
      <c r="F1000" t="s">
        <v>100</v>
      </c>
      <c r="G1000">
        <v>3</v>
      </c>
      <c r="H1000">
        <v>3826.39</v>
      </c>
      <c r="I1000">
        <v>0.08</v>
      </c>
      <c r="J1000">
        <v>10560.84</v>
      </c>
      <c r="K1000">
        <f t="shared" si="45"/>
        <v>11479.17</v>
      </c>
      <c r="L1000">
        <f t="shared" si="46"/>
        <v>918.32999999999993</v>
      </c>
      <c r="M1000">
        <f t="shared" si="47"/>
        <v>10560.84</v>
      </c>
      <c r="N1000" t="s">
        <v>33</v>
      </c>
      <c r="O1000" t="s">
        <v>29</v>
      </c>
      <c r="P1000" t="s">
        <v>30</v>
      </c>
      <c r="Q1000" t="s">
        <v>88</v>
      </c>
    </row>
    <row r="1001" spans="1:17" x14ac:dyDescent="0.3">
      <c r="A1001" t="s">
        <v>1062</v>
      </c>
      <c r="B1001" s="1">
        <v>45780</v>
      </c>
      <c r="C1001" t="s">
        <v>52</v>
      </c>
      <c r="D1001" t="s">
        <v>43</v>
      </c>
      <c r="E1001" t="s">
        <v>17</v>
      </c>
      <c r="F1001" t="s">
        <v>44</v>
      </c>
      <c r="G1001">
        <v>4</v>
      </c>
      <c r="H1001">
        <v>4352.51</v>
      </c>
      <c r="I1001">
        <v>0.13</v>
      </c>
      <c r="J1001">
        <v>15146.73</v>
      </c>
      <c r="K1001">
        <f t="shared" si="45"/>
        <v>17410.04</v>
      </c>
      <c r="L1001">
        <f t="shared" si="46"/>
        <v>2263.3100000000013</v>
      </c>
      <c r="M1001">
        <f t="shared" si="47"/>
        <v>15146.73</v>
      </c>
      <c r="N1001" t="s">
        <v>46</v>
      </c>
      <c r="O1001" t="s">
        <v>34</v>
      </c>
      <c r="P1001" t="s">
        <v>30</v>
      </c>
      <c r="Q1001" t="s">
        <v>22</v>
      </c>
    </row>
    <row r="1002" spans="1:17" x14ac:dyDescent="0.3">
      <c r="A1002" t="s">
        <v>1063</v>
      </c>
      <c r="B1002" s="1">
        <v>45689</v>
      </c>
      <c r="C1002" t="s">
        <v>15</v>
      </c>
      <c r="D1002" t="s">
        <v>16</v>
      </c>
      <c r="E1002" t="s">
        <v>49</v>
      </c>
      <c r="F1002" t="s">
        <v>73</v>
      </c>
      <c r="G1002">
        <v>1</v>
      </c>
      <c r="H1002">
        <v>821.72</v>
      </c>
      <c r="I1002">
        <v>0.22</v>
      </c>
      <c r="J1002">
        <v>640.94000000000005</v>
      </c>
      <c r="K1002">
        <f t="shared" si="45"/>
        <v>821.72</v>
      </c>
      <c r="L1002">
        <f t="shared" si="46"/>
        <v>180.77999999999997</v>
      </c>
      <c r="M1002">
        <f t="shared" si="47"/>
        <v>640.94000000000005</v>
      </c>
      <c r="N1002" t="s">
        <v>33</v>
      </c>
      <c r="O1002" t="s">
        <v>29</v>
      </c>
      <c r="P1002" t="s">
        <v>21</v>
      </c>
      <c r="Q1002" t="s">
        <v>22</v>
      </c>
    </row>
    <row r="1003" spans="1:17" x14ac:dyDescent="0.3">
      <c r="A1003" t="s">
        <v>1064</v>
      </c>
      <c r="B1003" s="1">
        <v>45706</v>
      </c>
      <c r="C1003" t="s">
        <v>15</v>
      </c>
      <c r="D1003" t="s">
        <v>16</v>
      </c>
      <c r="E1003" t="s">
        <v>49</v>
      </c>
      <c r="F1003" t="s">
        <v>73</v>
      </c>
      <c r="G1003">
        <v>5</v>
      </c>
      <c r="H1003">
        <v>2317.94</v>
      </c>
      <c r="I1003">
        <v>7.0000000000000007E-2</v>
      </c>
      <c r="J1003">
        <v>10778.42</v>
      </c>
      <c r="K1003">
        <f t="shared" si="45"/>
        <v>11589.7</v>
      </c>
      <c r="L1003">
        <f t="shared" si="46"/>
        <v>811.28000000000065</v>
      </c>
      <c r="M1003">
        <f t="shared" si="47"/>
        <v>10778.42</v>
      </c>
      <c r="N1003" t="s">
        <v>58</v>
      </c>
      <c r="O1003" t="s">
        <v>34</v>
      </c>
      <c r="P1003" t="s">
        <v>21</v>
      </c>
      <c r="Q1003" t="s">
        <v>22</v>
      </c>
    </row>
    <row r="1004" spans="1:17" x14ac:dyDescent="0.3">
      <c r="A1004" t="s">
        <v>1065</v>
      </c>
      <c r="B1004" s="1">
        <v>45684</v>
      </c>
      <c r="C1004" t="s">
        <v>48</v>
      </c>
      <c r="D1004" t="s">
        <v>16</v>
      </c>
      <c r="E1004" t="s">
        <v>61</v>
      </c>
      <c r="F1004" t="s">
        <v>75</v>
      </c>
      <c r="G1004">
        <v>5</v>
      </c>
      <c r="H1004">
        <v>1735.32</v>
      </c>
      <c r="I1004">
        <v>0.11</v>
      </c>
      <c r="J1004">
        <v>7722.17</v>
      </c>
      <c r="K1004">
        <f t="shared" si="45"/>
        <v>8676.6</v>
      </c>
      <c r="L1004">
        <f t="shared" si="46"/>
        <v>954.43000000000029</v>
      </c>
      <c r="M1004">
        <f t="shared" si="47"/>
        <v>7722.17</v>
      </c>
      <c r="N1004" t="s">
        <v>33</v>
      </c>
      <c r="O1004" t="s">
        <v>34</v>
      </c>
      <c r="P1004" t="s">
        <v>30</v>
      </c>
      <c r="Q1004" t="s">
        <v>22</v>
      </c>
    </row>
    <row r="1005" spans="1:17" x14ac:dyDescent="0.3">
      <c r="A1005" t="s">
        <v>1066</v>
      </c>
      <c r="B1005" s="1">
        <v>45751</v>
      </c>
      <c r="C1005" t="s">
        <v>52</v>
      </c>
      <c r="D1005" t="s">
        <v>25</v>
      </c>
      <c r="E1005" t="s">
        <v>49</v>
      </c>
      <c r="F1005" t="s">
        <v>50</v>
      </c>
      <c r="G1005">
        <v>4</v>
      </c>
      <c r="H1005">
        <v>965.56</v>
      </c>
      <c r="I1005">
        <v>7.0000000000000007E-2</v>
      </c>
      <c r="J1005">
        <v>3591.88</v>
      </c>
      <c r="K1005">
        <f t="shared" si="45"/>
        <v>3862.24</v>
      </c>
      <c r="L1005">
        <f t="shared" si="46"/>
        <v>270.35999999999967</v>
      </c>
      <c r="M1005">
        <f t="shared" si="47"/>
        <v>3591.88</v>
      </c>
      <c r="N1005" t="s">
        <v>46</v>
      </c>
      <c r="O1005" t="s">
        <v>20</v>
      </c>
      <c r="P1005" t="s">
        <v>21</v>
      </c>
      <c r="Q1005" t="s">
        <v>22</v>
      </c>
    </row>
    <row r="1006" spans="1:17" x14ac:dyDescent="0.3">
      <c r="A1006" t="s">
        <v>1067</v>
      </c>
      <c r="B1006" s="1">
        <v>45789</v>
      </c>
      <c r="C1006" t="s">
        <v>52</v>
      </c>
      <c r="D1006" t="s">
        <v>43</v>
      </c>
      <c r="E1006" t="s">
        <v>17</v>
      </c>
      <c r="F1006" t="s">
        <v>18</v>
      </c>
      <c r="G1006">
        <v>1</v>
      </c>
      <c r="H1006">
        <v>360.38</v>
      </c>
      <c r="I1006">
        <v>0.01</v>
      </c>
      <c r="J1006">
        <v>356.78</v>
      </c>
      <c r="K1006">
        <f t="shared" si="45"/>
        <v>360.38</v>
      </c>
      <c r="L1006">
        <f t="shared" si="46"/>
        <v>3.6000000000000227</v>
      </c>
      <c r="M1006">
        <f t="shared" si="47"/>
        <v>356.78</v>
      </c>
      <c r="N1006" t="s">
        <v>58</v>
      </c>
      <c r="O1006" t="s">
        <v>20</v>
      </c>
      <c r="P1006" t="s">
        <v>30</v>
      </c>
      <c r="Q1006" t="s">
        <v>22</v>
      </c>
    </row>
    <row r="1007" spans="1:17" x14ac:dyDescent="0.3">
      <c r="A1007" t="s">
        <v>1068</v>
      </c>
      <c r="B1007" s="1">
        <v>45682</v>
      </c>
      <c r="C1007" t="s">
        <v>52</v>
      </c>
      <c r="D1007" t="s">
        <v>39</v>
      </c>
      <c r="E1007" t="s">
        <v>17</v>
      </c>
      <c r="F1007" t="s">
        <v>32</v>
      </c>
      <c r="G1007">
        <v>4</v>
      </c>
      <c r="H1007">
        <v>2020.35</v>
      </c>
      <c r="I1007">
        <v>0.03</v>
      </c>
      <c r="J1007">
        <v>7838.96</v>
      </c>
      <c r="K1007">
        <f t="shared" si="45"/>
        <v>8081.4</v>
      </c>
      <c r="L1007">
        <f t="shared" si="46"/>
        <v>242.4399999999996</v>
      </c>
      <c r="M1007">
        <f t="shared" si="47"/>
        <v>7838.96</v>
      </c>
      <c r="N1007" t="s">
        <v>33</v>
      </c>
      <c r="O1007" t="s">
        <v>29</v>
      </c>
      <c r="P1007" t="s">
        <v>21</v>
      </c>
      <c r="Q1007" t="s">
        <v>22</v>
      </c>
    </row>
    <row r="1008" spans="1:17" x14ac:dyDescent="0.3">
      <c r="A1008" t="s">
        <v>1069</v>
      </c>
      <c r="B1008" s="1">
        <v>45769</v>
      </c>
      <c r="C1008" t="s">
        <v>15</v>
      </c>
      <c r="D1008" t="s">
        <v>25</v>
      </c>
      <c r="E1008" t="s">
        <v>61</v>
      </c>
      <c r="F1008" t="s">
        <v>75</v>
      </c>
      <c r="G1008">
        <v>5</v>
      </c>
      <c r="H1008">
        <v>1511.1</v>
      </c>
      <c r="I1008">
        <v>0</v>
      </c>
      <c r="J1008">
        <v>7555.5</v>
      </c>
      <c r="K1008">
        <f t="shared" si="45"/>
        <v>7555.5</v>
      </c>
      <c r="L1008">
        <f t="shared" si="46"/>
        <v>0</v>
      </c>
      <c r="M1008">
        <f t="shared" si="47"/>
        <v>7555.5</v>
      </c>
      <c r="N1008" t="s">
        <v>46</v>
      </c>
      <c r="O1008" t="s">
        <v>29</v>
      </c>
      <c r="P1008" t="s">
        <v>54</v>
      </c>
      <c r="Q1008" t="s">
        <v>22</v>
      </c>
    </row>
    <row r="1009" spans="1:17" x14ac:dyDescent="0.3">
      <c r="A1009" t="s">
        <v>1070</v>
      </c>
      <c r="B1009" s="1">
        <v>45702</v>
      </c>
      <c r="C1009" t="s">
        <v>15</v>
      </c>
      <c r="D1009" t="s">
        <v>25</v>
      </c>
      <c r="E1009" t="s">
        <v>61</v>
      </c>
      <c r="F1009" t="s">
        <v>75</v>
      </c>
      <c r="G1009">
        <v>2</v>
      </c>
      <c r="H1009">
        <v>1727.56</v>
      </c>
      <c r="I1009">
        <v>0.11</v>
      </c>
      <c r="J1009">
        <v>3075.06</v>
      </c>
      <c r="K1009">
        <f t="shared" si="45"/>
        <v>3455.12</v>
      </c>
      <c r="L1009">
        <f t="shared" si="46"/>
        <v>380.05999999999995</v>
      </c>
      <c r="M1009">
        <f t="shared" si="47"/>
        <v>3075.06</v>
      </c>
      <c r="N1009" t="s">
        <v>58</v>
      </c>
      <c r="O1009" t="s">
        <v>20</v>
      </c>
      <c r="P1009" t="s">
        <v>54</v>
      </c>
      <c r="Q1009" t="s">
        <v>22</v>
      </c>
    </row>
    <row r="1010" spans="1:17" x14ac:dyDescent="0.3">
      <c r="A1010" t="s">
        <v>1071</v>
      </c>
      <c r="B1010" s="1">
        <v>45750</v>
      </c>
      <c r="C1010" t="s">
        <v>15</v>
      </c>
      <c r="D1010" t="s">
        <v>16</v>
      </c>
      <c r="E1010" t="s">
        <v>17</v>
      </c>
      <c r="F1010" t="s">
        <v>44</v>
      </c>
      <c r="G1010">
        <v>1</v>
      </c>
      <c r="H1010">
        <v>3010.63</v>
      </c>
      <c r="I1010">
        <v>0.24</v>
      </c>
      <c r="J1010">
        <v>2288.08</v>
      </c>
      <c r="K1010">
        <f t="shared" si="45"/>
        <v>3010.63</v>
      </c>
      <c r="L1010">
        <f t="shared" si="46"/>
        <v>722.55000000000018</v>
      </c>
      <c r="M1010">
        <f t="shared" si="47"/>
        <v>2288.08</v>
      </c>
      <c r="N1010" t="s">
        <v>58</v>
      </c>
      <c r="O1010" t="s">
        <v>20</v>
      </c>
      <c r="P1010" t="s">
        <v>21</v>
      </c>
      <c r="Q1010" t="s">
        <v>22</v>
      </c>
    </row>
    <row r="1011" spans="1:17" x14ac:dyDescent="0.3">
      <c r="A1011" t="s">
        <v>1072</v>
      </c>
      <c r="B1011" s="1">
        <v>45795</v>
      </c>
      <c r="C1011" t="s">
        <v>24</v>
      </c>
      <c r="D1011" t="s">
        <v>43</v>
      </c>
      <c r="E1011" t="s">
        <v>61</v>
      </c>
      <c r="F1011" t="s">
        <v>92</v>
      </c>
      <c r="G1011">
        <v>5</v>
      </c>
      <c r="H1011">
        <v>3432.23</v>
      </c>
      <c r="I1011">
        <v>7.0000000000000007E-2</v>
      </c>
      <c r="J1011">
        <v>15959.87</v>
      </c>
      <c r="K1011">
        <f t="shared" si="45"/>
        <v>17161.150000000001</v>
      </c>
      <c r="L1011">
        <f t="shared" si="46"/>
        <v>1201.2800000000007</v>
      </c>
      <c r="M1011">
        <f t="shared" si="47"/>
        <v>15959.87</v>
      </c>
      <c r="N1011" t="s">
        <v>58</v>
      </c>
      <c r="O1011" t="s">
        <v>20</v>
      </c>
      <c r="P1011" t="s">
        <v>54</v>
      </c>
      <c r="Q1011" t="s">
        <v>88</v>
      </c>
    </row>
    <row r="1012" spans="1:17" x14ac:dyDescent="0.3">
      <c r="A1012" t="s">
        <v>1073</v>
      </c>
      <c r="B1012" s="1">
        <v>45709</v>
      </c>
      <c r="C1012" t="s">
        <v>15</v>
      </c>
      <c r="D1012" t="s">
        <v>25</v>
      </c>
      <c r="E1012" t="s">
        <v>17</v>
      </c>
      <c r="F1012" t="s">
        <v>18</v>
      </c>
      <c r="G1012">
        <v>4</v>
      </c>
      <c r="H1012">
        <v>3700.59</v>
      </c>
      <c r="I1012">
        <v>0.25</v>
      </c>
      <c r="J1012">
        <v>11101.77</v>
      </c>
      <c r="K1012">
        <f t="shared" si="45"/>
        <v>14802.36</v>
      </c>
      <c r="L1012">
        <f t="shared" si="46"/>
        <v>3700.59</v>
      </c>
      <c r="M1012">
        <f t="shared" si="47"/>
        <v>11101.77</v>
      </c>
      <c r="N1012" t="s">
        <v>46</v>
      </c>
      <c r="O1012" t="s">
        <v>34</v>
      </c>
      <c r="P1012" t="s">
        <v>30</v>
      </c>
      <c r="Q1012" t="s">
        <v>22</v>
      </c>
    </row>
    <row r="1013" spans="1:17" x14ac:dyDescent="0.3">
      <c r="A1013" t="s">
        <v>1074</v>
      </c>
      <c r="B1013" s="1">
        <v>45808</v>
      </c>
      <c r="C1013" t="s">
        <v>15</v>
      </c>
      <c r="D1013" t="s">
        <v>25</v>
      </c>
      <c r="E1013" t="s">
        <v>49</v>
      </c>
      <c r="F1013" t="s">
        <v>56</v>
      </c>
      <c r="G1013">
        <v>3</v>
      </c>
      <c r="H1013">
        <v>4467.72</v>
      </c>
      <c r="I1013">
        <v>0.19</v>
      </c>
      <c r="J1013">
        <v>10856.56</v>
      </c>
      <c r="K1013">
        <f t="shared" si="45"/>
        <v>13403.16</v>
      </c>
      <c r="L1013">
        <f t="shared" si="46"/>
        <v>2546.6000000000004</v>
      </c>
      <c r="M1013">
        <f t="shared" si="47"/>
        <v>10856.56</v>
      </c>
      <c r="N1013" t="s">
        <v>46</v>
      </c>
      <c r="O1013" t="s">
        <v>29</v>
      </c>
      <c r="P1013" t="s">
        <v>21</v>
      </c>
      <c r="Q1013" t="s">
        <v>22</v>
      </c>
    </row>
    <row r="1014" spans="1:17" x14ac:dyDescent="0.3">
      <c r="A1014" t="s">
        <v>1075</v>
      </c>
      <c r="B1014" s="1">
        <v>45731</v>
      </c>
      <c r="C1014" t="s">
        <v>52</v>
      </c>
      <c r="D1014" t="s">
        <v>25</v>
      </c>
      <c r="E1014" t="s">
        <v>27</v>
      </c>
      <c r="F1014" t="s">
        <v>79</v>
      </c>
      <c r="G1014">
        <v>2</v>
      </c>
      <c r="H1014">
        <v>1850.25</v>
      </c>
      <c r="I1014">
        <v>0.01</v>
      </c>
      <c r="J1014">
        <v>3663.49</v>
      </c>
      <c r="K1014">
        <f t="shared" si="45"/>
        <v>3700.5</v>
      </c>
      <c r="L1014">
        <f t="shared" si="46"/>
        <v>37.010000000000218</v>
      </c>
      <c r="M1014">
        <f t="shared" si="47"/>
        <v>3663.49</v>
      </c>
      <c r="N1014" t="s">
        <v>41</v>
      </c>
      <c r="O1014" t="s">
        <v>20</v>
      </c>
      <c r="P1014" t="s">
        <v>21</v>
      </c>
      <c r="Q1014" t="s">
        <v>22</v>
      </c>
    </row>
    <row r="1015" spans="1:17" x14ac:dyDescent="0.3">
      <c r="A1015" t="s">
        <v>1076</v>
      </c>
      <c r="B1015" s="1">
        <v>45692</v>
      </c>
      <c r="C1015" t="s">
        <v>48</v>
      </c>
      <c r="D1015" t="s">
        <v>43</v>
      </c>
      <c r="E1015" t="s">
        <v>17</v>
      </c>
      <c r="F1015" t="s">
        <v>44</v>
      </c>
      <c r="G1015">
        <v>5</v>
      </c>
      <c r="H1015">
        <v>4506.18</v>
      </c>
      <c r="I1015">
        <v>0.11</v>
      </c>
      <c r="J1015">
        <v>20052.5</v>
      </c>
      <c r="K1015">
        <f t="shared" si="45"/>
        <v>22530.9</v>
      </c>
      <c r="L1015">
        <f t="shared" si="46"/>
        <v>2478.4000000000015</v>
      </c>
      <c r="M1015">
        <f t="shared" si="47"/>
        <v>20052.5</v>
      </c>
      <c r="N1015" t="s">
        <v>58</v>
      </c>
      <c r="O1015" t="s">
        <v>34</v>
      </c>
      <c r="P1015" t="s">
        <v>21</v>
      </c>
      <c r="Q1015" t="s">
        <v>22</v>
      </c>
    </row>
    <row r="1016" spans="1:17" x14ac:dyDescent="0.3">
      <c r="A1016" t="s">
        <v>1077</v>
      </c>
      <c r="B1016" s="1">
        <v>45777</v>
      </c>
      <c r="C1016" t="s">
        <v>48</v>
      </c>
      <c r="D1016" t="s">
        <v>39</v>
      </c>
      <c r="E1016" t="s">
        <v>99</v>
      </c>
      <c r="F1016" t="s">
        <v>111</v>
      </c>
      <c r="G1016">
        <v>3</v>
      </c>
      <c r="H1016">
        <v>1615.68</v>
      </c>
      <c r="I1016">
        <v>0.01</v>
      </c>
      <c r="J1016">
        <v>4798.57</v>
      </c>
      <c r="K1016">
        <f t="shared" si="45"/>
        <v>4847.04</v>
      </c>
      <c r="L1016">
        <f t="shared" si="46"/>
        <v>48.470000000000255</v>
      </c>
      <c r="M1016">
        <f t="shared" si="47"/>
        <v>4798.57</v>
      </c>
      <c r="N1016" t="s">
        <v>33</v>
      </c>
      <c r="O1016" t="s">
        <v>34</v>
      </c>
      <c r="P1016" t="s">
        <v>21</v>
      </c>
      <c r="Q1016" t="s">
        <v>88</v>
      </c>
    </row>
    <row r="1017" spans="1:17" x14ac:dyDescent="0.3">
      <c r="A1017" t="s">
        <v>1078</v>
      </c>
      <c r="B1017" s="1">
        <v>45777</v>
      </c>
      <c r="C1017" t="s">
        <v>48</v>
      </c>
      <c r="D1017" t="s">
        <v>43</v>
      </c>
      <c r="E1017" t="s">
        <v>17</v>
      </c>
      <c r="F1017" t="s">
        <v>40</v>
      </c>
      <c r="G1017">
        <v>3</v>
      </c>
      <c r="H1017">
        <v>639.92999999999995</v>
      </c>
      <c r="I1017">
        <v>0</v>
      </c>
      <c r="J1017">
        <v>1919.79</v>
      </c>
      <c r="K1017">
        <f t="shared" si="45"/>
        <v>1919.79</v>
      </c>
      <c r="L1017">
        <f t="shared" si="46"/>
        <v>0</v>
      </c>
      <c r="M1017">
        <f t="shared" si="47"/>
        <v>1919.79</v>
      </c>
      <c r="N1017" t="s">
        <v>33</v>
      </c>
      <c r="O1017" t="s">
        <v>34</v>
      </c>
      <c r="P1017" t="s">
        <v>21</v>
      </c>
      <c r="Q1017" t="s">
        <v>22</v>
      </c>
    </row>
    <row r="1018" spans="1:17" x14ac:dyDescent="0.3">
      <c r="A1018" t="s">
        <v>1079</v>
      </c>
      <c r="B1018" s="1">
        <v>45805</v>
      </c>
      <c r="C1018" t="s">
        <v>36</v>
      </c>
      <c r="D1018" t="s">
        <v>16</v>
      </c>
      <c r="E1018" t="s">
        <v>61</v>
      </c>
      <c r="F1018" t="s">
        <v>66</v>
      </c>
      <c r="G1018">
        <v>2</v>
      </c>
      <c r="H1018">
        <v>1587.86</v>
      </c>
      <c r="I1018">
        <v>7.0000000000000007E-2</v>
      </c>
      <c r="J1018">
        <v>2953.42</v>
      </c>
      <c r="K1018">
        <f t="shared" si="45"/>
        <v>3175.72</v>
      </c>
      <c r="L1018">
        <f t="shared" si="46"/>
        <v>222.29999999999973</v>
      </c>
      <c r="M1018">
        <f t="shared" si="47"/>
        <v>2953.42</v>
      </c>
      <c r="N1018" t="s">
        <v>33</v>
      </c>
      <c r="O1018" t="s">
        <v>29</v>
      </c>
      <c r="P1018" t="s">
        <v>30</v>
      </c>
      <c r="Q1018" t="s">
        <v>22</v>
      </c>
    </row>
    <row r="1019" spans="1:17" x14ac:dyDescent="0.3">
      <c r="A1019" t="s">
        <v>1080</v>
      </c>
      <c r="B1019" s="1">
        <v>45799</v>
      </c>
      <c r="C1019" t="s">
        <v>36</v>
      </c>
      <c r="D1019" t="s">
        <v>16</v>
      </c>
      <c r="E1019" t="s">
        <v>61</v>
      </c>
      <c r="F1019" t="s">
        <v>66</v>
      </c>
      <c r="G1019">
        <v>4</v>
      </c>
      <c r="H1019">
        <v>1598.53</v>
      </c>
      <c r="I1019">
        <v>0.11</v>
      </c>
      <c r="J1019">
        <v>5690.77</v>
      </c>
      <c r="K1019">
        <f t="shared" si="45"/>
        <v>6394.12</v>
      </c>
      <c r="L1019">
        <f t="shared" si="46"/>
        <v>703.34999999999945</v>
      </c>
      <c r="M1019">
        <f t="shared" si="47"/>
        <v>5690.77</v>
      </c>
      <c r="N1019" t="s">
        <v>58</v>
      </c>
      <c r="O1019" t="s">
        <v>20</v>
      </c>
      <c r="P1019" t="s">
        <v>21</v>
      </c>
      <c r="Q1019" t="s">
        <v>22</v>
      </c>
    </row>
    <row r="1020" spans="1:17" x14ac:dyDescent="0.3">
      <c r="A1020" t="s">
        <v>1081</v>
      </c>
      <c r="B1020" s="1">
        <v>45682</v>
      </c>
      <c r="C1020" t="s">
        <v>15</v>
      </c>
      <c r="D1020" t="s">
        <v>43</v>
      </c>
      <c r="E1020" t="s">
        <v>61</v>
      </c>
      <c r="F1020" t="s">
        <v>66</v>
      </c>
      <c r="G1020">
        <v>5</v>
      </c>
      <c r="H1020">
        <v>859.68</v>
      </c>
      <c r="I1020">
        <v>0.02</v>
      </c>
      <c r="J1020">
        <v>4212.43</v>
      </c>
      <c r="K1020">
        <f t="shared" si="45"/>
        <v>4298.3999999999996</v>
      </c>
      <c r="L1020">
        <f t="shared" si="46"/>
        <v>85.969999999999345</v>
      </c>
      <c r="M1020">
        <f t="shared" si="47"/>
        <v>4212.43</v>
      </c>
      <c r="N1020" t="s">
        <v>33</v>
      </c>
      <c r="O1020" t="s">
        <v>29</v>
      </c>
      <c r="P1020" t="s">
        <v>30</v>
      </c>
      <c r="Q1020" t="s">
        <v>59</v>
      </c>
    </row>
    <row r="1021" spans="1:17" x14ac:dyDescent="0.3">
      <c r="A1021" t="s">
        <v>1082</v>
      </c>
      <c r="B1021" s="1">
        <v>45811</v>
      </c>
      <c r="C1021" t="s">
        <v>36</v>
      </c>
      <c r="D1021" t="s">
        <v>25</v>
      </c>
      <c r="E1021" t="s">
        <v>61</v>
      </c>
      <c r="F1021" t="s">
        <v>92</v>
      </c>
      <c r="G1021">
        <v>2</v>
      </c>
      <c r="H1021">
        <v>257.47000000000003</v>
      </c>
      <c r="I1021">
        <v>0.23</v>
      </c>
      <c r="J1021">
        <v>396.5</v>
      </c>
      <c r="K1021">
        <f t="shared" si="45"/>
        <v>514.94000000000005</v>
      </c>
      <c r="L1021">
        <f t="shared" si="46"/>
        <v>118.44000000000005</v>
      </c>
      <c r="M1021">
        <f t="shared" si="47"/>
        <v>396.5</v>
      </c>
      <c r="N1021" t="s">
        <v>58</v>
      </c>
      <c r="O1021" t="s">
        <v>34</v>
      </c>
      <c r="P1021" t="s">
        <v>54</v>
      </c>
      <c r="Q1021" t="s">
        <v>22</v>
      </c>
    </row>
    <row r="1022" spans="1:17" x14ac:dyDescent="0.3">
      <c r="A1022" t="s">
        <v>1083</v>
      </c>
      <c r="B1022" s="1">
        <v>45819</v>
      </c>
      <c r="C1022" t="s">
        <v>15</v>
      </c>
      <c r="D1022" t="s">
        <v>43</v>
      </c>
      <c r="E1022" t="s">
        <v>17</v>
      </c>
      <c r="F1022" t="s">
        <v>32</v>
      </c>
      <c r="G1022">
        <v>2</v>
      </c>
      <c r="H1022">
        <v>2863.15</v>
      </c>
      <c r="I1022">
        <v>0.17</v>
      </c>
      <c r="J1022">
        <v>4752.83</v>
      </c>
      <c r="K1022">
        <f t="shared" si="45"/>
        <v>5726.3</v>
      </c>
      <c r="L1022">
        <f t="shared" si="46"/>
        <v>973.47000000000025</v>
      </c>
      <c r="M1022">
        <f t="shared" si="47"/>
        <v>4752.83</v>
      </c>
      <c r="N1022" t="s">
        <v>33</v>
      </c>
      <c r="O1022" t="s">
        <v>34</v>
      </c>
      <c r="P1022" t="s">
        <v>30</v>
      </c>
      <c r="Q1022" t="s">
        <v>22</v>
      </c>
    </row>
    <row r="1023" spans="1:17" x14ac:dyDescent="0.3">
      <c r="A1023" t="s">
        <v>1084</v>
      </c>
      <c r="B1023" s="1">
        <v>45691</v>
      </c>
      <c r="C1023" t="s">
        <v>52</v>
      </c>
      <c r="D1023" t="s">
        <v>25</v>
      </c>
      <c r="E1023" t="s">
        <v>61</v>
      </c>
      <c r="F1023" t="s">
        <v>66</v>
      </c>
      <c r="G1023">
        <v>2</v>
      </c>
      <c r="H1023">
        <v>1575.21</v>
      </c>
      <c r="I1023">
        <v>0.02</v>
      </c>
      <c r="J1023">
        <v>3087.41</v>
      </c>
      <c r="K1023">
        <f t="shared" si="45"/>
        <v>3150.42</v>
      </c>
      <c r="L1023">
        <f t="shared" si="46"/>
        <v>63.010000000000218</v>
      </c>
      <c r="M1023">
        <f t="shared" si="47"/>
        <v>3087.41</v>
      </c>
      <c r="N1023" t="s">
        <v>41</v>
      </c>
      <c r="O1023" t="s">
        <v>29</v>
      </c>
      <c r="P1023" t="s">
        <v>21</v>
      </c>
      <c r="Q1023" t="s">
        <v>22</v>
      </c>
    </row>
    <row r="1024" spans="1:17" x14ac:dyDescent="0.3">
      <c r="A1024" t="s">
        <v>1085</v>
      </c>
      <c r="B1024" s="1">
        <v>45720</v>
      </c>
      <c r="C1024" t="s">
        <v>24</v>
      </c>
      <c r="D1024" t="s">
        <v>39</v>
      </c>
      <c r="E1024" t="s">
        <v>49</v>
      </c>
      <c r="F1024" t="s">
        <v>50</v>
      </c>
      <c r="G1024">
        <v>4</v>
      </c>
      <c r="H1024">
        <v>3501.25</v>
      </c>
      <c r="I1024">
        <v>0.13</v>
      </c>
      <c r="J1024">
        <v>12184.35</v>
      </c>
      <c r="K1024">
        <f t="shared" si="45"/>
        <v>14005</v>
      </c>
      <c r="L1024">
        <f t="shared" si="46"/>
        <v>1820.6499999999996</v>
      </c>
      <c r="M1024">
        <f t="shared" si="47"/>
        <v>12184.35</v>
      </c>
      <c r="N1024" t="s">
        <v>19</v>
      </c>
      <c r="O1024" t="s">
        <v>29</v>
      </c>
      <c r="P1024" t="s">
        <v>21</v>
      </c>
      <c r="Q1024" t="s">
        <v>22</v>
      </c>
    </row>
    <row r="1025" spans="1:17" x14ac:dyDescent="0.3">
      <c r="A1025" t="s">
        <v>1086</v>
      </c>
      <c r="B1025" s="1">
        <v>45680</v>
      </c>
      <c r="C1025" t="s">
        <v>48</v>
      </c>
      <c r="D1025" t="s">
        <v>16</v>
      </c>
      <c r="E1025" t="s">
        <v>49</v>
      </c>
      <c r="F1025" t="s">
        <v>50</v>
      </c>
      <c r="G1025">
        <v>1</v>
      </c>
      <c r="H1025">
        <v>4571.54</v>
      </c>
      <c r="I1025">
        <v>0.01</v>
      </c>
      <c r="J1025">
        <v>4525.82</v>
      </c>
      <c r="K1025">
        <f t="shared" si="45"/>
        <v>4571.54</v>
      </c>
      <c r="L1025">
        <f t="shared" si="46"/>
        <v>45.720000000000255</v>
      </c>
      <c r="M1025">
        <f t="shared" si="47"/>
        <v>4525.82</v>
      </c>
      <c r="N1025" t="s">
        <v>41</v>
      </c>
      <c r="O1025" t="s">
        <v>34</v>
      </c>
      <c r="P1025" t="s">
        <v>30</v>
      </c>
      <c r="Q1025" t="s">
        <v>88</v>
      </c>
    </row>
    <row r="1026" spans="1:17" x14ac:dyDescent="0.3">
      <c r="A1026" t="s">
        <v>1087</v>
      </c>
      <c r="B1026" s="1">
        <v>45772</v>
      </c>
      <c r="C1026" t="s">
        <v>52</v>
      </c>
      <c r="D1026" t="s">
        <v>39</v>
      </c>
      <c r="E1026" t="s">
        <v>27</v>
      </c>
      <c r="F1026" t="s">
        <v>28</v>
      </c>
      <c r="G1026">
        <v>3</v>
      </c>
      <c r="H1026">
        <v>723.65</v>
      </c>
      <c r="I1026">
        <v>0.14000000000000001</v>
      </c>
      <c r="J1026">
        <v>1867.02</v>
      </c>
      <c r="K1026">
        <f t="shared" si="45"/>
        <v>2170.9499999999998</v>
      </c>
      <c r="L1026">
        <f t="shared" si="46"/>
        <v>303.92999999999984</v>
      </c>
      <c r="M1026">
        <f t="shared" si="47"/>
        <v>1867.02</v>
      </c>
      <c r="N1026" t="s">
        <v>33</v>
      </c>
      <c r="O1026" t="s">
        <v>29</v>
      </c>
      <c r="P1026" t="s">
        <v>21</v>
      </c>
      <c r="Q1026" t="s">
        <v>22</v>
      </c>
    </row>
    <row r="1027" spans="1:17" x14ac:dyDescent="0.3">
      <c r="A1027" t="s">
        <v>1088</v>
      </c>
      <c r="B1027" s="1">
        <v>45664</v>
      </c>
      <c r="C1027" t="s">
        <v>48</v>
      </c>
      <c r="D1027" t="s">
        <v>39</v>
      </c>
      <c r="E1027" t="s">
        <v>49</v>
      </c>
      <c r="F1027" t="s">
        <v>73</v>
      </c>
      <c r="G1027">
        <v>5</v>
      </c>
      <c r="H1027">
        <v>2355.08</v>
      </c>
      <c r="I1027">
        <v>0.01</v>
      </c>
      <c r="J1027">
        <v>11657.65</v>
      </c>
      <c r="K1027">
        <f t="shared" ref="K1027:K1090" si="48">G1027*H1027</f>
        <v>11775.4</v>
      </c>
      <c r="L1027">
        <f t="shared" ref="L1027:L1090" si="49">K1027-J1027</f>
        <v>117.75</v>
      </c>
      <c r="M1027">
        <f t="shared" ref="M1027:M1090" si="50">K1027-L1027</f>
        <v>11657.65</v>
      </c>
      <c r="N1027" t="s">
        <v>58</v>
      </c>
      <c r="O1027" t="s">
        <v>34</v>
      </c>
      <c r="P1027" t="s">
        <v>54</v>
      </c>
      <c r="Q1027" t="s">
        <v>88</v>
      </c>
    </row>
    <row r="1028" spans="1:17" x14ac:dyDescent="0.3">
      <c r="A1028" t="s">
        <v>1089</v>
      </c>
      <c r="B1028" s="1">
        <v>45840</v>
      </c>
      <c r="C1028" t="s">
        <v>36</v>
      </c>
      <c r="D1028" t="s">
        <v>16</v>
      </c>
      <c r="E1028" t="s">
        <v>17</v>
      </c>
      <c r="F1028" t="s">
        <v>32</v>
      </c>
      <c r="G1028">
        <v>5</v>
      </c>
      <c r="H1028">
        <v>2459.19</v>
      </c>
      <c r="I1028">
        <v>0.08</v>
      </c>
      <c r="J1028">
        <v>11312.27</v>
      </c>
      <c r="K1028">
        <f t="shared" si="48"/>
        <v>12295.95</v>
      </c>
      <c r="L1028">
        <f t="shared" si="49"/>
        <v>983.68000000000029</v>
      </c>
      <c r="M1028">
        <f t="shared" si="50"/>
        <v>11312.27</v>
      </c>
      <c r="N1028" t="s">
        <v>58</v>
      </c>
      <c r="O1028" t="s">
        <v>34</v>
      </c>
      <c r="P1028" t="s">
        <v>54</v>
      </c>
      <c r="Q1028" t="s">
        <v>22</v>
      </c>
    </row>
    <row r="1029" spans="1:17" x14ac:dyDescent="0.3">
      <c r="A1029" t="s">
        <v>1090</v>
      </c>
      <c r="B1029" s="1">
        <v>45720</v>
      </c>
      <c r="C1029" t="s">
        <v>52</v>
      </c>
      <c r="D1029" t="s">
        <v>43</v>
      </c>
      <c r="E1029" t="s">
        <v>27</v>
      </c>
      <c r="F1029" t="s">
        <v>79</v>
      </c>
      <c r="G1029">
        <v>5</v>
      </c>
      <c r="H1029">
        <v>3728.08</v>
      </c>
      <c r="I1029">
        <v>0.12</v>
      </c>
      <c r="J1029">
        <v>16403.55</v>
      </c>
      <c r="K1029">
        <f t="shared" si="48"/>
        <v>18640.400000000001</v>
      </c>
      <c r="L1029">
        <f t="shared" si="49"/>
        <v>2236.8500000000022</v>
      </c>
      <c r="M1029">
        <f t="shared" si="50"/>
        <v>16403.55</v>
      </c>
      <c r="N1029" t="s">
        <v>33</v>
      </c>
      <c r="O1029" t="s">
        <v>20</v>
      </c>
      <c r="P1029" t="s">
        <v>54</v>
      </c>
      <c r="Q1029" t="s">
        <v>22</v>
      </c>
    </row>
    <row r="1030" spans="1:17" x14ac:dyDescent="0.3">
      <c r="A1030" t="s">
        <v>1091</v>
      </c>
      <c r="B1030" s="1">
        <v>45771</v>
      </c>
      <c r="C1030" t="s">
        <v>48</v>
      </c>
      <c r="D1030" t="s">
        <v>16</v>
      </c>
      <c r="E1030" t="s">
        <v>99</v>
      </c>
      <c r="F1030" t="s">
        <v>120</v>
      </c>
      <c r="G1030">
        <v>2</v>
      </c>
      <c r="H1030">
        <v>662.07</v>
      </c>
      <c r="I1030">
        <v>0</v>
      </c>
      <c r="J1030">
        <v>1324.14</v>
      </c>
      <c r="K1030">
        <f t="shared" si="48"/>
        <v>1324.14</v>
      </c>
      <c r="L1030">
        <f t="shared" si="49"/>
        <v>0</v>
      </c>
      <c r="M1030">
        <f t="shared" si="50"/>
        <v>1324.14</v>
      </c>
      <c r="N1030" t="s">
        <v>33</v>
      </c>
      <c r="O1030" t="s">
        <v>29</v>
      </c>
      <c r="P1030" t="s">
        <v>21</v>
      </c>
      <c r="Q1030" t="s">
        <v>22</v>
      </c>
    </row>
    <row r="1031" spans="1:17" x14ac:dyDescent="0.3">
      <c r="A1031" t="s">
        <v>1092</v>
      </c>
      <c r="B1031" s="1">
        <v>45791</v>
      </c>
      <c r="C1031" t="s">
        <v>24</v>
      </c>
      <c r="D1031" t="s">
        <v>39</v>
      </c>
      <c r="E1031" t="s">
        <v>61</v>
      </c>
      <c r="F1031" t="s">
        <v>75</v>
      </c>
      <c r="G1031">
        <v>5</v>
      </c>
      <c r="H1031">
        <v>2274.6999999999998</v>
      </c>
      <c r="I1031">
        <v>0.01</v>
      </c>
      <c r="J1031">
        <v>11259.76</v>
      </c>
      <c r="K1031">
        <f t="shared" si="48"/>
        <v>11373.5</v>
      </c>
      <c r="L1031">
        <f t="shared" si="49"/>
        <v>113.73999999999978</v>
      </c>
      <c r="M1031">
        <f t="shared" si="50"/>
        <v>11259.76</v>
      </c>
      <c r="N1031" t="s">
        <v>41</v>
      </c>
      <c r="O1031" t="s">
        <v>20</v>
      </c>
      <c r="P1031" t="s">
        <v>54</v>
      </c>
      <c r="Q1031" t="s">
        <v>22</v>
      </c>
    </row>
    <row r="1032" spans="1:17" x14ac:dyDescent="0.3">
      <c r="A1032" t="s">
        <v>1093</v>
      </c>
      <c r="B1032" s="1">
        <v>45836</v>
      </c>
      <c r="C1032" t="s">
        <v>36</v>
      </c>
      <c r="D1032" t="s">
        <v>43</v>
      </c>
      <c r="E1032" t="s">
        <v>61</v>
      </c>
      <c r="F1032" t="s">
        <v>75</v>
      </c>
      <c r="G1032">
        <v>4</v>
      </c>
      <c r="H1032">
        <v>4310.6400000000003</v>
      </c>
      <c r="I1032">
        <v>0.15</v>
      </c>
      <c r="J1032">
        <v>14656.18</v>
      </c>
      <c r="K1032">
        <f t="shared" si="48"/>
        <v>17242.560000000001</v>
      </c>
      <c r="L1032">
        <f t="shared" si="49"/>
        <v>2586.380000000001</v>
      </c>
      <c r="M1032">
        <f t="shared" si="50"/>
        <v>14656.18</v>
      </c>
      <c r="N1032" t="s">
        <v>46</v>
      </c>
      <c r="O1032" t="s">
        <v>29</v>
      </c>
      <c r="P1032" t="s">
        <v>30</v>
      </c>
      <c r="Q1032" t="s">
        <v>22</v>
      </c>
    </row>
    <row r="1033" spans="1:17" x14ac:dyDescent="0.3">
      <c r="A1033" t="s">
        <v>1094</v>
      </c>
      <c r="B1033" s="1">
        <v>45732</v>
      </c>
      <c r="C1033" t="s">
        <v>52</v>
      </c>
      <c r="D1033" t="s">
        <v>16</v>
      </c>
      <c r="E1033" t="s">
        <v>61</v>
      </c>
      <c r="F1033" t="s">
        <v>75</v>
      </c>
      <c r="G1033">
        <v>5</v>
      </c>
      <c r="H1033">
        <v>1081.72</v>
      </c>
      <c r="I1033">
        <v>0.12</v>
      </c>
      <c r="J1033">
        <v>4759.57</v>
      </c>
      <c r="K1033">
        <f t="shared" si="48"/>
        <v>5408.6</v>
      </c>
      <c r="L1033">
        <f t="shared" si="49"/>
        <v>649.03000000000065</v>
      </c>
      <c r="M1033">
        <f t="shared" si="50"/>
        <v>4759.57</v>
      </c>
      <c r="N1033" t="s">
        <v>19</v>
      </c>
      <c r="O1033" t="s">
        <v>29</v>
      </c>
      <c r="P1033" t="s">
        <v>30</v>
      </c>
      <c r="Q1033" t="s">
        <v>59</v>
      </c>
    </row>
    <row r="1034" spans="1:17" x14ac:dyDescent="0.3">
      <c r="A1034" t="s">
        <v>1095</v>
      </c>
      <c r="B1034" s="1">
        <v>45737</v>
      </c>
      <c r="C1034" t="s">
        <v>15</v>
      </c>
      <c r="D1034" t="s">
        <v>16</v>
      </c>
      <c r="E1034" t="s">
        <v>49</v>
      </c>
      <c r="F1034" t="s">
        <v>53</v>
      </c>
      <c r="G1034">
        <v>1</v>
      </c>
      <c r="H1034">
        <v>2373.42</v>
      </c>
      <c r="I1034">
        <v>0.2</v>
      </c>
      <c r="J1034">
        <v>1898.74</v>
      </c>
      <c r="K1034">
        <f t="shared" si="48"/>
        <v>2373.42</v>
      </c>
      <c r="L1034">
        <f t="shared" si="49"/>
        <v>474.68000000000006</v>
      </c>
      <c r="M1034">
        <f t="shared" si="50"/>
        <v>1898.74</v>
      </c>
      <c r="N1034" t="s">
        <v>41</v>
      </c>
      <c r="O1034" t="s">
        <v>34</v>
      </c>
      <c r="P1034" t="s">
        <v>54</v>
      </c>
      <c r="Q1034" t="s">
        <v>22</v>
      </c>
    </row>
    <row r="1035" spans="1:17" x14ac:dyDescent="0.3">
      <c r="A1035" t="s">
        <v>1096</v>
      </c>
      <c r="B1035" s="1">
        <v>45842</v>
      </c>
      <c r="C1035" t="s">
        <v>24</v>
      </c>
      <c r="D1035" t="s">
        <v>25</v>
      </c>
      <c r="E1035" t="s">
        <v>17</v>
      </c>
      <c r="F1035" t="s">
        <v>40</v>
      </c>
      <c r="G1035">
        <v>1</v>
      </c>
      <c r="H1035">
        <v>3261.03</v>
      </c>
      <c r="I1035">
        <v>0.22</v>
      </c>
      <c r="J1035">
        <v>2543.6</v>
      </c>
      <c r="K1035">
        <f t="shared" si="48"/>
        <v>3261.03</v>
      </c>
      <c r="L1035">
        <f t="shared" si="49"/>
        <v>717.43000000000029</v>
      </c>
      <c r="M1035">
        <f t="shared" si="50"/>
        <v>2543.6</v>
      </c>
      <c r="N1035" t="s">
        <v>33</v>
      </c>
      <c r="O1035" t="s">
        <v>34</v>
      </c>
      <c r="P1035" t="s">
        <v>21</v>
      </c>
      <c r="Q1035" t="s">
        <v>22</v>
      </c>
    </row>
    <row r="1036" spans="1:17" x14ac:dyDescent="0.3">
      <c r="A1036" t="s">
        <v>1097</v>
      </c>
      <c r="B1036" s="1">
        <v>45798</v>
      </c>
      <c r="C1036" t="s">
        <v>48</v>
      </c>
      <c r="D1036" t="s">
        <v>43</v>
      </c>
      <c r="E1036" t="s">
        <v>99</v>
      </c>
      <c r="F1036" t="s">
        <v>100</v>
      </c>
      <c r="G1036">
        <v>1</v>
      </c>
      <c r="H1036">
        <v>4910.59</v>
      </c>
      <c r="I1036">
        <v>0.09</v>
      </c>
      <c r="J1036">
        <v>4468.6400000000003</v>
      </c>
      <c r="K1036">
        <f t="shared" si="48"/>
        <v>4910.59</v>
      </c>
      <c r="L1036">
        <f t="shared" si="49"/>
        <v>441.94999999999982</v>
      </c>
      <c r="M1036">
        <f t="shared" si="50"/>
        <v>4468.6400000000003</v>
      </c>
      <c r="N1036" t="s">
        <v>41</v>
      </c>
      <c r="O1036" t="s">
        <v>34</v>
      </c>
      <c r="P1036" t="s">
        <v>21</v>
      </c>
      <c r="Q1036" t="s">
        <v>22</v>
      </c>
    </row>
    <row r="1037" spans="1:17" x14ac:dyDescent="0.3">
      <c r="A1037" t="s">
        <v>1098</v>
      </c>
      <c r="B1037" s="1">
        <v>45698</v>
      </c>
      <c r="C1037" t="s">
        <v>36</v>
      </c>
      <c r="D1037" t="s">
        <v>25</v>
      </c>
      <c r="E1037" t="s">
        <v>27</v>
      </c>
      <c r="F1037" t="s">
        <v>87</v>
      </c>
      <c r="G1037">
        <v>2</v>
      </c>
      <c r="H1037">
        <v>1824.15</v>
      </c>
      <c r="I1037">
        <v>0.18</v>
      </c>
      <c r="J1037">
        <v>2991.61</v>
      </c>
      <c r="K1037">
        <f t="shared" si="48"/>
        <v>3648.3</v>
      </c>
      <c r="L1037">
        <f t="shared" si="49"/>
        <v>656.69</v>
      </c>
      <c r="M1037">
        <f t="shared" si="50"/>
        <v>2991.61</v>
      </c>
      <c r="N1037" t="s">
        <v>58</v>
      </c>
      <c r="O1037" t="s">
        <v>20</v>
      </c>
      <c r="P1037" t="s">
        <v>30</v>
      </c>
      <c r="Q1037" t="s">
        <v>22</v>
      </c>
    </row>
    <row r="1038" spans="1:17" x14ac:dyDescent="0.3">
      <c r="A1038" t="s">
        <v>1099</v>
      </c>
      <c r="B1038" s="1">
        <v>45674</v>
      </c>
      <c r="C1038" t="s">
        <v>15</v>
      </c>
      <c r="D1038" t="s">
        <v>43</v>
      </c>
      <c r="E1038" t="s">
        <v>61</v>
      </c>
      <c r="F1038" t="s">
        <v>66</v>
      </c>
      <c r="G1038">
        <v>4</v>
      </c>
      <c r="H1038">
        <v>1944.96</v>
      </c>
      <c r="I1038">
        <v>0.12</v>
      </c>
      <c r="J1038">
        <v>6846.26</v>
      </c>
      <c r="K1038">
        <f t="shared" si="48"/>
        <v>7779.84</v>
      </c>
      <c r="L1038">
        <f t="shared" si="49"/>
        <v>933.57999999999993</v>
      </c>
      <c r="M1038">
        <f t="shared" si="50"/>
        <v>6846.26</v>
      </c>
      <c r="N1038" t="s">
        <v>41</v>
      </c>
      <c r="O1038" t="s">
        <v>20</v>
      </c>
      <c r="P1038" t="s">
        <v>21</v>
      </c>
      <c r="Q1038" t="s">
        <v>22</v>
      </c>
    </row>
    <row r="1039" spans="1:17" x14ac:dyDescent="0.3">
      <c r="A1039" t="s">
        <v>1100</v>
      </c>
      <c r="B1039" s="1">
        <v>45774</v>
      </c>
      <c r="C1039" t="s">
        <v>52</v>
      </c>
      <c r="D1039" t="s">
        <v>16</v>
      </c>
      <c r="E1039" t="s">
        <v>27</v>
      </c>
      <c r="F1039" t="s">
        <v>28</v>
      </c>
      <c r="G1039">
        <v>5</v>
      </c>
      <c r="H1039">
        <v>1805.67</v>
      </c>
      <c r="I1039">
        <v>0.15</v>
      </c>
      <c r="J1039">
        <v>7674.1</v>
      </c>
      <c r="K1039">
        <f t="shared" si="48"/>
        <v>9028.35</v>
      </c>
      <c r="L1039">
        <f t="shared" si="49"/>
        <v>1354.25</v>
      </c>
      <c r="M1039">
        <f t="shared" si="50"/>
        <v>7674.1</v>
      </c>
      <c r="N1039" t="s">
        <v>46</v>
      </c>
      <c r="O1039" t="s">
        <v>29</v>
      </c>
      <c r="P1039" t="s">
        <v>30</v>
      </c>
      <c r="Q1039" t="s">
        <v>22</v>
      </c>
    </row>
    <row r="1040" spans="1:17" x14ac:dyDescent="0.3">
      <c r="A1040" t="s">
        <v>1101</v>
      </c>
      <c r="B1040" s="1">
        <v>45794</v>
      </c>
      <c r="C1040" t="s">
        <v>24</v>
      </c>
      <c r="D1040" t="s">
        <v>43</v>
      </c>
      <c r="E1040" t="s">
        <v>61</v>
      </c>
      <c r="F1040" t="s">
        <v>75</v>
      </c>
      <c r="G1040">
        <v>4</v>
      </c>
      <c r="H1040">
        <v>1685.93</v>
      </c>
      <c r="I1040">
        <v>0.06</v>
      </c>
      <c r="J1040">
        <v>6339.1</v>
      </c>
      <c r="K1040">
        <f t="shared" si="48"/>
        <v>6743.72</v>
      </c>
      <c r="L1040">
        <f t="shared" si="49"/>
        <v>404.61999999999989</v>
      </c>
      <c r="M1040">
        <f t="shared" si="50"/>
        <v>6339.1</v>
      </c>
      <c r="N1040" t="s">
        <v>58</v>
      </c>
      <c r="O1040" t="s">
        <v>34</v>
      </c>
      <c r="P1040" t="s">
        <v>21</v>
      </c>
      <c r="Q1040" t="s">
        <v>22</v>
      </c>
    </row>
    <row r="1041" spans="1:17" x14ac:dyDescent="0.3">
      <c r="A1041" t="s">
        <v>1102</v>
      </c>
      <c r="B1041" s="1">
        <v>45821</v>
      </c>
      <c r="C1041" t="s">
        <v>48</v>
      </c>
      <c r="D1041" t="s">
        <v>16</v>
      </c>
      <c r="E1041" t="s">
        <v>61</v>
      </c>
      <c r="F1041" t="s">
        <v>92</v>
      </c>
      <c r="G1041">
        <v>5</v>
      </c>
      <c r="H1041">
        <v>1327.37</v>
      </c>
      <c r="I1041">
        <v>0.01</v>
      </c>
      <c r="J1041">
        <v>6570.48</v>
      </c>
      <c r="K1041">
        <f t="shared" si="48"/>
        <v>6636.8499999999995</v>
      </c>
      <c r="L1041">
        <f t="shared" si="49"/>
        <v>66.369999999999891</v>
      </c>
      <c r="M1041">
        <f t="shared" si="50"/>
        <v>6570.48</v>
      </c>
      <c r="N1041" t="s">
        <v>58</v>
      </c>
      <c r="O1041" t="s">
        <v>20</v>
      </c>
      <c r="P1041" t="s">
        <v>21</v>
      </c>
      <c r="Q1041" t="s">
        <v>22</v>
      </c>
    </row>
    <row r="1042" spans="1:17" x14ac:dyDescent="0.3">
      <c r="A1042" t="s">
        <v>1103</v>
      </c>
      <c r="B1042" s="1">
        <v>45781</v>
      </c>
      <c r="C1042" t="s">
        <v>52</v>
      </c>
      <c r="D1042" t="s">
        <v>43</v>
      </c>
      <c r="E1042" t="s">
        <v>99</v>
      </c>
      <c r="F1042" t="s">
        <v>120</v>
      </c>
      <c r="G1042">
        <v>4</v>
      </c>
      <c r="H1042">
        <v>1950.38</v>
      </c>
      <c r="I1042">
        <v>0.25</v>
      </c>
      <c r="J1042">
        <v>5851.14</v>
      </c>
      <c r="K1042">
        <f t="shared" si="48"/>
        <v>7801.52</v>
      </c>
      <c r="L1042">
        <f t="shared" si="49"/>
        <v>1950.38</v>
      </c>
      <c r="M1042">
        <f t="shared" si="50"/>
        <v>5851.14</v>
      </c>
      <c r="N1042" t="s">
        <v>46</v>
      </c>
      <c r="O1042" t="s">
        <v>20</v>
      </c>
      <c r="P1042" t="s">
        <v>21</v>
      </c>
      <c r="Q1042" t="s">
        <v>22</v>
      </c>
    </row>
    <row r="1043" spans="1:17" x14ac:dyDescent="0.3">
      <c r="A1043" t="s">
        <v>1104</v>
      </c>
      <c r="B1043" s="1">
        <v>45707</v>
      </c>
      <c r="C1043" t="s">
        <v>15</v>
      </c>
      <c r="D1043" t="s">
        <v>16</v>
      </c>
      <c r="E1043" t="s">
        <v>49</v>
      </c>
      <c r="F1043" t="s">
        <v>50</v>
      </c>
      <c r="G1043">
        <v>2</v>
      </c>
      <c r="H1043">
        <v>2226.91</v>
      </c>
      <c r="I1043">
        <v>0.13</v>
      </c>
      <c r="J1043">
        <v>3874.82</v>
      </c>
      <c r="K1043">
        <f t="shared" si="48"/>
        <v>4453.82</v>
      </c>
      <c r="L1043">
        <f t="shared" si="49"/>
        <v>578.99999999999955</v>
      </c>
      <c r="M1043">
        <f t="shared" si="50"/>
        <v>3874.82</v>
      </c>
      <c r="N1043" t="s">
        <v>19</v>
      </c>
      <c r="O1043" t="s">
        <v>20</v>
      </c>
      <c r="P1043" t="s">
        <v>54</v>
      </c>
      <c r="Q1043" t="s">
        <v>22</v>
      </c>
    </row>
    <row r="1044" spans="1:17" x14ac:dyDescent="0.3">
      <c r="A1044" t="s">
        <v>1105</v>
      </c>
      <c r="B1044" s="1">
        <v>45679</v>
      </c>
      <c r="C1044" t="s">
        <v>24</v>
      </c>
      <c r="D1044" t="s">
        <v>39</v>
      </c>
      <c r="E1044" t="s">
        <v>17</v>
      </c>
      <c r="F1044" t="s">
        <v>44</v>
      </c>
      <c r="G1044">
        <v>3</v>
      </c>
      <c r="H1044">
        <v>3894.49</v>
      </c>
      <c r="I1044">
        <v>0.14000000000000001</v>
      </c>
      <c r="J1044">
        <v>10047.780000000001</v>
      </c>
      <c r="K1044">
        <f t="shared" si="48"/>
        <v>11683.47</v>
      </c>
      <c r="L1044">
        <f t="shared" si="49"/>
        <v>1635.6899999999987</v>
      </c>
      <c r="M1044">
        <f t="shared" si="50"/>
        <v>10047.780000000001</v>
      </c>
      <c r="N1044" t="s">
        <v>19</v>
      </c>
      <c r="O1044" t="s">
        <v>20</v>
      </c>
      <c r="P1044" t="s">
        <v>54</v>
      </c>
      <c r="Q1044" t="s">
        <v>22</v>
      </c>
    </row>
    <row r="1045" spans="1:17" x14ac:dyDescent="0.3">
      <c r="A1045" t="s">
        <v>1106</v>
      </c>
      <c r="B1045" s="1">
        <v>45795</v>
      </c>
      <c r="C1045" t="s">
        <v>52</v>
      </c>
      <c r="D1045" t="s">
        <v>43</v>
      </c>
      <c r="E1045" t="s">
        <v>27</v>
      </c>
      <c r="F1045" t="s">
        <v>87</v>
      </c>
      <c r="G1045">
        <v>4</v>
      </c>
      <c r="H1045">
        <v>2554.17</v>
      </c>
      <c r="I1045">
        <v>0.09</v>
      </c>
      <c r="J1045">
        <v>9297.18</v>
      </c>
      <c r="K1045">
        <f t="shared" si="48"/>
        <v>10216.68</v>
      </c>
      <c r="L1045">
        <f t="shared" si="49"/>
        <v>919.5</v>
      </c>
      <c r="M1045">
        <f t="shared" si="50"/>
        <v>9297.18</v>
      </c>
      <c r="N1045" t="s">
        <v>19</v>
      </c>
      <c r="O1045" t="s">
        <v>29</v>
      </c>
      <c r="P1045" t="s">
        <v>21</v>
      </c>
      <c r="Q1045" t="s">
        <v>88</v>
      </c>
    </row>
    <row r="1046" spans="1:17" x14ac:dyDescent="0.3">
      <c r="A1046" t="s">
        <v>1107</v>
      </c>
      <c r="B1046" s="1">
        <v>45810</v>
      </c>
      <c r="C1046" t="s">
        <v>48</v>
      </c>
      <c r="D1046" t="s">
        <v>16</v>
      </c>
      <c r="E1046" t="s">
        <v>49</v>
      </c>
      <c r="F1046" t="s">
        <v>50</v>
      </c>
      <c r="G1046">
        <v>1</v>
      </c>
      <c r="H1046">
        <v>723.24</v>
      </c>
      <c r="I1046">
        <v>0.13</v>
      </c>
      <c r="J1046">
        <v>629.22</v>
      </c>
      <c r="K1046">
        <f t="shared" si="48"/>
        <v>723.24</v>
      </c>
      <c r="L1046">
        <f t="shared" si="49"/>
        <v>94.019999999999982</v>
      </c>
      <c r="M1046">
        <f t="shared" si="50"/>
        <v>629.22</v>
      </c>
      <c r="N1046" t="s">
        <v>58</v>
      </c>
      <c r="O1046" t="s">
        <v>29</v>
      </c>
      <c r="P1046" t="s">
        <v>54</v>
      </c>
      <c r="Q1046" t="s">
        <v>22</v>
      </c>
    </row>
    <row r="1047" spans="1:17" x14ac:dyDescent="0.3">
      <c r="A1047" t="s">
        <v>1108</v>
      </c>
      <c r="B1047" s="1">
        <v>45718</v>
      </c>
      <c r="C1047" t="s">
        <v>24</v>
      </c>
      <c r="D1047" t="s">
        <v>39</v>
      </c>
      <c r="E1047" t="s">
        <v>17</v>
      </c>
      <c r="F1047" t="s">
        <v>32</v>
      </c>
      <c r="G1047">
        <v>3</v>
      </c>
      <c r="H1047">
        <v>2013.09</v>
      </c>
      <c r="I1047">
        <v>0.09</v>
      </c>
      <c r="J1047">
        <v>5495.74</v>
      </c>
      <c r="K1047">
        <f t="shared" si="48"/>
        <v>6039.2699999999995</v>
      </c>
      <c r="L1047">
        <f t="shared" si="49"/>
        <v>543.52999999999975</v>
      </c>
      <c r="M1047">
        <f t="shared" si="50"/>
        <v>5495.74</v>
      </c>
      <c r="N1047" t="s">
        <v>19</v>
      </c>
      <c r="O1047" t="s">
        <v>34</v>
      </c>
      <c r="P1047" t="s">
        <v>54</v>
      </c>
      <c r="Q1047" t="s">
        <v>22</v>
      </c>
    </row>
    <row r="1048" spans="1:17" x14ac:dyDescent="0.3">
      <c r="A1048" t="s">
        <v>1109</v>
      </c>
      <c r="B1048" s="1">
        <v>45825</v>
      </c>
      <c r="C1048" t="s">
        <v>36</v>
      </c>
      <c r="D1048" t="s">
        <v>16</v>
      </c>
      <c r="E1048" t="s">
        <v>27</v>
      </c>
      <c r="F1048" t="s">
        <v>68</v>
      </c>
      <c r="G1048">
        <v>3</v>
      </c>
      <c r="H1048">
        <v>2056.1799999999998</v>
      </c>
      <c r="I1048">
        <v>0.01</v>
      </c>
      <c r="J1048">
        <v>6106.85</v>
      </c>
      <c r="K1048">
        <f t="shared" si="48"/>
        <v>6168.5399999999991</v>
      </c>
      <c r="L1048">
        <f t="shared" si="49"/>
        <v>61.68999999999869</v>
      </c>
      <c r="M1048">
        <f t="shared" si="50"/>
        <v>6106.85</v>
      </c>
      <c r="N1048" t="s">
        <v>33</v>
      </c>
      <c r="O1048" t="s">
        <v>29</v>
      </c>
      <c r="P1048" t="s">
        <v>21</v>
      </c>
      <c r="Q1048" t="s">
        <v>22</v>
      </c>
    </row>
    <row r="1049" spans="1:17" x14ac:dyDescent="0.3">
      <c r="A1049" t="s">
        <v>1110</v>
      </c>
      <c r="B1049" s="1">
        <v>45792</v>
      </c>
      <c r="C1049" t="s">
        <v>24</v>
      </c>
      <c r="D1049" t="s">
        <v>43</v>
      </c>
      <c r="E1049" t="s">
        <v>99</v>
      </c>
      <c r="F1049" t="s">
        <v>120</v>
      </c>
      <c r="G1049">
        <v>3</v>
      </c>
      <c r="H1049">
        <v>1082.51</v>
      </c>
      <c r="I1049">
        <v>0.22</v>
      </c>
      <c r="J1049">
        <v>2533.0700000000002</v>
      </c>
      <c r="K1049">
        <f t="shared" si="48"/>
        <v>3247.5299999999997</v>
      </c>
      <c r="L1049">
        <f t="shared" si="49"/>
        <v>714.45999999999958</v>
      </c>
      <c r="M1049">
        <f t="shared" si="50"/>
        <v>2533.0700000000002</v>
      </c>
      <c r="N1049" t="s">
        <v>46</v>
      </c>
      <c r="O1049" t="s">
        <v>34</v>
      </c>
      <c r="P1049" t="s">
        <v>54</v>
      </c>
      <c r="Q1049" t="s">
        <v>22</v>
      </c>
    </row>
    <row r="1050" spans="1:17" x14ac:dyDescent="0.3">
      <c r="A1050" t="s">
        <v>1111</v>
      </c>
      <c r="B1050" s="1">
        <v>45776</v>
      </c>
      <c r="C1050" t="s">
        <v>52</v>
      </c>
      <c r="D1050" t="s">
        <v>39</v>
      </c>
      <c r="E1050" t="s">
        <v>99</v>
      </c>
      <c r="F1050" t="s">
        <v>120</v>
      </c>
      <c r="G1050">
        <v>5</v>
      </c>
      <c r="H1050">
        <v>4531.1899999999996</v>
      </c>
      <c r="I1050">
        <v>0.18</v>
      </c>
      <c r="J1050">
        <v>18577.88</v>
      </c>
      <c r="K1050">
        <f t="shared" si="48"/>
        <v>22655.949999999997</v>
      </c>
      <c r="L1050">
        <f t="shared" si="49"/>
        <v>4078.0699999999961</v>
      </c>
      <c r="M1050">
        <f t="shared" si="50"/>
        <v>18577.88</v>
      </c>
      <c r="N1050" t="s">
        <v>41</v>
      </c>
      <c r="O1050" t="s">
        <v>20</v>
      </c>
      <c r="P1050" t="s">
        <v>54</v>
      </c>
      <c r="Q1050" t="s">
        <v>59</v>
      </c>
    </row>
    <row r="1051" spans="1:17" x14ac:dyDescent="0.3">
      <c r="A1051" t="s">
        <v>1112</v>
      </c>
      <c r="B1051" s="1">
        <v>45816</v>
      </c>
      <c r="C1051" t="s">
        <v>36</v>
      </c>
      <c r="D1051" t="s">
        <v>43</v>
      </c>
      <c r="E1051" t="s">
        <v>49</v>
      </c>
      <c r="F1051" t="s">
        <v>56</v>
      </c>
      <c r="G1051">
        <v>3</v>
      </c>
      <c r="H1051">
        <v>3644.32</v>
      </c>
      <c r="I1051">
        <v>0.03</v>
      </c>
      <c r="J1051">
        <v>10604.97</v>
      </c>
      <c r="K1051">
        <f t="shared" si="48"/>
        <v>10932.960000000001</v>
      </c>
      <c r="L1051">
        <f t="shared" si="49"/>
        <v>327.9900000000016</v>
      </c>
      <c r="M1051">
        <f t="shared" si="50"/>
        <v>10604.97</v>
      </c>
      <c r="N1051" t="s">
        <v>41</v>
      </c>
      <c r="O1051" t="s">
        <v>20</v>
      </c>
      <c r="P1051" t="s">
        <v>30</v>
      </c>
      <c r="Q1051" t="s">
        <v>22</v>
      </c>
    </row>
    <row r="1052" spans="1:17" x14ac:dyDescent="0.3">
      <c r="A1052" t="s">
        <v>1113</v>
      </c>
      <c r="B1052" s="1">
        <v>45683</v>
      </c>
      <c r="C1052" t="s">
        <v>15</v>
      </c>
      <c r="D1052" t="s">
        <v>25</v>
      </c>
      <c r="E1052" t="s">
        <v>49</v>
      </c>
      <c r="F1052" t="s">
        <v>50</v>
      </c>
      <c r="G1052">
        <v>1</v>
      </c>
      <c r="H1052">
        <v>229.13</v>
      </c>
      <c r="I1052">
        <v>0.2</v>
      </c>
      <c r="J1052">
        <v>183.3</v>
      </c>
      <c r="K1052">
        <f t="shared" si="48"/>
        <v>229.13</v>
      </c>
      <c r="L1052">
        <f t="shared" si="49"/>
        <v>45.829999999999984</v>
      </c>
      <c r="M1052">
        <f t="shared" si="50"/>
        <v>183.3</v>
      </c>
      <c r="N1052" t="s">
        <v>19</v>
      </c>
      <c r="O1052" t="s">
        <v>20</v>
      </c>
      <c r="P1052" t="s">
        <v>54</v>
      </c>
      <c r="Q1052" t="s">
        <v>22</v>
      </c>
    </row>
    <row r="1053" spans="1:17" x14ac:dyDescent="0.3">
      <c r="A1053" t="s">
        <v>1114</v>
      </c>
      <c r="B1053" s="1">
        <v>45814</v>
      </c>
      <c r="C1053" t="s">
        <v>24</v>
      </c>
      <c r="D1053" t="s">
        <v>16</v>
      </c>
      <c r="E1053" t="s">
        <v>17</v>
      </c>
      <c r="F1053" t="s">
        <v>40</v>
      </c>
      <c r="G1053">
        <v>2</v>
      </c>
      <c r="H1053">
        <v>2205.62</v>
      </c>
      <c r="I1053">
        <v>0.11</v>
      </c>
      <c r="J1053">
        <v>3926</v>
      </c>
      <c r="K1053">
        <f t="shared" si="48"/>
        <v>4411.24</v>
      </c>
      <c r="L1053">
        <f t="shared" si="49"/>
        <v>485.23999999999978</v>
      </c>
      <c r="M1053">
        <f t="shared" si="50"/>
        <v>3926</v>
      </c>
      <c r="N1053" t="s">
        <v>41</v>
      </c>
      <c r="O1053" t="s">
        <v>34</v>
      </c>
      <c r="P1053" t="s">
        <v>54</v>
      </c>
      <c r="Q1053" t="s">
        <v>22</v>
      </c>
    </row>
    <row r="1054" spans="1:17" x14ac:dyDescent="0.3">
      <c r="A1054" t="s">
        <v>1115</v>
      </c>
      <c r="B1054" s="1">
        <v>45769</v>
      </c>
      <c r="C1054" t="s">
        <v>15</v>
      </c>
      <c r="D1054" t="s">
        <v>16</v>
      </c>
      <c r="E1054" t="s">
        <v>27</v>
      </c>
      <c r="F1054" t="s">
        <v>28</v>
      </c>
      <c r="G1054">
        <v>4</v>
      </c>
      <c r="H1054">
        <v>4598.54</v>
      </c>
      <c r="I1054">
        <v>0.06</v>
      </c>
      <c r="J1054">
        <v>17290.509999999998</v>
      </c>
      <c r="K1054">
        <f t="shared" si="48"/>
        <v>18394.16</v>
      </c>
      <c r="L1054">
        <f t="shared" si="49"/>
        <v>1103.6500000000015</v>
      </c>
      <c r="M1054">
        <f t="shared" si="50"/>
        <v>17290.509999999998</v>
      </c>
      <c r="N1054" t="s">
        <v>19</v>
      </c>
      <c r="O1054" t="s">
        <v>34</v>
      </c>
      <c r="P1054" t="s">
        <v>54</v>
      </c>
      <c r="Q1054" t="s">
        <v>22</v>
      </c>
    </row>
    <row r="1055" spans="1:17" x14ac:dyDescent="0.3">
      <c r="A1055" t="s">
        <v>1116</v>
      </c>
      <c r="B1055" s="1">
        <v>45811</v>
      </c>
      <c r="C1055" t="s">
        <v>24</v>
      </c>
      <c r="D1055" t="s">
        <v>16</v>
      </c>
      <c r="E1055" t="s">
        <v>27</v>
      </c>
      <c r="F1055" t="s">
        <v>79</v>
      </c>
      <c r="G1055">
        <v>1</v>
      </c>
      <c r="H1055">
        <v>377.61</v>
      </c>
      <c r="I1055">
        <v>0.11</v>
      </c>
      <c r="J1055">
        <v>336.07</v>
      </c>
      <c r="K1055">
        <f t="shared" si="48"/>
        <v>377.61</v>
      </c>
      <c r="L1055">
        <f t="shared" si="49"/>
        <v>41.54000000000002</v>
      </c>
      <c r="M1055">
        <f t="shared" si="50"/>
        <v>336.07</v>
      </c>
      <c r="N1055" t="s">
        <v>19</v>
      </c>
      <c r="O1055" t="s">
        <v>20</v>
      </c>
      <c r="P1055" t="s">
        <v>30</v>
      </c>
      <c r="Q1055" t="s">
        <v>22</v>
      </c>
    </row>
    <row r="1056" spans="1:17" x14ac:dyDescent="0.3">
      <c r="A1056" t="s">
        <v>1117</v>
      </c>
      <c r="B1056" s="1">
        <v>45667</v>
      </c>
      <c r="C1056" t="s">
        <v>15</v>
      </c>
      <c r="D1056" t="s">
        <v>16</v>
      </c>
      <c r="E1056" t="s">
        <v>27</v>
      </c>
      <c r="F1056" t="s">
        <v>68</v>
      </c>
      <c r="G1056">
        <v>4</v>
      </c>
      <c r="H1056">
        <v>2445.64</v>
      </c>
      <c r="I1056">
        <v>0.03</v>
      </c>
      <c r="J1056">
        <v>9489.08</v>
      </c>
      <c r="K1056">
        <f t="shared" si="48"/>
        <v>9782.56</v>
      </c>
      <c r="L1056">
        <f t="shared" si="49"/>
        <v>293.47999999999956</v>
      </c>
      <c r="M1056">
        <f t="shared" si="50"/>
        <v>9489.08</v>
      </c>
      <c r="N1056" t="s">
        <v>19</v>
      </c>
      <c r="O1056" t="s">
        <v>29</v>
      </c>
      <c r="P1056" t="s">
        <v>54</v>
      </c>
      <c r="Q1056" t="s">
        <v>22</v>
      </c>
    </row>
    <row r="1057" spans="1:17" x14ac:dyDescent="0.3">
      <c r="A1057" t="s">
        <v>1118</v>
      </c>
      <c r="B1057" s="1">
        <v>45727</v>
      </c>
      <c r="C1057" t="s">
        <v>48</v>
      </c>
      <c r="D1057" t="s">
        <v>39</v>
      </c>
      <c r="E1057" t="s">
        <v>27</v>
      </c>
      <c r="F1057" t="s">
        <v>68</v>
      </c>
      <c r="G1057">
        <v>4</v>
      </c>
      <c r="H1057">
        <v>3594.36</v>
      </c>
      <c r="I1057">
        <v>0.24</v>
      </c>
      <c r="J1057">
        <v>10926.85</v>
      </c>
      <c r="K1057">
        <f t="shared" si="48"/>
        <v>14377.44</v>
      </c>
      <c r="L1057">
        <f t="shared" si="49"/>
        <v>3450.59</v>
      </c>
      <c r="M1057">
        <f t="shared" si="50"/>
        <v>10926.85</v>
      </c>
      <c r="N1057" t="s">
        <v>46</v>
      </c>
      <c r="O1057" t="s">
        <v>20</v>
      </c>
      <c r="P1057" t="s">
        <v>21</v>
      </c>
      <c r="Q1057" t="s">
        <v>37</v>
      </c>
    </row>
    <row r="1058" spans="1:17" x14ac:dyDescent="0.3">
      <c r="A1058" t="s">
        <v>1119</v>
      </c>
      <c r="B1058" s="1">
        <v>45763</v>
      </c>
      <c r="C1058" t="s">
        <v>15</v>
      </c>
      <c r="D1058" t="s">
        <v>25</v>
      </c>
      <c r="E1058" t="s">
        <v>61</v>
      </c>
      <c r="F1058" t="s">
        <v>66</v>
      </c>
      <c r="G1058">
        <v>1</v>
      </c>
      <c r="H1058">
        <v>364.59</v>
      </c>
      <c r="I1058">
        <v>0.23</v>
      </c>
      <c r="J1058">
        <v>280.73</v>
      </c>
      <c r="K1058">
        <f t="shared" si="48"/>
        <v>364.59</v>
      </c>
      <c r="L1058">
        <f t="shared" si="49"/>
        <v>83.859999999999957</v>
      </c>
      <c r="M1058">
        <f t="shared" si="50"/>
        <v>280.73</v>
      </c>
      <c r="N1058" t="s">
        <v>33</v>
      </c>
      <c r="O1058" t="s">
        <v>29</v>
      </c>
      <c r="P1058" t="s">
        <v>21</v>
      </c>
      <c r="Q1058" t="s">
        <v>22</v>
      </c>
    </row>
    <row r="1059" spans="1:17" x14ac:dyDescent="0.3">
      <c r="A1059" t="s">
        <v>1120</v>
      </c>
      <c r="B1059" s="1">
        <v>45743</v>
      </c>
      <c r="C1059" t="s">
        <v>36</v>
      </c>
      <c r="D1059" t="s">
        <v>16</v>
      </c>
      <c r="E1059" t="s">
        <v>61</v>
      </c>
      <c r="F1059" t="s">
        <v>75</v>
      </c>
      <c r="G1059">
        <v>5</v>
      </c>
      <c r="H1059">
        <v>1132.77</v>
      </c>
      <c r="I1059">
        <v>0.09</v>
      </c>
      <c r="J1059">
        <v>5154.1000000000004</v>
      </c>
      <c r="K1059">
        <f t="shared" si="48"/>
        <v>5663.85</v>
      </c>
      <c r="L1059">
        <f t="shared" si="49"/>
        <v>509.75</v>
      </c>
      <c r="M1059">
        <f t="shared" si="50"/>
        <v>5154.1000000000004</v>
      </c>
      <c r="N1059" t="s">
        <v>19</v>
      </c>
      <c r="O1059" t="s">
        <v>34</v>
      </c>
      <c r="P1059" t="s">
        <v>54</v>
      </c>
      <c r="Q1059" t="s">
        <v>59</v>
      </c>
    </row>
    <row r="1060" spans="1:17" x14ac:dyDescent="0.3">
      <c r="A1060" t="s">
        <v>1121</v>
      </c>
      <c r="B1060" s="1">
        <v>45788</v>
      </c>
      <c r="C1060" t="s">
        <v>24</v>
      </c>
      <c r="D1060" t="s">
        <v>16</v>
      </c>
      <c r="E1060" t="s">
        <v>49</v>
      </c>
      <c r="F1060" t="s">
        <v>50</v>
      </c>
      <c r="G1060">
        <v>1</v>
      </c>
      <c r="H1060">
        <v>1424.46</v>
      </c>
      <c r="I1060">
        <v>0.15</v>
      </c>
      <c r="J1060">
        <v>1210.79</v>
      </c>
      <c r="K1060">
        <f t="shared" si="48"/>
        <v>1424.46</v>
      </c>
      <c r="L1060">
        <f t="shared" si="49"/>
        <v>213.67000000000007</v>
      </c>
      <c r="M1060">
        <f t="shared" si="50"/>
        <v>1210.79</v>
      </c>
      <c r="N1060" t="s">
        <v>58</v>
      </c>
      <c r="O1060" t="s">
        <v>34</v>
      </c>
      <c r="P1060" t="s">
        <v>30</v>
      </c>
      <c r="Q1060" t="s">
        <v>22</v>
      </c>
    </row>
    <row r="1061" spans="1:17" x14ac:dyDescent="0.3">
      <c r="A1061" t="s">
        <v>1122</v>
      </c>
      <c r="B1061" s="1">
        <v>45731</v>
      </c>
      <c r="C1061" t="s">
        <v>48</v>
      </c>
      <c r="D1061" t="s">
        <v>43</v>
      </c>
      <c r="E1061" t="s">
        <v>27</v>
      </c>
      <c r="F1061" t="s">
        <v>87</v>
      </c>
      <c r="G1061">
        <v>4</v>
      </c>
      <c r="H1061">
        <v>2275.6999999999998</v>
      </c>
      <c r="I1061">
        <v>0.06</v>
      </c>
      <c r="J1061">
        <v>8556.6299999999992</v>
      </c>
      <c r="K1061">
        <f t="shared" si="48"/>
        <v>9102.7999999999993</v>
      </c>
      <c r="L1061">
        <f t="shared" si="49"/>
        <v>546.17000000000007</v>
      </c>
      <c r="M1061">
        <f t="shared" si="50"/>
        <v>8556.6299999999992</v>
      </c>
      <c r="N1061" t="s">
        <v>58</v>
      </c>
      <c r="O1061" t="s">
        <v>34</v>
      </c>
      <c r="P1061" t="s">
        <v>30</v>
      </c>
      <c r="Q1061" t="s">
        <v>22</v>
      </c>
    </row>
    <row r="1062" spans="1:17" x14ac:dyDescent="0.3">
      <c r="A1062" t="s">
        <v>1123</v>
      </c>
      <c r="B1062" s="1">
        <v>45673</v>
      </c>
      <c r="C1062" t="s">
        <v>15</v>
      </c>
      <c r="D1062" t="s">
        <v>39</v>
      </c>
      <c r="E1062" t="s">
        <v>27</v>
      </c>
      <c r="F1062" t="s">
        <v>79</v>
      </c>
      <c r="G1062">
        <v>3</v>
      </c>
      <c r="H1062">
        <v>4692.3999999999996</v>
      </c>
      <c r="I1062">
        <v>0.23</v>
      </c>
      <c r="J1062">
        <v>10839.44</v>
      </c>
      <c r="K1062">
        <f t="shared" si="48"/>
        <v>14077.199999999999</v>
      </c>
      <c r="L1062">
        <f t="shared" si="49"/>
        <v>3237.7599999999984</v>
      </c>
      <c r="M1062">
        <f t="shared" si="50"/>
        <v>10839.44</v>
      </c>
      <c r="N1062" t="s">
        <v>58</v>
      </c>
      <c r="O1062" t="s">
        <v>29</v>
      </c>
      <c r="P1062" t="s">
        <v>30</v>
      </c>
      <c r="Q1062" t="s">
        <v>88</v>
      </c>
    </row>
    <row r="1063" spans="1:17" x14ac:dyDescent="0.3">
      <c r="A1063" t="s">
        <v>1124</v>
      </c>
      <c r="B1063" s="1">
        <v>45758</v>
      </c>
      <c r="C1063" t="s">
        <v>24</v>
      </c>
      <c r="D1063" t="s">
        <v>16</v>
      </c>
      <c r="E1063" t="s">
        <v>27</v>
      </c>
      <c r="F1063" t="s">
        <v>68</v>
      </c>
      <c r="G1063">
        <v>5</v>
      </c>
      <c r="H1063">
        <v>2226.9699999999998</v>
      </c>
      <c r="I1063">
        <v>0.11</v>
      </c>
      <c r="J1063">
        <v>9910.02</v>
      </c>
      <c r="K1063">
        <f t="shared" si="48"/>
        <v>11134.849999999999</v>
      </c>
      <c r="L1063">
        <f t="shared" si="49"/>
        <v>1224.8299999999981</v>
      </c>
      <c r="M1063">
        <f t="shared" si="50"/>
        <v>9910.02</v>
      </c>
      <c r="N1063" t="s">
        <v>46</v>
      </c>
      <c r="O1063" t="s">
        <v>29</v>
      </c>
      <c r="P1063" t="s">
        <v>21</v>
      </c>
      <c r="Q1063" t="s">
        <v>88</v>
      </c>
    </row>
    <row r="1064" spans="1:17" x14ac:dyDescent="0.3">
      <c r="A1064" t="s">
        <v>1125</v>
      </c>
      <c r="B1064" s="1">
        <v>45785</v>
      </c>
      <c r="C1064" t="s">
        <v>15</v>
      </c>
      <c r="D1064" t="s">
        <v>39</v>
      </c>
      <c r="E1064" t="s">
        <v>27</v>
      </c>
      <c r="F1064" t="s">
        <v>87</v>
      </c>
      <c r="G1064">
        <v>4</v>
      </c>
      <c r="H1064">
        <v>2905.75</v>
      </c>
      <c r="I1064">
        <v>0.14000000000000001</v>
      </c>
      <c r="J1064">
        <v>9995.7800000000007</v>
      </c>
      <c r="K1064">
        <f t="shared" si="48"/>
        <v>11623</v>
      </c>
      <c r="L1064">
        <f t="shared" si="49"/>
        <v>1627.2199999999993</v>
      </c>
      <c r="M1064">
        <f t="shared" si="50"/>
        <v>9995.7800000000007</v>
      </c>
      <c r="N1064" t="s">
        <v>33</v>
      </c>
      <c r="O1064" t="s">
        <v>34</v>
      </c>
      <c r="P1064" t="s">
        <v>21</v>
      </c>
      <c r="Q1064" t="s">
        <v>22</v>
      </c>
    </row>
    <row r="1065" spans="1:17" x14ac:dyDescent="0.3">
      <c r="A1065" t="s">
        <v>1126</v>
      </c>
      <c r="B1065" s="1">
        <v>45726</v>
      </c>
      <c r="C1065" t="s">
        <v>52</v>
      </c>
      <c r="D1065" t="s">
        <v>43</v>
      </c>
      <c r="E1065" t="s">
        <v>49</v>
      </c>
      <c r="F1065" t="s">
        <v>50</v>
      </c>
      <c r="G1065">
        <v>3</v>
      </c>
      <c r="H1065">
        <v>4017.99</v>
      </c>
      <c r="I1065">
        <v>0.24</v>
      </c>
      <c r="J1065">
        <v>9161.02</v>
      </c>
      <c r="K1065">
        <f t="shared" si="48"/>
        <v>12053.97</v>
      </c>
      <c r="L1065">
        <f t="shared" si="49"/>
        <v>2892.9499999999989</v>
      </c>
      <c r="M1065">
        <f t="shared" si="50"/>
        <v>9161.02</v>
      </c>
      <c r="N1065" t="s">
        <v>19</v>
      </c>
      <c r="O1065" t="s">
        <v>20</v>
      </c>
      <c r="P1065" t="s">
        <v>54</v>
      </c>
      <c r="Q1065" t="s">
        <v>88</v>
      </c>
    </row>
    <row r="1066" spans="1:17" x14ac:dyDescent="0.3">
      <c r="A1066" t="s">
        <v>1127</v>
      </c>
      <c r="B1066" s="1">
        <v>45662</v>
      </c>
      <c r="C1066" t="s">
        <v>36</v>
      </c>
      <c r="D1066" t="s">
        <v>16</v>
      </c>
      <c r="E1066" t="s">
        <v>99</v>
      </c>
      <c r="F1066" t="s">
        <v>111</v>
      </c>
      <c r="G1066">
        <v>5</v>
      </c>
      <c r="H1066">
        <v>1443.92</v>
      </c>
      <c r="I1066">
        <v>7.0000000000000007E-2</v>
      </c>
      <c r="J1066">
        <v>6714.23</v>
      </c>
      <c r="K1066">
        <f t="shared" si="48"/>
        <v>7219.6</v>
      </c>
      <c r="L1066">
        <f t="shared" si="49"/>
        <v>505.3700000000008</v>
      </c>
      <c r="M1066">
        <f t="shared" si="50"/>
        <v>6714.23</v>
      </c>
      <c r="N1066" t="s">
        <v>41</v>
      </c>
      <c r="O1066" t="s">
        <v>20</v>
      </c>
      <c r="P1066" t="s">
        <v>30</v>
      </c>
      <c r="Q1066" t="s">
        <v>22</v>
      </c>
    </row>
    <row r="1067" spans="1:17" x14ac:dyDescent="0.3">
      <c r="A1067" t="s">
        <v>1128</v>
      </c>
      <c r="B1067" s="1">
        <v>45824</v>
      </c>
      <c r="C1067" t="s">
        <v>15</v>
      </c>
      <c r="D1067" t="s">
        <v>39</v>
      </c>
      <c r="E1067" t="s">
        <v>27</v>
      </c>
      <c r="F1067" t="s">
        <v>28</v>
      </c>
      <c r="G1067">
        <v>4</v>
      </c>
      <c r="H1067">
        <v>184.61</v>
      </c>
      <c r="I1067">
        <v>0</v>
      </c>
      <c r="J1067">
        <v>738.44</v>
      </c>
      <c r="K1067">
        <f t="shared" si="48"/>
        <v>738.44</v>
      </c>
      <c r="L1067">
        <f t="shared" si="49"/>
        <v>0</v>
      </c>
      <c r="M1067">
        <f t="shared" si="50"/>
        <v>738.44</v>
      </c>
      <c r="N1067" t="s">
        <v>19</v>
      </c>
      <c r="O1067" t="s">
        <v>34</v>
      </c>
      <c r="P1067" t="s">
        <v>54</v>
      </c>
      <c r="Q1067" t="s">
        <v>22</v>
      </c>
    </row>
    <row r="1068" spans="1:17" x14ac:dyDescent="0.3">
      <c r="A1068" t="s">
        <v>1129</v>
      </c>
      <c r="B1068" s="1">
        <v>45741</v>
      </c>
      <c r="C1068" t="s">
        <v>48</v>
      </c>
      <c r="D1068" t="s">
        <v>16</v>
      </c>
      <c r="E1068" t="s">
        <v>27</v>
      </c>
      <c r="F1068" t="s">
        <v>68</v>
      </c>
      <c r="G1068">
        <v>1</v>
      </c>
      <c r="H1068">
        <v>1454.58</v>
      </c>
      <c r="I1068">
        <v>0.15</v>
      </c>
      <c r="J1068">
        <v>1236.3900000000001</v>
      </c>
      <c r="K1068">
        <f t="shared" si="48"/>
        <v>1454.58</v>
      </c>
      <c r="L1068">
        <f t="shared" si="49"/>
        <v>218.18999999999983</v>
      </c>
      <c r="M1068">
        <f t="shared" si="50"/>
        <v>1236.3900000000001</v>
      </c>
      <c r="N1068" t="s">
        <v>58</v>
      </c>
      <c r="O1068" t="s">
        <v>29</v>
      </c>
      <c r="P1068" t="s">
        <v>30</v>
      </c>
      <c r="Q1068" t="s">
        <v>22</v>
      </c>
    </row>
    <row r="1069" spans="1:17" x14ac:dyDescent="0.3">
      <c r="A1069" t="s">
        <v>1130</v>
      </c>
      <c r="B1069" s="1">
        <v>45819</v>
      </c>
      <c r="C1069" t="s">
        <v>15</v>
      </c>
      <c r="D1069" t="s">
        <v>16</v>
      </c>
      <c r="E1069" t="s">
        <v>99</v>
      </c>
      <c r="F1069" t="s">
        <v>111</v>
      </c>
      <c r="G1069">
        <v>2</v>
      </c>
      <c r="H1069">
        <v>3188.66</v>
      </c>
      <c r="I1069">
        <v>0.04</v>
      </c>
      <c r="J1069">
        <v>6122.23</v>
      </c>
      <c r="K1069">
        <f t="shared" si="48"/>
        <v>6377.32</v>
      </c>
      <c r="L1069">
        <f t="shared" si="49"/>
        <v>255.09000000000015</v>
      </c>
      <c r="M1069">
        <f t="shared" si="50"/>
        <v>6122.23</v>
      </c>
      <c r="N1069" t="s">
        <v>41</v>
      </c>
      <c r="O1069" t="s">
        <v>20</v>
      </c>
      <c r="P1069" t="s">
        <v>21</v>
      </c>
      <c r="Q1069" t="s">
        <v>22</v>
      </c>
    </row>
    <row r="1070" spans="1:17" x14ac:dyDescent="0.3">
      <c r="A1070" t="s">
        <v>1131</v>
      </c>
      <c r="B1070" s="1">
        <v>45755</v>
      </c>
      <c r="C1070" t="s">
        <v>36</v>
      </c>
      <c r="D1070" t="s">
        <v>39</v>
      </c>
      <c r="E1070" t="s">
        <v>17</v>
      </c>
      <c r="F1070" t="s">
        <v>44</v>
      </c>
      <c r="G1070">
        <v>3</v>
      </c>
      <c r="H1070">
        <v>305.58</v>
      </c>
      <c r="I1070">
        <v>0.18</v>
      </c>
      <c r="J1070">
        <v>751.73</v>
      </c>
      <c r="K1070">
        <f t="shared" si="48"/>
        <v>916.74</v>
      </c>
      <c r="L1070">
        <f t="shared" si="49"/>
        <v>165.01</v>
      </c>
      <c r="M1070">
        <f t="shared" si="50"/>
        <v>751.73</v>
      </c>
      <c r="N1070" t="s">
        <v>41</v>
      </c>
      <c r="O1070" t="s">
        <v>29</v>
      </c>
      <c r="P1070" t="s">
        <v>54</v>
      </c>
      <c r="Q1070" t="s">
        <v>59</v>
      </c>
    </row>
    <row r="1071" spans="1:17" x14ac:dyDescent="0.3">
      <c r="A1071" t="s">
        <v>1132</v>
      </c>
      <c r="B1071" s="1">
        <v>45680</v>
      </c>
      <c r="C1071" t="s">
        <v>36</v>
      </c>
      <c r="D1071" t="s">
        <v>16</v>
      </c>
      <c r="E1071" t="s">
        <v>17</v>
      </c>
      <c r="F1071" t="s">
        <v>32</v>
      </c>
      <c r="G1071">
        <v>2</v>
      </c>
      <c r="H1071">
        <v>1813.68</v>
      </c>
      <c r="I1071">
        <v>0.02</v>
      </c>
      <c r="J1071">
        <v>3554.81</v>
      </c>
      <c r="K1071">
        <f t="shared" si="48"/>
        <v>3627.36</v>
      </c>
      <c r="L1071">
        <f t="shared" si="49"/>
        <v>72.550000000000182</v>
      </c>
      <c r="M1071">
        <f t="shared" si="50"/>
        <v>3554.81</v>
      </c>
      <c r="N1071" t="s">
        <v>58</v>
      </c>
      <c r="O1071" t="s">
        <v>29</v>
      </c>
      <c r="P1071" t="s">
        <v>30</v>
      </c>
      <c r="Q1071" t="s">
        <v>22</v>
      </c>
    </row>
    <row r="1072" spans="1:17" x14ac:dyDescent="0.3">
      <c r="A1072" t="s">
        <v>1133</v>
      </c>
      <c r="B1072" s="1">
        <v>45744</v>
      </c>
      <c r="C1072" t="s">
        <v>15</v>
      </c>
      <c r="D1072" t="s">
        <v>43</v>
      </c>
      <c r="E1072" t="s">
        <v>61</v>
      </c>
      <c r="F1072" t="s">
        <v>75</v>
      </c>
      <c r="G1072">
        <v>4</v>
      </c>
      <c r="H1072">
        <v>449.83</v>
      </c>
      <c r="I1072">
        <v>0.11</v>
      </c>
      <c r="J1072">
        <v>1601.39</v>
      </c>
      <c r="K1072">
        <f t="shared" si="48"/>
        <v>1799.32</v>
      </c>
      <c r="L1072">
        <f t="shared" si="49"/>
        <v>197.92999999999984</v>
      </c>
      <c r="M1072">
        <f t="shared" si="50"/>
        <v>1601.39</v>
      </c>
      <c r="N1072" t="s">
        <v>33</v>
      </c>
      <c r="O1072" t="s">
        <v>34</v>
      </c>
      <c r="P1072" t="s">
        <v>30</v>
      </c>
      <c r="Q1072" t="s">
        <v>22</v>
      </c>
    </row>
    <row r="1073" spans="1:17" x14ac:dyDescent="0.3">
      <c r="A1073" t="s">
        <v>1134</v>
      </c>
      <c r="B1073" s="1">
        <v>45730</v>
      </c>
      <c r="C1073" t="s">
        <v>15</v>
      </c>
      <c r="D1073" t="s">
        <v>16</v>
      </c>
      <c r="E1073" t="s">
        <v>27</v>
      </c>
      <c r="F1073" t="s">
        <v>28</v>
      </c>
      <c r="G1073">
        <v>3</v>
      </c>
      <c r="H1073">
        <v>2406.36</v>
      </c>
      <c r="I1073">
        <v>0.24</v>
      </c>
      <c r="J1073">
        <v>5486.5</v>
      </c>
      <c r="K1073">
        <f t="shared" si="48"/>
        <v>7219.08</v>
      </c>
      <c r="L1073">
        <f t="shared" si="49"/>
        <v>1732.58</v>
      </c>
      <c r="M1073">
        <f t="shared" si="50"/>
        <v>5486.5</v>
      </c>
      <c r="N1073" t="s">
        <v>41</v>
      </c>
      <c r="O1073" t="s">
        <v>29</v>
      </c>
      <c r="P1073" t="s">
        <v>21</v>
      </c>
      <c r="Q1073" t="s">
        <v>22</v>
      </c>
    </row>
    <row r="1074" spans="1:17" x14ac:dyDescent="0.3">
      <c r="A1074" t="s">
        <v>1135</v>
      </c>
      <c r="B1074" s="1">
        <v>45783</v>
      </c>
      <c r="C1074" t="s">
        <v>52</v>
      </c>
      <c r="D1074" t="s">
        <v>39</v>
      </c>
      <c r="E1074" t="s">
        <v>17</v>
      </c>
      <c r="F1074" t="s">
        <v>32</v>
      </c>
      <c r="G1074">
        <v>1</v>
      </c>
      <c r="H1074">
        <v>3084.29</v>
      </c>
      <c r="I1074">
        <v>0.2</v>
      </c>
      <c r="J1074">
        <v>2467.4299999999998</v>
      </c>
      <c r="K1074">
        <f t="shared" si="48"/>
        <v>3084.29</v>
      </c>
      <c r="L1074">
        <f t="shared" si="49"/>
        <v>616.86000000000013</v>
      </c>
      <c r="M1074">
        <f t="shared" si="50"/>
        <v>2467.4299999999998</v>
      </c>
      <c r="N1074" t="s">
        <v>33</v>
      </c>
      <c r="O1074" t="s">
        <v>20</v>
      </c>
      <c r="P1074" t="s">
        <v>21</v>
      </c>
      <c r="Q1074" t="s">
        <v>37</v>
      </c>
    </row>
    <row r="1075" spans="1:17" x14ac:dyDescent="0.3">
      <c r="A1075" t="s">
        <v>1136</v>
      </c>
      <c r="B1075" s="1">
        <v>45833</v>
      </c>
      <c r="C1075" t="s">
        <v>52</v>
      </c>
      <c r="D1075" t="s">
        <v>25</v>
      </c>
      <c r="E1075" t="s">
        <v>49</v>
      </c>
      <c r="F1075" t="s">
        <v>56</v>
      </c>
      <c r="G1075">
        <v>1</v>
      </c>
      <c r="H1075">
        <v>4780.38</v>
      </c>
      <c r="I1075">
        <v>0.24</v>
      </c>
      <c r="J1075">
        <v>3633.09</v>
      </c>
      <c r="K1075">
        <f t="shared" si="48"/>
        <v>4780.38</v>
      </c>
      <c r="L1075">
        <f t="shared" si="49"/>
        <v>1147.29</v>
      </c>
      <c r="M1075">
        <f t="shared" si="50"/>
        <v>3633.09</v>
      </c>
      <c r="N1075" t="s">
        <v>41</v>
      </c>
      <c r="O1075" t="s">
        <v>29</v>
      </c>
      <c r="P1075" t="s">
        <v>54</v>
      </c>
      <c r="Q1075" t="s">
        <v>22</v>
      </c>
    </row>
    <row r="1076" spans="1:17" x14ac:dyDescent="0.3">
      <c r="A1076" t="s">
        <v>1137</v>
      </c>
      <c r="B1076" s="1">
        <v>45820</v>
      </c>
      <c r="C1076" t="s">
        <v>36</v>
      </c>
      <c r="D1076" t="s">
        <v>39</v>
      </c>
      <c r="E1076" t="s">
        <v>17</v>
      </c>
      <c r="F1076" t="s">
        <v>18</v>
      </c>
      <c r="G1076">
        <v>5</v>
      </c>
      <c r="H1076">
        <v>2649.65</v>
      </c>
      <c r="I1076">
        <v>0.08</v>
      </c>
      <c r="J1076">
        <v>12188.39</v>
      </c>
      <c r="K1076">
        <f t="shared" si="48"/>
        <v>13248.25</v>
      </c>
      <c r="L1076">
        <f t="shared" si="49"/>
        <v>1059.8600000000006</v>
      </c>
      <c r="M1076">
        <f t="shared" si="50"/>
        <v>12188.39</v>
      </c>
      <c r="N1076" t="s">
        <v>41</v>
      </c>
      <c r="O1076" t="s">
        <v>29</v>
      </c>
      <c r="P1076" t="s">
        <v>54</v>
      </c>
      <c r="Q1076" t="s">
        <v>37</v>
      </c>
    </row>
    <row r="1077" spans="1:17" x14ac:dyDescent="0.3">
      <c r="A1077" t="s">
        <v>1138</v>
      </c>
      <c r="B1077" s="1">
        <v>45749</v>
      </c>
      <c r="C1077" t="s">
        <v>15</v>
      </c>
      <c r="D1077" t="s">
        <v>25</v>
      </c>
      <c r="E1077" t="s">
        <v>99</v>
      </c>
      <c r="F1077" t="s">
        <v>100</v>
      </c>
      <c r="G1077">
        <v>3</v>
      </c>
      <c r="H1077">
        <v>3766.12</v>
      </c>
      <c r="I1077">
        <v>0.03</v>
      </c>
      <c r="J1077">
        <v>10959.41</v>
      </c>
      <c r="K1077">
        <f t="shared" si="48"/>
        <v>11298.36</v>
      </c>
      <c r="L1077">
        <f t="shared" si="49"/>
        <v>338.95000000000073</v>
      </c>
      <c r="M1077">
        <f t="shared" si="50"/>
        <v>10959.41</v>
      </c>
      <c r="N1077" t="s">
        <v>19</v>
      </c>
      <c r="O1077" t="s">
        <v>34</v>
      </c>
      <c r="P1077" t="s">
        <v>54</v>
      </c>
      <c r="Q1077" t="s">
        <v>22</v>
      </c>
    </row>
    <row r="1078" spans="1:17" x14ac:dyDescent="0.3">
      <c r="A1078" t="s">
        <v>1139</v>
      </c>
      <c r="B1078" s="1">
        <v>45797</v>
      </c>
      <c r="C1078" t="s">
        <v>24</v>
      </c>
      <c r="D1078" t="s">
        <v>43</v>
      </c>
      <c r="E1078" t="s">
        <v>49</v>
      </c>
      <c r="F1078" t="s">
        <v>53</v>
      </c>
      <c r="G1078">
        <v>5</v>
      </c>
      <c r="H1078">
        <v>474.57</v>
      </c>
      <c r="I1078">
        <v>0.09</v>
      </c>
      <c r="J1078">
        <v>2159.29</v>
      </c>
      <c r="K1078">
        <f t="shared" si="48"/>
        <v>2372.85</v>
      </c>
      <c r="L1078">
        <f t="shared" si="49"/>
        <v>213.55999999999995</v>
      </c>
      <c r="M1078">
        <f t="shared" si="50"/>
        <v>2159.29</v>
      </c>
      <c r="N1078" t="s">
        <v>46</v>
      </c>
      <c r="O1078" t="s">
        <v>29</v>
      </c>
      <c r="P1078" t="s">
        <v>30</v>
      </c>
      <c r="Q1078" t="s">
        <v>22</v>
      </c>
    </row>
    <row r="1079" spans="1:17" x14ac:dyDescent="0.3">
      <c r="A1079" t="s">
        <v>1140</v>
      </c>
      <c r="B1079" s="1">
        <v>45689</v>
      </c>
      <c r="C1079" t="s">
        <v>36</v>
      </c>
      <c r="D1079" t="s">
        <v>43</v>
      </c>
      <c r="E1079" t="s">
        <v>49</v>
      </c>
      <c r="F1079" t="s">
        <v>73</v>
      </c>
      <c r="G1079">
        <v>2</v>
      </c>
      <c r="H1079">
        <v>3904.6</v>
      </c>
      <c r="I1079">
        <v>0.1</v>
      </c>
      <c r="J1079">
        <v>7028.28</v>
      </c>
      <c r="K1079">
        <f t="shared" si="48"/>
        <v>7809.2</v>
      </c>
      <c r="L1079">
        <f t="shared" si="49"/>
        <v>780.92000000000007</v>
      </c>
      <c r="M1079">
        <f t="shared" si="50"/>
        <v>7028.28</v>
      </c>
      <c r="N1079" t="s">
        <v>19</v>
      </c>
      <c r="O1079" t="s">
        <v>29</v>
      </c>
      <c r="P1079" t="s">
        <v>21</v>
      </c>
      <c r="Q1079" t="s">
        <v>22</v>
      </c>
    </row>
    <row r="1080" spans="1:17" x14ac:dyDescent="0.3">
      <c r="A1080" t="s">
        <v>1141</v>
      </c>
      <c r="B1080" s="1">
        <v>45744</v>
      </c>
      <c r="C1080" t="s">
        <v>15</v>
      </c>
      <c r="D1080" t="s">
        <v>25</v>
      </c>
      <c r="E1080" t="s">
        <v>99</v>
      </c>
      <c r="F1080" t="s">
        <v>111</v>
      </c>
      <c r="G1080">
        <v>4</v>
      </c>
      <c r="H1080">
        <v>2163.0100000000002</v>
      </c>
      <c r="I1080">
        <v>0.25</v>
      </c>
      <c r="J1080">
        <v>6489.03</v>
      </c>
      <c r="K1080">
        <f t="shared" si="48"/>
        <v>8652.0400000000009</v>
      </c>
      <c r="L1080">
        <f t="shared" si="49"/>
        <v>2163.0100000000011</v>
      </c>
      <c r="M1080">
        <f t="shared" si="50"/>
        <v>6489.03</v>
      </c>
      <c r="N1080" t="s">
        <v>58</v>
      </c>
      <c r="O1080" t="s">
        <v>20</v>
      </c>
      <c r="P1080" t="s">
        <v>21</v>
      </c>
      <c r="Q1080" t="s">
        <v>22</v>
      </c>
    </row>
    <row r="1081" spans="1:17" x14ac:dyDescent="0.3">
      <c r="A1081" t="s">
        <v>1142</v>
      </c>
      <c r="B1081" s="1">
        <v>45694</v>
      </c>
      <c r="C1081" t="s">
        <v>48</v>
      </c>
      <c r="D1081" t="s">
        <v>25</v>
      </c>
      <c r="E1081" t="s">
        <v>61</v>
      </c>
      <c r="F1081" t="s">
        <v>75</v>
      </c>
      <c r="G1081">
        <v>1</v>
      </c>
      <c r="H1081">
        <v>2151.27</v>
      </c>
      <c r="I1081">
        <v>0.19</v>
      </c>
      <c r="J1081">
        <v>1742.53</v>
      </c>
      <c r="K1081">
        <f t="shared" si="48"/>
        <v>2151.27</v>
      </c>
      <c r="L1081">
        <f t="shared" si="49"/>
        <v>408.74</v>
      </c>
      <c r="M1081">
        <f t="shared" si="50"/>
        <v>1742.53</v>
      </c>
      <c r="N1081" t="s">
        <v>58</v>
      </c>
      <c r="O1081" t="s">
        <v>20</v>
      </c>
      <c r="P1081" t="s">
        <v>21</v>
      </c>
      <c r="Q1081" t="s">
        <v>22</v>
      </c>
    </row>
    <row r="1082" spans="1:17" x14ac:dyDescent="0.3">
      <c r="A1082" t="s">
        <v>1143</v>
      </c>
      <c r="B1082" s="1">
        <v>45802</v>
      </c>
      <c r="C1082" t="s">
        <v>48</v>
      </c>
      <c r="D1082" t="s">
        <v>25</v>
      </c>
      <c r="E1082" t="s">
        <v>61</v>
      </c>
      <c r="F1082" t="s">
        <v>62</v>
      </c>
      <c r="G1082">
        <v>2</v>
      </c>
      <c r="H1082">
        <v>4950.67</v>
      </c>
      <c r="I1082">
        <v>0.03</v>
      </c>
      <c r="J1082">
        <v>9604.2999999999993</v>
      </c>
      <c r="K1082">
        <f t="shared" si="48"/>
        <v>9901.34</v>
      </c>
      <c r="L1082">
        <f t="shared" si="49"/>
        <v>297.04000000000087</v>
      </c>
      <c r="M1082">
        <f t="shared" si="50"/>
        <v>9604.2999999999993</v>
      </c>
      <c r="N1082" t="s">
        <v>58</v>
      </c>
      <c r="O1082" t="s">
        <v>29</v>
      </c>
      <c r="P1082" t="s">
        <v>21</v>
      </c>
      <c r="Q1082" t="s">
        <v>37</v>
      </c>
    </row>
    <row r="1083" spans="1:17" x14ac:dyDescent="0.3">
      <c r="A1083" t="s">
        <v>1144</v>
      </c>
      <c r="B1083" s="1">
        <v>45761</v>
      </c>
      <c r="C1083" t="s">
        <v>48</v>
      </c>
      <c r="D1083" t="s">
        <v>16</v>
      </c>
      <c r="E1083" t="s">
        <v>99</v>
      </c>
      <c r="F1083" t="s">
        <v>100</v>
      </c>
      <c r="G1083">
        <v>3</v>
      </c>
      <c r="H1083">
        <v>683.25</v>
      </c>
      <c r="I1083">
        <v>0.22</v>
      </c>
      <c r="J1083">
        <v>1598.81</v>
      </c>
      <c r="K1083">
        <f t="shared" si="48"/>
        <v>2049.75</v>
      </c>
      <c r="L1083">
        <f t="shared" si="49"/>
        <v>450.94000000000005</v>
      </c>
      <c r="M1083">
        <f t="shared" si="50"/>
        <v>1598.81</v>
      </c>
      <c r="N1083" t="s">
        <v>33</v>
      </c>
      <c r="O1083" t="s">
        <v>20</v>
      </c>
      <c r="P1083" t="s">
        <v>30</v>
      </c>
      <c r="Q1083" t="s">
        <v>59</v>
      </c>
    </row>
    <row r="1084" spans="1:17" x14ac:dyDescent="0.3">
      <c r="A1084" t="s">
        <v>1145</v>
      </c>
      <c r="B1084" s="1">
        <v>45786</v>
      </c>
      <c r="C1084" t="s">
        <v>15</v>
      </c>
      <c r="D1084" t="s">
        <v>43</v>
      </c>
      <c r="E1084" t="s">
        <v>17</v>
      </c>
      <c r="F1084" t="s">
        <v>18</v>
      </c>
      <c r="G1084">
        <v>4</v>
      </c>
      <c r="H1084">
        <v>3729.42</v>
      </c>
      <c r="I1084">
        <v>0.11</v>
      </c>
      <c r="J1084">
        <v>13276.74</v>
      </c>
      <c r="K1084">
        <f t="shared" si="48"/>
        <v>14917.68</v>
      </c>
      <c r="L1084">
        <f t="shared" si="49"/>
        <v>1640.9400000000005</v>
      </c>
      <c r="M1084">
        <f t="shared" si="50"/>
        <v>13276.74</v>
      </c>
      <c r="N1084" t="s">
        <v>41</v>
      </c>
      <c r="O1084" t="s">
        <v>34</v>
      </c>
      <c r="P1084" t="s">
        <v>30</v>
      </c>
      <c r="Q1084" t="s">
        <v>22</v>
      </c>
    </row>
    <row r="1085" spans="1:17" x14ac:dyDescent="0.3">
      <c r="A1085" t="s">
        <v>1146</v>
      </c>
      <c r="B1085" s="1">
        <v>45712</v>
      </c>
      <c r="C1085" t="s">
        <v>52</v>
      </c>
      <c r="D1085" t="s">
        <v>39</v>
      </c>
      <c r="E1085" t="s">
        <v>27</v>
      </c>
      <c r="F1085" t="s">
        <v>79</v>
      </c>
      <c r="G1085">
        <v>5</v>
      </c>
      <c r="H1085">
        <v>1912.38</v>
      </c>
      <c r="I1085">
        <v>0.16</v>
      </c>
      <c r="J1085">
        <v>8032</v>
      </c>
      <c r="K1085">
        <f t="shared" si="48"/>
        <v>9561.9000000000015</v>
      </c>
      <c r="L1085">
        <f t="shared" si="49"/>
        <v>1529.9000000000015</v>
      </c>
      <c r="M1085">
        <f t="shared" si="50"/>
        <v>8032</v>
      </c>
      <c r="N1085" t="s">
        <v>58</v>
      </c>
      <c r="O1085" t="s">
        <v>29</v>
      </c>
      <c r="P1085" t="s">
        <v>30</v>
      </c>
      <c r="Q1085" t="s">
        <v>22</v>
      </c>
    </row>
    <row r="1086" spans="1:17" x14ac:dyDescent="0.3">
      <c r="A1086" t="s">
        <v>1147</v>
      </c>
      <c r="B1086" s="1">
        <v>45779</v>
      </c>
      <c r="C1086" t="s">
        <v>24</v>
      </c>
      <c r="D1086" t="s">
        <v>25</v>
      </c>
      <c r="E1086" t="s">
        <v>27</v>
      </c>
      <c r="F1086" t="s">
        <v>28</v>
      </c>
      <c r="G1086">
        <v>4</v>
      </c>
      <c r="H1086">
        <v>1771.47</v>
      </c>
      <c r="I1086">
        <v>0.14000000000000001</v>
      </c>
      <c r="J1086">
        <v>6093.86</v>
      </c>
      <c r="K1086">
        <f t="shared" si="48"/>
        <v>7085.88</v>
      </c>
      <c r="L1086">
        <f t="shared" si="49"/>
        <v>992.02000000000044</v>
      </c>
      <c r="M1086">
        <f t="shared" si="50"/>
        <v>6093.86</v>
      </c>
      <c r="N1086" t="s">
        <v>19</v>
      </c>
      <c r="O1086" t="s">
        <v>34</v>
      </c>
      <c r="P1086" t="s">
        <v>21</v>
      </c>
      <c r="Q1086" t="s">
        <v>22</v>
      </c>
    </row>
    <row r="1087" spans="1:17" x14ac:dyDescent="0.3">
      <c r="A1087" t="s">
        <v>1148</v>
      </c>
      <c r="B1087" s="1">
        <v>45816</v>
      </c>
      <c r="C1087" t="s">
        <v>52</v>
      </c>
      <c r="D1087" t="s">
        <v>39</v>
      </c>
      <c r="E1087" t="s">
        <v>49</v>
      </c>
      <c r="F1087" t="s">
        <v>53</v>
      </c>
      <c r="G1087">
        <v>2</v>
      </c>
      <c r="H1087">
        <v>2209.63</v>
      </c>
      <c r="I1087">
        <v>7.0000000000000007E-2</v>
      </c>
      <c r="J1087">
        <v>4109.91</v>
      </c>
      <c r="K1087">
        <f t="shared" si="48"/>
        <v>4419.26</v>
      </c>
      <c r="L1087">
        <f t="shared" si="49"/>
        <v>309.35000000000036</v>
      </c>
      <c r="M1087">
        <f t="shared" si="50"/>
        <v>4109.91</v>
      </c>
      <c r="N1087" t="s">
        <v>19</v>
      </c>
      <c r="O1087" t="s">
        <v>20</v>
      </c>
      <c r="P1087" t="s">
        <v>21</v>
      </c>
      <c r="Q1087" t="s">
        <v>22</v>
      </c>
    </row>
    <row r="1088" spans="1:17" x14ac:dyDescent="0.3">
      <c r="A1088" t="s">
        <v>1149</v>
      </c>
      <c r="B1088" s="1">
        <v>45838</v>
      </c>
      <c r="C1088" t="s">
        <v>24</v>
      </c>
      <c r="D1088" t="s">
        <v>39</v>
      </c>
      <c r="E1088" t="s">
        <v>99</v>
      </c>
      <c r="F1088" t="s">
        <v>100</v>
      </c>
      <c r="G1088">
        <v>4</v>
      </c>
      <c r="H1088">
        <v>2250.69</v>
      </c>
      <c r="I1088">
        <v>0.22</v>
      </c>
      <c r="J1088">
        <v>7022.15</v>
      </c>
      <c r="K1088">
        <f t="shared" si="48"/>
        <v>9002.76</v>
      </c>
      <c r="L1088">
        <f t="shared" si="49"/>
        <v>1980.6100000000006</v>
      </c>
      <c r="M1088">
        <f t="shared" si="50"/>
        <v>7022.15</v>
      </c>
      <c r="N1088" t="s">
        <v>46</v>
      </c>
      <c r="O1088" t="s">
        <v>34</v>
      </c>
      <c r="P1088" t="s">
        <v>30</v>
      </c>
      <c r="Q1088" t="s">
        <v>59</v>
      </c>
    </row>
    <row r="1089" spans="1:17" x14ac:dyDescent="0.3">
      <c r="A1089" t="s">
        <v>1150</v>
      </c>
      <c r="B1089" s="1">
        <v>45764</v>
      </c>
      <c r="C1089" t="s">
        <v>15</v>
      </c>
      <c r="D1089" t="s">
        <v>16</v>
      </c>
      <c r="E1089" t="s">
        <v>17</v>
      </c>
      <c r="F1089" t="s">
        <v>44</v>
      </c>
      <c r="G1089">
        <v>2</v>
      </c>
      <c r="H1089">
        <v>2805.6</v>
      </c>
      <c r="I1089">
        <v>0.13</v>
      </c>
      <c r="J1089">
        <v>4881.74</v>
      </c>
      <c r="K1089">
        <f t="shared" si="48"/>
        <v>5611.2</v>
      </c>
      <c r="L1089">
        <f t="shared" si="49"/>
        <v>729.46</v>
      </c>
      <c r="M1089">
        <f t="shared" si="50"/>
        <v>4881.74</v>
      </c>
      <c r="N1089" t="s">
        <v>19</v>
      </c>
      <c r="O1089" t="s">
        <v>20</v>
      </c>
      <c r="P1089" t="s">
        <v>54</v>
      </c>
      <c r="Q1089" t="s">
        <v>22</v>
      </c>
    </row>
    <row r="1090" spans="1:17" x14ac:dyDescent="0.3">
      <c r="A1090" t="s">
        <v>1151</v>
      </c>
      <c r="B1090" s="1">
        <v>45810</v>
      </c>
      <c r="C1090" t="s">
        <v>24</v>
      </c>
      <c r="D1090" t="s">
        <v>25</v>
      </c>
      <c r="E1090" t="s">
        <v>17</v>
      </c>
      <c r="F1090" t="s">
        <v>44</v>
      </c>
      <c r="G1090">
        <v>3</v>
      </c>
      <c r="H1090">
        <v>1095.3900000000001</v>
      </c>
      <c r="I1090">
        <v>0.24</v>
      </c>
      <c r="J1090">
        <v>2497.4899999999998</v>
      </c>
      <c r="K1090">
        <f t="shared" si="48"/>
        <v>3286.17</v>
      </c>
      <c r="L1090">
        <f t="shared" si="49"/>
        <v>788.68000000000029</v>
      </c>
      <c r="M1090">
        <f t="shared" si="50"/>
        <v>2497.4899999999998</v>
      </c>
      <c r="N1090" t="s">
        <v>41</v>
      </c>
      <c r="O1090" t="s">
        <v>20</v>
      </c>
      <c r="P1090" t="s">
        <v>21</v>
      </c>
      <c r="Q1090" t="s">
        <v>22</v>
      </c>
    </row>
    <row r="1091" spans="1:17" x14ac:dyDescent="0.3">
      <c r="A1091" t="s">
        <v>1152</v>
      </c>
      <c r="B1091" s="1">
        <v>45753</v>
      </c>
      <c r="C1091" t="s">
        <v>48</v>
      </c>
      <c r="D1091" t="s">
        <v>16</v>
      </c>
      <c r="E1091" t="s">
        <v>27</v>
      </c>
      <c r="F1091" t="s">
        <v>68</v>
      </c>
      <c r="G1091">
        <v>1</v>
      </c>
      <c r="H1091">
        <v>2277.58</v>
      </c>
      <c r="I1091">
        <v>0.11</v>
      </c>
      <c r="J1091">
        <v>2027.05</v>
      </c>
      <c r="K1091">
        <f t="shared" ref="K1091:K1154" si="51">G1091*H1091</f>
        <v>2277.58</v>
      </c>
      <c r="L1091">
        <f t="shared" ref="L1091:L1154" si="52">K1091-J1091</f>
        <v>250.52999999999997</v>
      </c>
      <c r="M1091">
        <f t="shared" ref="M1091:M1154" si="53">K1091-L1091</f>
        <v>2027.05</v>
      </c>
      <c r="N1091" t="s">
        <v>46</v>
      </c>
      <c r="O1091" t="s">
        <v>20</v>
      </c>
      <c r="P1091" t="s">
        <v>30</v>
      </c>
      <c r="Q1091" t="s">
        <v>37</v>
      </c>
    </row>
    <row r="1092" spans="1:17" x14ac:dyDescent="0.3">
      <c r="A1092" t="s">
        <v>1153</v>
      </c>
      <c r="B1092" s="1">
        <v>45750</v>
      </c>
      <c r="C1092" t="s">
        <v>15</v>
      </c>
      <c r="D1092" t="s">
        <v>39</v>
      </c>
      <c r="E1092" t="s">
        <v>99</v>
      </c>
      <c r="F1092" t="s">
        <v>120</v>
      </c>
      <c r="G1092">
        <v>2</v>
      </c>
      <c r="H1092">
        <v>3664.07</v>
      </c>
      <c r="I1092">
        <v>0.08</v>
      </c>
      <c r="J1092">
        <v>6741.89</v>
      </c>
      <c r="K1092">
        <f t="shared" si="51"/>
        <v>7328.14</v>
      </c>
      <c r="L1092">
        <f t="shared" si="52"/>
        <v>586.25</v>
      </c>
      <c r="M1092">
        <f t="shared" si="53"/>
        <v>6741.89</v>
      </c>
      <c r="N1092" t="s">
        <v>58</v>
      </c>
      <c r="O1092" t="s">
        <v>29</v>
      </c>
      <c r="P1092" t="s">
        <v>21</v>
      </c>
      <c r="Q1092" t="s">
        <v>22</v>
      </c>
    </row>
    <row r="1093" spans="1:17" x14ac:dyDescent="0.3">
      <c r="A1093" t="s">
        <v>1154</v>
      </c>
      <c r="B1093" s="1">
        <v>45744</v>
      </c>
      <c r="C1093" t="s">
        <v>15</v>
      </c>
      <c r="D1093" t="s">
        <v>43</v>
      </c>
      <c r="E1093" t="s">
        <v>27</v>
      </c>
      <c r="F1093" t="s">
        <v>79</v>
      </c>
      <c r="G1093">
        <v>1</v>
      </c>
      <c r="H1093">
        <v>4668.6000000000004</v>
      </c>
      <c r="I1093">
        <v>0.2</v>
      </c>
      <c r="J1093">
        <v>3734.88</v>
      </c>
      <c r="K1093">
        <f t="shared" si="51"/>
        <v>4668.6000000000004</v>
      </c>
      <c r="L1093">
        <f t="shared" si="52"/>
        <v>933.72000000000025</v>
      </c>
      <c r="M1093">
        <f t="shared" si="53"/>
        <v>3734.88</v>
      </c>
      <c r="N1093" t="s">
        <v>58</v>
      </c>
      <c r="O1093" t="s">
        <v>34</v>
      </c>
      <c r="P1093" t="s">
        <v>30</v>
      </c>
      <c r="Q1093" t="s">
        <v>88</v>
      </c>
    </row>
    <row r="1094" spans="1:17" x14ac:dyDescent="0.3">
      <c r="A1094" t="s">
        <v>1155</v>
      </c>
      <c r="B1094" s="1">
        <v>45820</v>
      </c>
      <c r="C1094" t="s">
        <v>52</v>
      </c>
      <c r="D1094" t="s">
        <v>39</v>
      </c>
      <c r="E1094" t="s">
        <v>17</v>
      </c>
      <c r="F1094" t="s">
        <v>18</v>
      </c>
      <c r="G1094">
        <v>4</v>
      </c>
      <c r="H1094">
        <v>4373.3599999999997</v>
      </c>
      <c r="I1094">
        <v>0.06</v>
      </c>
      <c r="J1094">
        <v>16443.830000000002</v>
      </c>
      <c r="K1094">
        <f t="shared" si="51"/>
        <v>17493.439999999999</v>
      </c>
      <c r="L1094">
        <f t="shared" si="52"/>
        <v>1049.6099999999969</v>
      </c>
      <c r="M1094">
        <f t="shared" si="53"/>
        <v>16443.830000000002</v>
      </c>
      <c r="N1094" t="s">
        <v>19</v>
      </c>
      <c r="O1094" t="s">
        <v>29</v>
      </c>
      <c r="P1094" t="s">
        <v>54</v>
      </c>
      <c r="Q1094" t="s">
        <v>22</v>
      </c>
    </row>
    <row r="1095" spans="1:17" x14ac:dyDescent="0.3">
      <c r="A1095" t="s">
        <v>1156</v>
      </c>
      <c r="B1095" s="1">
        <v>45801</v>
      </c>
      <c r="C1095" t="s">
        <v>48</v>
      </c>
      <c r="D1095" t="s">
        <v>43</v>
      </c>
      <c r="E1095" t="s">
        <v>49</v>
      </c>
      <c r="F1095" t="s">
        <v>73</v>
      </c>
      <c r="G1095">
        <v>2</v>
      </c>
      <c r="H1095">
        <v>3210.39</v>
      </c>
      <c r="I1095">
        <v>0.02</v>
      </c>
      <c r="J1095">
        <v>6292.36</v>
      </c>
      <c r="K1095">
        <f t="shared" si="51"/>
        <v>6420.78</v>
      </c>
      <c r="L1095">
        <f t="shared" si="52"/>
        <v>128.42000000000007</v>
      </c>
      <c r="M1095">
        <f t="shared" si="53"/>
        <v>6292.36</v>
      </c>
      <c r="N1095" t="s">
        <v>46</v>
      </c>
      <c r="O1095" t="s">
        <v>20</v>
      </c>
      <c r="P1095" t="s">
        <v>21</v>
      </c>
      <c r="Q1095" t="s">
        <v>22</v>
      </c>
    </row>
    <row r="1096" spans="1:17" x14ac:dyDescent="0.3">
      <c r="A1096" t="s">
        <v>1157</v>
      </c>
      <c r="B1096" s="1">
        <v>45775</v>
      </c>
      <c r="C1096" t="s">
        <v>36</v>
      </c>
      <c r="D1096" t="s">
        <v>25</v>
      </c>
      <c r="E1096" t="s">
        <v>17</v>
      </c>
      <c r="F1096" t="s">
        <v>40</v>
      </c>
      <c r="G1096">
        <v>2</v>
      </c>
      <c r="H1096">
        <v>290.18</v>
      </c>
      <c r="I1096">
        <v>0.17</v>
      </c>
      <c r="J1096">
        <v>481.7</v>
      </c>
      <c r="K1096">
        <f t="shared" si="51"/>
        <v>580.36</v>
      </c>
      <c r="L1096">
        <f t="shared" si="52"/>
        <v>98.660000000000025</v>
      </c>
      <c r="M1096">
        <f t="shared" si="53"/>
        <v>481.7</v>
      </c>
      <c r="N1096" t="s">
        <v>33</v>
      </c>
      <c r="O1096" t="s">
        <v>20</v>
      </c>
      <c r="P1096" t="s">
        <v>21</v>
      </c>
      <c r="Q1096" t="s">
        <v>22</v>
      </c>
    </row>
    <row r="1097" spans="1:17" x14ac:dyDescent="0.3">
      <c r="A1097" t="s">
        <v>1158</v>
      </c>
      <c r="B1097" s="1">
        <v>45712</v>
      </c>
      <c r="C1097" t="s">
        <v>48</v>
      </c>
      <c r="D1097" t="s">
        <v>25</v>
      </c>
      <c r="E1097" t="s">
        <v>61</v>
      </c>
      <c r="F1097" t="s">
        <v>66</v>
      </c>
      <c r="G1097">
        <v>2</v>
      </c>
      <c r="H1097">
        <v>4401.66</v>
      </c>
      <c r="I1097">
        <v>0.21</v>
      </c>
      <c r="J1097">
        <v>6954.62</v>
      </c>
      <c r="K1097">
        <f t="shared" si="51"/>
        <v>8803.32</v>
      </c>
      <c r="L1097">
        <f t="shared" si="52"/>
        <v>1848.6999999999998</v>
      </c>
      <c r="M1097">
        <f t="shared" si="53"/>
        <v>6954.62</v>
      </c>
      <c r="N1097" t="s">
        <v>33</v>
      </c>
      <c r="O1097" t="s">
        <v>29</v>
      </c>
      <c r="P1097" t="s">
        <v>30</v>
      </c>
      <c r="Q1097" t="s">
        <v>22</v>
      </c>
    </row>
    <row r="1098" spans="1:17" x14ac:dyDescent="0.3">
      <c r="A1098" t="s">
        <v>1159</v>
      </c>
      <c r="B1098" s="1">
        <v>45722</v>
      </c>
      <c r="C1098" t="s">
        <v>36</v>
      </c>
      <c r="D1098" t="s">
        <v>25</v>
      </c>
      <c r="E1098" t="s">
        <v>49</v>
      </c>
      <c r="F1098" t="s">
        <v>53</v>
      </c>
      <c r="G1098">
        <v>1</v>
      </c>
      <c r="H1098">
        <v>1172.76</v>
      </c>
      <c r="I1098">
        <v>0.24</v>
      </c>
      <c r="J1098">
        <v>891.3</v>
      </c>
      <c r="K1098">
        <f t="shared" si="51"/>
        <v>1172.76</v>
      </c>
      <c r="L1098">
        <f t="shared" si="52"/>
        <v>281.46000000000004</v>
      </c>
      <c r="M1098">
        <f t="shared" si="53"/>
        <v>891.3</v>
      </c>
      <c r="N1098" t="s">
        <v>41</v>
      </c>
      <c r="O1098" t="s">
        <v>34</v>
      </c>
      <c r="P1098" t="s">
        <v>30</v>
      </c>
      <c r="Q1098" t="s">
        <v>59</v>
      </c>
    </row>
    <row r="1099" spans="1:17" x14ac:dyDescent="0.3">
      <c r="A1099" t="s">
        <v>1160</v>
      </c>
      <c r="B1099" s="1">
        <v>45825</v>
      </c>
      <c r="C1099" t="s">
        <v>48</v>
      </c>
      <c r="D1099" t="s">
        <v>25</v>
      </c>
      <c r="E1099" t="s">
        <v>99</v>
      </c>
      <c r="F1099" t="s">
        <v>100</v>
      </c>
      <c r="G1099">
        <v>4</v>
      </c>
      <c r="H1099">
        <v>4785.95</v>
      </c>
      <c r="I1099">
        <v>0.17</v>
      </c>
      <c r="J1099">
        <v>15889.35</v>
      </c>
      <c r="K1099">
        <f t="shared" si="51"/>
        <v>19143.8</v>
      </c>
      <c r="L1099">
        <f t="shared" si="52"/>
        <v>3254.4499999999989</v>
      </c>
      <c r="M1099">
        <f t="shared" si="53"/>
        <v>15889.35</v>
      </c>
      <c r="N1099" t="s">
        <v>58</v>
      </c>
      <c r="O1099" t="s">
        <v>20</v>
      </c>
      <c r="P1099" t="s">
        <v>30</v>
      </c>
      <c r="Q1099" t="s">
        <v>22</v>
      </c>
    </row>
    <row r="1100" spans="1:17" x14ac:dyDescent="0.3">
      <c r="A1100" t="s">
        <v>1161</v>
      </c>
      <c r="B1100" s="1">
        <v>45707</v>
      </c>
      <c r="C1100" t="s">
        <v>36</v>
      </c>
      <c r="D1100" t="s">
        <v>25</v>
      </c>
      <c r="E1100" t="s">
        <v>49</v>
      </c>
      <c r="F1100" t="s">
        <v>50</v>
      </c>
      <c r="G1100">
        <v>2</v>
      </c>
      <c r="H1100">
        <v>241.92</v>
      </c>
      <c r="I1100">
        <v>7.0000000000000007E-2</v>
      </c>
      <c r="J1100">
        <v>449.97</v>
      </c>
      <c r="K1100">
        <f t="shared" si="51"/>
        <v>483.84</v>
      </c>
      <c r="L1100">
        <f t="shared" si="52"/>
        <v>33.869999999999948</v>
      </c>
      <c r="M1100">
        <f t="shared" si="53"/>
        <v>449.97</v>
      </c>
      <c r="N1100" t="s">
        <v>41</v>
      </c>
      <c r="O1100" t="s">
        <v>29</v>
      </c>
      <c r="P1100" t="s">
        <v>54</v>
      </c>
      <c r="Q1100" t="s">
        <v>22</v>
      </c>
    </row>
    <row r="1101" spans="1:17" x14ac:dyDescent="0.3">
      <c r="A1101" t="s">
        <v>1162</v>
      </c>
      <c r="B1101" s="1">
        <v>45821</v>
      </c>
      <c r="C1101" t="s">
        <v>15</v>
      </c>
      <c r="D1101" t="s">
        <v>39</v>
      </c>
      <c r="E1101" t="s">
        <v>99</v>
      </c>
      <c r="F1101" t="s">
        <v>111</v>
      </c>
      <c r="G1101">
        <v>4</v>
      </c>
      <c r="H1101">
        <v>2183.48</v>
      </c>
      <c r="I1101">
        <v>7.0000000000000007E-2</v>
      </c>
      <c r="J1101">
        <v>8122.55</v>
      </c>
      <c r="K1101">
        <f t="shared" si="51"/>
        <v>8733.92</v>
      </c>
      <c r="L1101">
        <f t="shared" si="52"/>
        <v>611.36999999999989</v>
      </c>
      <c r="M1101">
        <f t="shared" si="53"/>
        <v>8122.55</v>
      </c>
      <c r="N1101" t="s">
        <v>41</v>
      </c>
      <c r="O1101" t="s">
        <v>34</v>
      </c>
      <c r="P1101" t="s">
        <v>54</v>
      </c>
      <c r="Q1101" t="s">
        <v>22</v>
      </c>
    </row>
    <row r="1102" spans="1:17" x14ac:dyDescent="0.3">
      <c r="A1102" t="s">
        <v>1163</v>
      </c>
      <c r="B1102" s="1">
        <v>45841</v>
      </c>
      <c r="C1102" t="s">
        <v>24</v>
      </c>
      <c r="D1102" t="s">
        <v>43</v>
      </c>
      <c r="E1102" t="s">
        <v>61</v>
      </c>
      <c r="F1102" t="s">
        <v>66</v>
      </c>
      <c r="G1102">
        <v>4</v>
      </c>
      <c r="H1102">
        <v>1184.42</v>
      </c>
      <c r="I1102">
        <v>0.22</v>
      </c>
      <c r="J1102">
        <v>3695.39</v>
      </c>
      <c r="K1102">
        <f t="shared" si="51"/>
        <v>4737.68</v>
      </c>
      <c r="L1102">
        <f t="shared" si="52"/>
        <v>1042.2900000000004</v>
      </c>
      <c r="M1102">
        <f t="shared" si="53"/>
        <v>3695.39</v>
      </c>
      <c r="N1102" t="s">
        <v>46</v>
      </c>
      <c r="O1102" t="s">
        <v>34</v>
      </c>
      <c r="P1102" t="s">
        <v>21</v>
      </c>
      <c r="Q1102" t="s">
        <v>88</v>
      </c>
    </row>
    <row r="1103" spans="1:17" x14ac:dyDescent="0.3">
      <c r="A1103" t="s">
        <v>1164</v>
      </c>
      <c r="B1103" s="1">
        <v>45676</v>
      </c>
      <c r="C1103" t="s">
        <v>52</v>
      </c>
      <c r="D1103" t="s">
        <v>16</v>
      </c>
      <c r="E1103" t="s">
        <v>17</v>
      </c>
      <c r="F1103" t="s">
        <v>32</v>
      </c>
      <c r="G1103">
        <v>1</v>
      </c>
      <c r="H1103">
        <v>4756.3599999999997</v>
      </c>
      <c r="I1103">
        <v>0.01</v>
      </c>
      <c r="J1103">
        <v>4708.8</v>
      </c>
      <c r="K1103">
        <f t="shared" si="51"/>
        <v>4756.3599999999997</v>
      </c>
      <c r="L1103">
        <f t="shared" si="52"/>
        <v>47.559999999999491</v>
      </c>
      <c r="M1103">
        <f t="shared" si="53"/>
        <v>4708.8</v>
      </c>
      <c r="N1103" t="s">
        <v>33</v>
      </c>
      <c r="O1103" t="s">
        <v>29</v>
      </c>
      <c r="P1103" t="s">
        <v>30</v>
      </c>
      <c r="Q1103" t="s">
        <v>88</v>
      </c>
    </row>
    <row r="1104" spans="1:17" x14ac:dyDescent="0.3">
      <c r="A1104" t="s">
        <v>1165</v>
      </c>
      <c r="B1104" s="1">
        <v>45714</v>
      </c>
      <c r="C1104" t="s">
        <v>36</v>
      </c>
      <c r="D1104" t="s">
        <v>43</v>
      </c>
      <c r="E1104" t="s">
        <v>99</v>
      </c>
      <c r="F1104" t="s">
        <v>111</v>
      </c>
      <c r="G1104">
        <v>1</v>
      </c>
      <c r="H1104">
        <v>2641.38</v>
      </c>
      <c r="I1104">
        <v>0.09</v>
      </c>
      <c r="J1104">
        <v>2403.66</v>
      </c>
      <c r="K1104">
        <f t="shared" si="51"/>
        <v>2641.38</v>
      </c>
      <c r="L1104">
        <f t="shared" si="52"/>
        <v>237.72000000000025</v>
      </c>
      <c r="M1104">
        <f t="shared" si="53"/>
        <v>2403.66</v>
      </c>
      <c r="N1104" t="s">
        <v>58</v>
      </c>
      <c r="O1104" t="s">
        <v>29</v>
      </c>
      <c r="P1104" t="s">
        <v>54</v>
      </c>
      <c r="Q1104" t="s">
        <v>88</v>
      </c>
    </row>
    <row r="1105" spans="1:17" x14ac:dyDescent="0.3">
      <c r="A1105" t="s">
        <v>1166</v>
      </c>
      <c r="B1105" s="1">
        <v>45831</v>
      </c>
      <c r="C1105" t="s">
        <v>15</v>
      </c>
      <c r="D1105" t="s">
        <v>16</v>
      </c>
      <c r="E1105" t="s">
        <v>49</v>
      </c>
      <c r="F1105" t="s">
        <v>73</v>
      </c>
      <c r="G1105">
        <v>3</v>
      </c>
      <c r="H1105">
        <v>2125.64</v>
      </c>
      <c r="I1105">
        <v>0.14000000000000001</v>
      </c>
      <c r="J1105">
        <v>5484.15</v>
      </c>
      <c r="K1105">
        <f t="shared" si="51"/>
        <v>6376.92</v>
      </c>
      <c r="L1105">
        <f t="shared" si="52"/>
        <v>892.77000000000044</v>
      </c>
      <c r="M1105">
        <f t="shared" si="53"/>
        <v>5484.15</v>
      </c>
      <c r="N1105" t="s">
        <v>19</v>
      </c>
      <c r="O1105" t="s">
        <v>34</v>
      </c>
      <c r="P1105" t="s">
        <v>54</v>
      </c>
      <c r="Q1105" t="s">
        <v>22</v>
      </c>
    </row>
    <row r="1106" spans="1:17" x14ac:dyDescent="0.3">
      <c r="A1106" t="s">
        <v>1167</v>
      </c>
      <c r="B1106" s="1">
        <v>45747</v>
      </c>
      <c r="C1106" t="s">
        <v>36</v>
      </c>
      <c r="D1106" t="s">
        <v>43</v>
      </c>
      <c r="E1106" t="s">
        <v>17</v>
      </c>
      <c r="F1106" t="s">
        <v>18</v>
      </c>
      <c r="G1106">
        <v>1</v>
      </c>
      <c r="H1106">
        <v>869.03</v>
      </c>
      <c r="I1106">
        <v>0.08</v>
      </c>
      <c r="J1106">
        <v>799.51</v>
      </c>
      <c r="K1106">
        <f t="shared" si="51"/>
        <v>869.03</v>
      </c>
      <c r="L1106">
        <f t="shared" si="52"/>
        <v>69.519999999999982</v>
      </c>
      <c r="M1106">
        <f t="shared" si="53"/>
        <v>799.51</v>
      </c>
      <c r="N1106" t="s">
        <v>41</v>
      </c>
      <c r="O1106" t="s">
        <v>34</v>
      </c>
      <c r="P1106" t="s">
        <v>54</v>
      </c>
      <c r="Q1106" t="s">
        <v>22</v>
      </c>
    </row>
    <row r="1107" spans="1:17" x14ac:dyDescent="0.3">
      <c r="A1107" t="s">
        <v>1168</v>
      </c>
      <c r="B1107" s="1">
        <v>45707</v>
      </c>
      <c r="C1107" t="s">
        <v>48</v>
      </c>
      <c r="D1107" t="s">
        <v>25</v>
      </c>
      <c r="E1107" t="s">
        <v>17</v>
      </c>
      <c r="F1107" t="s">
        <v>40</v>
      </c>
      <c r="G1107">
        <v>3</v>
      </c>
      <c r="H1107">
        <v>4323.72</v>
      </c>
      <c r="I1107">
        <v>0.02</v>
      </c>
      <c r="J1107">
        <v>12711.74</v>
      </c>
      <c r="K1107">
        <f t="shared" si="51"/>
        <v>12971.16</v>
      </c>
      <c r="L1107">
        <f t="shared" si="52"/>
        <v>259.42000000000007</v>
      </c>
      <c r="M1107">
        <f t="shared" si="53"/>
        <v>12711.74</v>
      </c>
      <c r="N1107" t="s">
        <v>19</v>
      </c>
      <c r="O1107" t="s">
        <v>29</v>
      </c>
      <c r="P1107" t="s">
        <v>21</v>
      </c>
      <c r="Q1107" t="s">
        <v>22</v>
      </c>
    </row>
    <row r="1108" spans="1:17" x14ac:dyDescent="0.3">
      <c r="A1108" t="s">
        <v>1169</v>
      </c>
      <c r="B1108" s="1">
        <v>45805</v>
      </c>
      <c r="C1108" t="s">
        <v>24</v>
      </c>
      <c r="D1108" t="s">
        <v>25</v>
      </c>
      <c r="E1108" t="s">
        <v>27</v>
      </c>
      <c r="F1108" t="s">
        <v>68</v>
      </c>
      <c r="G1108">
        <v>2</v>
      </c>
      <c r="H1108">
        <v>4174.21</v>
      </c>
      <c r="I1108">
        <v>0.21</v>
      </c>
      <c r="J1108">
        <v>6595.25</v>
      </c>
      <c r="K1108">
        <f t="shared" si="51"/>
        <v>8348.42</v>
      </c>
      <c r="L1108">
        <f t="shared" si="52"/>
        <v>1753.17</v>
      </c>
      <c r="M1108">
        <f t="shared" si="53"/>
        <v>6595.25</v>
      </c>
      <c r="N1108" t="s">
        <v>33</v>
      </c>
      <c r="O1108" t="s">
        <v>34</v>
      </c>
      <c r="P1108" t="s">
        <v>30</v>
      </c>
      <c r="Q1108" t="s">
        <v>22</v>
      </c>
    </row>
    <row r="1109" spans="1:17" x14ac:dyDescent="0.3">
      <c r="A1109" t="s">
        <v>1170</v>
      </c>
      <c r="B1109" s="1">
        <v>45750</v>
      </c>
      <c r="C1109" t="s">
        <v>15</v>
      </c>
      <c r="D1109" t="s">
        <v>25</v>
      </c>
      <c r="E1109" t="s">
        <v>17</v>
      </c>
      <c r="F1109" t="s">
        <v>32</v>
      </c>
      <c r="G1109">
        <v>1</v>
      </c>
      <c r="H1109">
        <v>1394.92</v>
      </c>
      <c r="I1109">
        <v>0.16</v>
      </c>
      <c r="J1109">
        <v>1171.73</v>
      </c>
      <c r="K1109">
        <f t="shared" si="51"/>
        <v>1394.92</v>
      </c>
      <c r="L1109">
        <f t="shared" si="52"/>
        <v>223.19000000000005</v>
      </c>
      <c r="M1109">
        <f t="shared" si="53"/>
        <v>1171.73</v>
      </c>
      <c r="N1109" t="s">
        <v>41</v>
      </c>
      <c r="O1109" t="s">
        <v>20</v>
      </c>
      <c r="P1109" t="s">
        <v>30</v>
      </c>
      <c r="Q1109" t="s">
        <v>22</v>
      </c>
    </row>
    <row r="1110" spans="1:17" x14ac:dyDescent="0.3">
      <c r="A1110" t="s">
        <v>1171</v>
      </c>
      <c r="B1110" s="1">
        <v>45770</v>
      </c>
      <c r="C1110" t="s">
        <v>48</v>
      </c>
      <c r="D1110" t="s">
        <v>43</v>
      </c>
      <c r="E1110" t="s">
        <v>17</v>
      </c>
      <c r="F1110" t="s">
        <v>44</v>
      </c>
      <c r="G1110">
        <v>4</v>
      </c>
      <c r="H1110">
        <v>1493.67</v>
      </c>
      <c r="I1110">
        <v>0.18</v>
      </c>
      <c r="J1110">
        <v>4899.24</v>
      </c>
      <c r="K1110">
        <f t="shared" si="51"/>
        <v>5974.68</v>
      </c>
      <c r="L1110">
        <f t="shared" si="52"/>
        <v>1075.4400000000005</v>
      </c>
      <c r="M1110">
        <f t="shared" si="53"/>
        <v>4899.24</v>
      </c>
      <c r="N1110" t="s">
        <v>33</v>
      </c>
      <c r="O1110" t="s">
        <v>34</v>
      </c>
      <c r="P1110" t="s">
        <v>21</v>
      </c>
      <c r="Q1110" t="s">
        <v>22</v>
      </c>
    </row>
    <row r="1111" spans="1:17" x14ac:dyDescent="0.3">
      <c r="A1111" t="s">
        <v>1172</v>
      </c>
      <c r="B1111" s="1">
        <v>45778</v>
      </c>
      <c r="C1111" t="s">
        <v>15</v>
      </c>
      <c r="D1111" t="s">
        <v>25</v>
      </c>
      <c r="E1111" t="s">
        <v>49</v>
      </c>
      <c r="F1111" t="s">
        <v>50</v>
      </c>
      <c r="G1111">
        <v>1</v>
      </c>
      <c r="H1111">
        <v>2316.12</v>
      </c>
      <c r="I1111">
        <v>0.14000000000000001</v>
      </c>
      <c r="J1111">
        <v>1991.86</v>
      </c>
      <c r="K1111">
        <f t="shared" si="51"/>
        <v>2316.12</v>
      </c>
      <c r="L1111">
        <f t="shared" si="52"/>
        <v>324.26</v>
      </c>
      <c r="M1111">
        <f t="shared" si="53"/>
        <v>1991.86</v>
      </c>
      <c r="N1111" t="s">
        <v>33</v>
      </c>
      <c r="O1111" t="s">
        <v>29</v>
      </c>
      <c r="P1111" t="s">
        <v>54</v>
      </c>
      <c r="Q1111" t="s">
        <v>88</v>
      </c>
    </row>
    <row r="1112" spans="1:17" x14ac:dyDescent="0.3">
      <c r="A1112" t="s">
        <v>1173</v>
      </c>
      <c r="B1112" s="1">
        <v>45789</v>
      </c>
      <c r="C1112" t="s">
        <v>48</v>
      </c>
      <c r="D1112" t="s">
        <v>16</v>
      </c>
      <c r="E1112" t="s">
        <v>49</v>
      </c>
      <c r="F1112" t="s">
        <v>53</v>
      </c>
      <c r="G1112">
        <v>3</v>
      </c>
      <c r="H1112">
        <v>1728.93</v>
      </c>
      <c r="I1112">
        <v>0.2</v>
      </c>
      <c r="J1112">
        <v>4149.43</v>
      </c>
      <c r="K1112">
        <f t="shared" si="51"/>
        <v>5186.79</v>
      </c>
      <c r="L1112">
        <f t="shared" si="52"/>
        <v>1037.3599999999997</v>
      </c>
      <c r="M1112">
        <f t="shared" si="53"/>
        <v>4149.43</v>
      </c>
      <c r="N1112" t="s">
        <v>33</v>
      </c>
      <c r="O1112" t="s">
        <v>20</v>
      </c>
      <c r="P1112" t="s">
        <v>54</v>
      </c>
      <c r="Q1112" t="s">
        <v>22</v>
      </c>
    </row>
    <row r="1113" spans="1:17" x14ac:dyDescent="0.3">
      <c r="A1113" t="s">
        <v>1174</v>
      </c>
      <c r="B1113" s="1">
        <v>45733</v>
      </c>
      <c r="C1113" t="s">
        <v>36</v>
      </c>
      <c r="D1113" t="s">
        <v>43</v>
      </c>
      <c r="E1113" t="s">
        <v>61</v>
      </c>
      <c r="F1113" t="s">
        <v>92</v>
      </c>
      <c r="G1113">
        <v>2</v>
      </c>
      <c r="H1113">
        <v>2075.66</v>
      </c>
      <c r="I1113">
        <v>0.21</v>
      </c>
      <c r="J1113">
        <v>3279.54</v>
      </c>
      <c r="K1113">
        <f t="shared" si="51"/>
        <v>4151.32</v>
      </c>
      <c r="L1113">
        <f t="shared" si="52"/>
        <v>871.77999999999975</v>
      </c>
      <c r="M1113">
        <f t="shared" si="53"/>
        <v>3279.54</v>
      </c>
      <c r="N1113" t="s">
        <v>19</v>
      </c>
      <c r="O1113" t="s">
        <v>20</v>
      </c>
      <c r="P1113" t="s">
        <v>21</v>
      </c>
      <c r="Q1113" t="s">
        <v>22</v>
      </c>
    </row>
    <row r="1114" spans="1:17" x14ac:dyDescent="0.3">
      <c r="A1114" t="s">
        <v>1175</v>
      </c>
      <c r="B1114" s="1">
        <v>45725</v>
      </c>
      <c r="C1114" t="s">
        <v>48</v>
      </c>
      <c r="D1114" t="s">
        <v>25</v>
      </c>
      <c r="E1114" t="s">
        <v>49</v>
      </c>
      <c r="F1114" t="s">
        <v>53</v>
      </c>
      <c r="G1114">
        <v>3</v>
      </c>
      <c r="H1114">
        <v>4188.18</v>
      </c>
      <c r="I1114">
        <v>0.01</v>
      </c>
      <c r="J1114">
        <v>12438.89</v>
      </c>
      <c r="K1114">
        <f t="shared" si="51"/>
        <v>12564.54</v>
      </c>
      <c r="L1114">
        <f t="shared" si="52"/>
        <v>125.65000000000146</v>
      </c>
      <c r="M1114">
        <f t="shared" si="53"/>
        <v>12438.89</v>
      </c>
      <c r="N1114" t="s">
        <v>46</v>
      </c>
      <c r="O1114" t="s">
        <v>29</v>
      </c>
      <c r="P1114" t="s">
        <v>21</v>
      </c>
      <c r="Q1114" t="s">
        <v>37</v>
      </c>
    </row>
    <row r="1115" spans="1:17" x14ac:dyDescent="0.3">
      <c r="A1115" t="s">
        <v>1176</v>
      </c>
      <c r="B1115" s="1">
        <v>45665</v>
      </c>
      <c r="C1115" t="s">
        <v>36</v>
      </c>
      <c r="D1115" t="s">
        <v>25</v>
      </c>
      <c r="E1115" t="s">
        <v>99</v>
      </c>
      <c r="F1115" t="s">
        <v>100</v>
      </c>
      <c r="G1115">
        <v>4</v>
      </c>
      <c r="H1115">
        <v>1633.78</v>
      </c>
      <c r="I1115">
        <v>0.16</v>
      </c>
      <c r="J1115">
        <v>5489.5</v>
      </c>
      <c r="K1115">
        <f t="shared" si="51"/>
        <v>6535.12</v>
      </c>
      <c r="L1115">
        <f t="shared" si="52"/>
        <v>1045.6199999999999</v>
      </c>
      <c r="M1115">
        <f t="shared" si="53"/>
        <v>5489.5</v>
      </c>
      <c r="N1115" t="s">
        <v>41</v>
      </c>
      <c r="O1115" t="s">
        <v>29</v>
      </c>
      <c r="P1115" t="s">
        <v>30</v>
      </c>
      <c r="Q1115" t="s">
        <v>22</v>
      </c>
    </row>
    <row r="1116" spans="1:17" x14ac:dyDescent="0.3">
      <c r="A1116" t="s">
        <v>1177</v>
      </c>
      <c r="B1116" s="1">
        <v>45755</v>
      </c>
      <c r="C1116" t="s">
        <v>24</v>
      </c>
      <c r="D1116" t="s">
        <v>16</v>
      </c>
      <c r="E1116" t="s">
        <v>27</v>
      </c>
      <c r="F1116" t="s">
        <v>79</v>
      </c>
      <c r="G1116">
        <v>1</v>
      </c>
      <c r="H1116">
        <v>1940.86</v>
      </c>
      <c r="I1116">
        <v>0.19</v>
      </c>
      <c r="J1116">
        <v>1572.1</v>
      </c>
      <c r="K1116">
        <f t="shared" si="51"/>
        <v>1940.86</v>
      </c>
      <c r="L1116">
        <f t="shared" si="52"/>
        <v>368.76</v>
      </c>
      <c r="M1116">
        <f t="shared" si="53"/>
        <v>1572.1</v>
      </c>
      <c r="N1116" t="s">
        <v>41</v>
      </c>
      <c r="O1116" t="s">
        <v>29</v>
      </c>
      <c r="P1116" t="s">
        <v>54</v>
      </c>
      <c r="Q1116" t="s">
        <v>22</v>
      </c>
    </row>
    <row r="1117" spans="1:17" x14ac:dyDescent="0.3">
      <c r="A1117" t="s">
        <v>1178</v>
      </c>
      <c r="B1117" s="1">
        <v>45825</v>
      </c>
      <c r="C1117" t="s">
        <v>24</v>
      </c>
      <c r="D1117" t="s">
        <v>25</v>
      </c>
      <c r="E1117" t="s">
        <v>49</v>
      </c>
      <c r="F1117" t="s">
        <v>56</v>
      </c>
      <c r="G1117">
        <v>2</v>
      </c>
      <c r="H1117">
        <v>3168.21</v>
      </c>
      <c r="I1117">
        <v>0.13</v>
      </c>
      <c r="J1117">
        <v>5512.69</v>
      </c>
      <c r="K1117">
        <f t="shared" si="51"/>
        <v>6336.42</v>
      </c>
      <c r="L1117">
        <f t="shared" si="52"/>
        <v>823.73000000000047</v>
      </c>
      <c r="M1117">
        <f t="shared" si="53"/>
        <v>5512.69</v>
      </c>
      <c r="N1117" t="s">
        <v>41</v>
      </c>
      <c r="O1117" t="s">
        <v>34</v>
      </c>
      <c r="P1117" t="s">
        <v>54</v>
      </c>
      <c r="Q1117" t="s">
        <v>22</v>
      </c>
    </row>
    <row r="1118" spans="1:17" x14ac:dyDescent="0.3">
      <c r="A1118" t="s">
        <v>1179</v>
      </c>
      <c r="B1118" s="1">
        <v>45723</v>
      </c>
      <c r="C1118" t="s">
        <v>48</v>
      </c>
      <c r="D1118" t="s">
        <v>43</v>
      </c>
      <c r="E1118" t="s">
        <v>99</v>
      </c>
      <c r="F1118" t="s">
        <v>120</v>
      </c>
      <c r="G1118">
        <v>3</v>
      </c>
      <c r="H1118">
        <v>2660.15</v>
      </c>
      <c r="I1118">
        <v>0.15</v>
      </c>
      <c r="J1118">
        <v>6783.38</v>
      </c>
      <c r="K1118">
        <f t="shared" si="51"/>
        <v>7980.4500000000007</v>
      </c>
      <c r="L1118">
        <f t="shared" si="52"/>
        <v>1197.0700000000006</v>
      </c>
      <c r="M1118">
        <f t="shared" si="53"/>
        <v>6783.38</v>
      </c>
      <c r="N1118" t="s">
        <v>46</v>
      </c>
      <c r="O1118" t="s">
        <v>29</v>
      </c>
      <c r="P1118" t="s">
        <v>30</v>
      </c>
      <c r="Q1118" t="s">
        <v>22</v>
      </c>
    </row>
    <row r="1119" spans="1:17" x14ac:dyDescent="0.3">
      <c r="A1119" t="s">
        <v>1180</v>
      </c>
      <c r="B1119" s="1">
        <v>45695</v>
      </c>
      <c r="C1119" t="s">
        <v>36</v>
      </c>
      <c r="D1119" t="s">
        <v>43</v>
      </c>
      <c r="E1119" t="s">
        <v>27</v>
      </c>
      <c r="F1119" t="s">
        <v>68</v>
      </c>
      <c r="G1119">
        <v>5</v>
      </c>
      <c r="H1119">
        <v>1331.07</v>
      </c>
      <c r="I1119">
        <v>0.12</v>
      </c>
      <c r="J1119">
        <v>5856.71</v>
      </c>
      <c r="K1119">
        <f t="shared" si="51"/>
        <v>6655.3499999999995</v>
      </c>
      <c r="L1119">
        <f t="shared" si="52"/>
        <v>798.63999999999942</v>
      </c>
      <c r="M1119">
        <f t="shared" si="53"/>
        <v>5856.71</v>
      </c>
      <c r="N1119" t="s">
        <v>46</v>
      </c>
      <c r="O1119" t="s">
        <v>29</v>
      </c>
      <c r="P1119" t="s">
        <v>30</v>
      </c>
      <c r="Q1119" t="s">
        <v>22</v>
      </c>
    </row>
    <row r="1120" spans="1:17" x14ac:dyDescent="0.3">
      <c r="A1120" t="s">
        <v>1181</v>
      </c>
      <c r="B1120" s="1">
        <v>45754</v>
      </c>
      <c r="C1120" t="s">
        <v>15</v>
      </c>
      <c r="D1120" t="s">
        <v>39</v>
      </c>
      <c r="E1120" t="s">
        <v>49</v>
      </c>
      <c r="F1120" t="s">
        <v>56</v>
      </c>
      <c r="G1120">
        <v>2</v>
      </c>
      <c r="H1120">
        <v>2405.42</v>
      </c>
      <c r="I1120">
        <v>0.25</v>
      </c>
      <c r="J1120">
        <v>3608.13</v>
      </c>
      <c r="K1120">
        <f t="shared" si="51"/>
        <v>4810.84</v>
      </c>
      <c r="L1120">
        <f t="shared" si="52"/>
        <v>1202.71</v>
      </c>
      <c r="M1120">
        <f t="shared" si="53"/>
        <v>3608.13</v>
      </c>
      <c r="N1120" t="s">
        <v>41</v>
      </c>
      <c r="O1120" t="s">
        <v>20</v>
      </c>
      <c r="P1120" t="s">
        <v>54</v>
      </c>
      <c r="Q1120" t="s">
        <v>22</v>
      </c>
    </row>
    <row r="1121" spans="1:17" x14ac:dyDescent="0.3">
      <c r="A1121" t="s">
        <v>1182</v>
      </c>
      <c r="B1121" s="1">
        <v>45701</v>
      </c>
      <c r="C1121" t="s">
        <v>36</v>
      </c>
      <c r="D1121" t="s">
        <v>16</v>
      </c>
      <c r="E1121" t="s">
        <v>61</v>
      </c>
      <c r="F1121" t="s">
        <v>62</v>
      </c>
      <c r="G1121">
        <v>1</v>
      </c>
      <c r="H1121">
        <v>399.43</v>
      </c>
      <c r="I1121">
        <v>0.12</v>
      </c>
      <c r="J1121">
        <v>351.5</v>
      </c>
      <c r="K1121">
        <f t="shared" si="51"/>
        <v>399.43</v>
      </c>
      <c r="L1121">
        <f t="shared" si="52"/>
        <v>47.930000000000007</v>
      </c>
      <c r="M1121">
        <f t="shared" si="53"/>
        <v>351.5</v>
      </c>
      <c r="N1121" t="s">
        <v>41</v>
      </c>
      <c r="O1121" t="s">
        <v>34</v>
      </c>
      <c r="P1121" t="s">
        <v>54</v>
      </c>
      <c r="Q1121" t="s">
        <v>22</v>
      </c>
    </row>
    <row r="1122" spans="1:17" x14ac:dyDescent="0.3">
      <c r="A1122" t="s">
        <v>1183</v>
      </c>
      <c r="B1122" s="1">
        <v>45728</v>
      </c>
      <c r="C1122" t="s">
        <v>15</v>
      </c>
      <c r="D1122" t="s">
        <v>39</v>
      </c>
      <c r="E1122" t="s">
        <v>27</v>
      </c>
      <c r="F1122" t="s">
        <v>68</v>
      </c>
      <c r="G1122">
        <v>3</v>
      </c>
      <c r="H1122">
        <v>1492.52</v>
      </c>
      <c r="I1122">
        <v>0.23</v>
      </c>
      <c r="J1122">
        <v>3447.72</v>
      </c>
      <c r="K1122">
        <f t="shared" si="51"/>
        <v>4477.5599999999995</v>
      </c>
      <c r="L1122">
        <f t="shared" si="52"/>
        <v>1029.8399999999997</v>
      </c>
      <c r="M1122">
        <f t="shared" si="53"/>
        <v>3447.72</v>
      </c>
      <c r="N1122" t="s">
        <v>58</v>
      </c>
      <c r="O1122" t="s">
        <v>20</v>
      </c>
      <c r="P1122" t="s">
        <v>30</v>
      </c>
      <c r="Q1122" t="s">
        <v>22</v>
      </c>
    </row>
    <row r="1123" spans="1:17" x14ac:dyDescent="0.3">
      <c r="A1123" t="s">
        <v>1184</v>
      </c>
      <c r="B1123" s="1">
        <v>45814</v>
      </c>
      <c r="C1123" t="s">
        <v>36</v>
      </c>
      <c r="D1123" t="s">
        <v>43</v>
      </c>
      <c r="E1123" t="s">
        <v>49</v>
      </c>
      <c r="F1123" t="s">
        <v>53</v>
      </c>
      <c r="G1123">
        <v>2</v>
      </c>
      <c r="H1123">
        <v>479.63</v>
      </c>
      <c r="I1123">
        <v>0.04</v>
      </c>
      <c r="J1123">
        <v>920.89</v>
      </c>
      <c r="K1123">
        <f t="shared" si="51"/>
        <v>959.26</v>
      </c>
      <c r="L1123">
        <f t="shared" si="52"/>
        <v>38.370000000000005</v>
      </c>
      <c r="M1123">
        <f t="shared" si="53"/>
        <v>920.89</v>
      </c>
      <c r="N1123" t="s">
        <v>33</v>
      </c>
      <c r="O1123" t="s">
        <v>29</v>
      </c>
      <c r="P1123" t="s">
        <v>21</v>
      </c>
      <c r="Q1123" t="s">
        <v>22</v>
      </c>
    </row>
    <row r="1124" spans="1:17" x14ac:dyDescent="0.3">
      <c r="A1124" t="s">
        <v>1185</v>
      </c>
      <c r="B1124" s="1">
        <v>45710</v>
      </c>
      <c r="C1124" t="s">
        <v>52</v>
      </c>
      <c r="D1124" t="s">
        <v>39</v>
      </c>
      <c r="E1124" t="s">
        <v>99</v>
      </c>
      <c r="F1124" t="s">
        <v>120</v>
      </c>
      <c r="G1124">
        <v>4</v>
      </c>
      <c r="H1124">
        <v>1717.78</v>
      </c>
      <c r="I1124">
        <v>0.19</v>
      </c>
      <c r="J1124">
        <v>5565.61</v>
      </c>
      <c r="K1124">
        <f t="shared" si="51"/>
        <v>6871.12</v>
      </c>
      <c r="L1124">
        <f t="shared" si="52"/>
        <v>1305.5100000000002</v>
      </c>
      <c r="M1124">
        <f t="shared" si="53"/>
        <v>5565.61</v>
      </c>
      <c r="N1124" t="s">
        <v>33</v>
      </c>
      <c r="O1124" t="s">
        <v>29</v>
      </c>
      <c r="P1124" t="s">
        <v>21</v>
      </c>
      <c r="Q1124" t="s">
        <v>59</v>
      </c>
    </row>
    <row r="1125" spans="1:17" x14ac:dyDescent="0.3">
      <c r="A1125" t="s">
        <v>1186</v>
      </c>
      <c r="B1125" s="1">
        <v>45726</v>
      </c>
      <c r="C1125" t="s">
        <v>52</v>
      </c>
      <c r="D1125" t="s">
        <v>43</v>
      </c>
      <c r="E1125" t="s">
        <v>27</v>
      </c>
      <c r="F1125" t="s">
        <v>87</v>
      </c>
      <c r="G1125">
        <v>2</v>
      </c>
      <c r="H1125">
        <v>4946.53</v>
      </c>
      <c r="I1125">
        <v>0.02</v>
      </c>
      <c r="J1125">
        <v>9695.2000000000007</v>
      </c>
      <c r="K1125">
        <f t="shared" si="51"/>
        <v>9893.06</v>
      </c>
      <c r="L1125">
        <f t="shared" si="52"/>
        <v>197.85999999999876</v>
      </c>
      <c r="M1125">
        <f t="shared" si="53"/>
        <v>9695.2000000000007</v>
      </c>
      <c r="N1125" t="s">
        <v>19</v>
      </c>
      <c r="O1125" t="s">
        <v>20</v>
      </c>
      <c r="P1125" t="s">
        <v>21</v>
      </c>
      <c r="Q1125" t="s">
        <v>22</v>
      </c>
    </row>
    <row r="1126" spans="1:17" x14ac:dyDescent="0.3">
      <c r="A1126" t="s">
        <v>1187</v>
      </c>
      <c r="B1126" s="1">
        <v>45714</v>
      </c>
      <c r="C1126" t="s">
        <v>15</v>
      </c>
      <c r="D1126" t="s">
        <v>25</v>
      </c>
      <c r="E1126" t="s">
        <v>49</v>
      </c>
      <c r="F1126" t="s">
        <v>56</v>
      </c>
      <c r="G1126">
        <v>2</v>
      </c>
      <c r="H1126">
        <v>2607.36</v>
      </c>
      <c r="I1126">
        <v>0.11</v>
      </c>
      <c r="J1126">
        <v>4641.1000000000004</v>
      </c>
      <c r="K1126">
        <f t="shared" si="51"/>
        <v>5214.72</v>
      </c>
      <c r="L1126">
        <f t="shared" si="52"/>
        <v>573.61999999999989</v>
      </c>
      <c r="M1126">
        <f t="shared" si="53"/>
        <v>4641.1000000000004</v>
      </c>
      <c r="N1126" t="s">
        <v>58</v>
      </c>
      <c r="O1126" t="s">
        <v>20</v>
      </c>
      <c r="P1126" t="s">
        <v>21</v>
      </c>
      <c r="Q1126" t="s">
        <v>22</v>
      </c>
    </row>
    <row r="1127" spans="1:17" x14ac:dyDescent="0.3">
      <c r="A1127" t="s">
        <v>1188</v>
      </c>
      <c r="B1127" s="1">
        <v>45830</v>
      </c>
      <c r="C1127" t="s">
        <v>52</v>
      </c>
      <c r="D1127" t="s">
        <v>39</v>
      </c>
      <c r="E1127" t="s">
        <v>27</v>
      </c>
      <c r="F1127" t="s">
        <v>79</v>
      </c>
      <c r="G1127">
        <v>4</v>
      </c>
      <c r="H1127">
        <v>3892.21</v>
      </c>
      <c r="I1127">
        <v>0.18</v>
      </c>
      <c r="J1127">
        <v>12766.45</v>
      </c>
      <c r="K1127">
        <f t="shared" si="51"/>
        <v>15568.84</v>
      </c>
      <c r="L1127">
        <f t="shared" si="52"/>
        <v>2802.3899999999994</v>
      </c>
      <c r="M1127">
        <f t="shared" si="53"/>
        <v>12766.45</v>
      </c>
      <c r="N1127" t="s">
        <v>33</v>
      </c>
      <c r="O1127" t="s">
        <v>34</v>
      </c>
      <c r="P1127" t="s">
        <v>30</v>
      </c>
      <c r="Q1127" t="s">
        <v>88</v>
      </c>
    </row>
    <row r="1128" spans="1:17" x14ac:dyDescent="0.3">
      <c r="A1128" t="s">
        <v>1189</v>
      </c>
      <c r="B1128" s="1">
        <v>45775</v>
      </c>
      <c r="C1128" t="s">
        <v>36</v>
      </c>
      <c r="D1128" t="s">
        <v>25</v>
      </c>
      <c r="E1128" t="s">
        <v>99</v>
      </c>
      <c r="F1128" t="s">
        <v>120</v>
      </c>
      <c r="G1128">
        <v>3</v>
      </c>
      <c r="H1128">
        <v>3585.6</v>
      </c>
      <c r="I1128">
        <v>0.21</v>
      </c>
      <c r="J1128">
        <v>8497.8700000000008</v>
      </c>
      <c r="K1128">
        <f t="shared" si="51"/>
        <v>10756.8</v>
      </c>
      <c r="L1128">
        <f t="shared" si="52"/>
        <v>2258.9299999999985</v>
      </c>
      <c r="M1128">
        <f t="shared" si="53"/>
        <v>8497.8700000000008</v>
      </c>
      <c r="N1128" t="s">
        <v>19</v>
      </c>
      <c r="O1128" t="s">
        <v>20</v>
      </c>
      <c r="P1128" t="s">
        <v>21</v>
      </c>
      <c r="Q1128" t="s">
        <v>22</v>
      </c>
    </row>
    <row r="1129" spans="1:17" x14ac:dyDescent="0.3">
      <c r="A1129" t="s">
        <v>1190</v>
      </c>
      <c r="B1129" s="1">
        <v>45796</v>
      </c>
      <c r="C1129" t="s">
        <v>36</v>
      </c>
      <c r="D1129" t="s">
        <v>39</v>
      </c>
      <c r="E1129" t="s">
        <v>99</v>
      </c>
      <c r="F1129" t="s">
        <v>120</v>
      </c>
      <c r="G1129">
        <v>3</v>
      </c>
      <c r="H1129">
        <v>972.26</v>
      </c>
      <c r="I1129">
        <v>0.22</v>
      </c>
      <c r="J1129">
        <v>2275.09</v>
      </c>
      <c r="K1129">
        <f t="shared" si="51"/>
        <v>2916.7799999999997</v>
      </c>
      <c r="L1129">
        <f t="shared" si="52"/>
        <v>641.6899999999996</v>
      </c>
      <c r="M1129">
        <f t="shared" si="53"/>
        <v>2275.09</v>
      </c>
      <c r="N1129" t="s">
        <v>41</v>
      </c>
      <c r="O1129" t="s">
        <v>29</v>
      </c>
      <c r="P1129" t="s">
        <v>30</v>
      </c>
      <c r="Q1129" t="s">
        <v>22</v>
      </c>
    </row>
    <row r="1130" spans="1:17" x14ac:dyDescent="0.3">
      <c r="A1130" t="s">
        <v>1191</v>
      </c>
      <c r="B1130" s="1">
        <v>45830</v>
      </c>
      <c r="C1130" t="s">
        <v>48</v>
      </c>
      <c r="D1130" t="s">
        <v>16</v>
      </c>
      <c r="E1130" t="s">
        <v>61</v>
      </c>
      <c r="F1130" t="s">
        <v>75</v>
      </c>
      <c r="G1130">
        <v>1</v>
      </c>
      <c r="H1130">
        <v>1059.5999999999999</v>
      </c>
      <c r="I1130">
        <v>0.09</v>
      </c>
      <c r="J1130">
        <v>964.24</v>
      </c>
      <c r="K1130">
        <f t="shared" si="51"/>
        <v>1059.5999999999999</v>
      </c>
      <c r="L1130">
        <f t="shared" si="52"/>
        <v>95.3599999999999</v>
      </c>
      <c r="M1130">
        <f t="shared" si="53"/>
        <v>964.24</v>
      </c>
      <c r="N1130" t="s">
        <v>46</v>
      </c>
      <c r="O1130" t="s">
        <v>20</v>
      </c>
      <c r="P1130" t="s">
        <v>54</v>
      </c>
      <c r="Q1130" t="s">
        <v>22</v>
      </c>
    </row>
    <row r="1131" spans="1:17" x14ac:dyDescent="0.3">
      <c r="A1131" t="s">
        <v>1192</v>
      </c>
      <c r="B1131" s="1">
        <v>45713</v>
      </c>
      <c r="C1131" t="s">
        <v>15</v>
      </c>
      <c r="D1131" t="s">
        <v>25</v>
      </c>
      <c r="E1131" t="s">
        <v>99</v>
      </c>
      <c r="F1131" t="s">
        <v>120</v>
      </c>
      <c r="G1131">
        <v>1</v>
      </c>
      <c r="H1131">
        <v>3073.19</v>
      </c>
      <c r="I1131">
        <v>0.01</v>
      </c>
      <c r="J1131">
        <v>3042.46</v>
      </c>
      <c r="K1131">
        <f t="shared" si="51"/>
        <v>3073.19</v>
      </c>
      <c r="L1131">
        <f t="shared" si="52"/>
        <v>30.730000000000018</v>
      </c>
      <c r="M1131">
        <f t="shared" si="53"/>
        <v>3042.46</v>
      </c>
      <c r="N1131" t="s">
        <v>46</v>
      </c>
      <c r="O1131" t="s">
        <v>29</v>
      </c>
      <c r="P1131" t="s">
        <v>30</v>
      </c>
      <c r="Q1131" t="s">
        <v>22</v>
      </c>
    </row>
    <row r="1132" spans="1:17" x14ac:dyDescent="0.3">
      <c r="A1132" t="s">
        <v>1193</v>
      </c>
      <c r="B1132" s="1">
        <v>45767</v>
      </c>
      <c r="C1132" t="s">
        <v>24</v>
      </c>
      <c r="D1132" t="s">
        <v>43</v>
      </c>
      <c r="E1132" t="s">
        <v>99</v>
      </c>
      <c r="F1132" t="s">
        <v>111</v>
      </c>
      <c r="G1132">
        <v>4</v>
      </c>
      <c r="H1132">
        <v>4986.43</v>
      </c>
      <c r="I1132">
        <v>0.16</v>
      </c>
      <c r="J1132">
        <v>16754.400000000001</v>
      </c>
      <c r="K1132">
        <f t="shared" si="51"/>
        <v>19945.72</v>
      </c>
      <c r="L1132">
        <f t="shared" si="52"/>
        <v>3191.3199999999997</v>
      </c>
      <c r="M1132">
        <f t="shared" si="53"/>
        <v>16754.400000000001</v>
      </c>
      <c r="N1132" t="s">
        <v>33</v>
      </c>
      <c r="O1132" t="s">
        <v>20</v>
      </c>
      <c r="P1132" t="s">
        <v>30</v>
      </c>
      <c r="Q1132" t="s">
        <v>22</v>
      </c>
    </row>
    <row r="1133" spans="1:17" x14ac:dyDescent="0.3">
      <c r="A1133" t="s">
        <v>1194</v>
      </c>
      <c r="B1133" s="1">
        <v>45661</v>
      </c>
      <c r="C1133" t="s">
        <v>24</v>
      </c>
      <c r="D1133" t="s">
        <v>43</v>
      </c>
      <c r="E1133" t="s">
        <v>27</v>
      </c>
      <c r="F1133" t="s">
        <v>79</v>
      </c>
      <c r="G1133">
        <v>5</v>
      </c>
      <c r="H1133">
        <v>4481.8999999999996</v>
      </c>
      <c r="I1133">
        <v>0.04</v>
      </c>
      <c r="J1133">
        <v>21513.119999999999</v>
      </c>
      <c r="K1133">
        <f t="shared" si="51"/>
        <v>22409.5</v>
      </c>
      <c r="L1133">
        <f t="shared" si="52"/>
        <v>896.38000000000102</v>
      </c>
      <c r="M1133">
        <f t="shared" si="53"/>
        <v>21513.119999999999</v>
      </c>
      <c r="N1133" t="s">
        <v>46</v>
      </c>
      <c r="O1133" t="s">
        <v>20</v>
      </c>
      <c r="P1133" t="s">
        <v>21</v>
      </c>
      <c r="Q1133" t="s">
        <v>37</v>
      </c>
    </row>
    <row r="1134" spans="1:17" x14ac:dyDescent="0.3">
      <c r="A1134" t="s">
        <v>1195</v>
      </c>
      <c r="B1134" s="1">
        <v>45760</v>
      </c>
      <c r="C1134" t="s">
        <v>48</v>
      </c>
      <c r="D1134" t="s">
        <v>39</v>
      </c>
      <c r="E1134" t="s">
        <v>61</v>
      </c>
      <c r="F1134" t="s">
        <v>62</v>
      </c>
      <c r="G1134">
        <v>4</v>
      </c>
      <c r="H1134">
        <v>3223.64</v>
      </c>
      <c r="I1134">
        <v>0.02</v>
      </c>
      <c r="J1134">
        <v>12636.67</v>
      </c>
      <c r="K1134">
        <f t="shared" si="51"/>
        <v>12894.56</v>
      </c>
      <c r="L1134">
        <f t="shared" si="52"/>
        <v>257.88999999999942</v>
      </c>
      <c r="M1134">
        <f t="shared" si="53"/>
        <v>12636.67</v>
      </c>
      <c r="N1134" t="s">
        <v>58</v>
      </c>
      <c r="O1134" t="s">
        <v>20</v>
      </c>
      <c r="P1134" t="s">
        <v>54</v>
      </c>
      <c r="Q1134" t="s">
        <v>59</v>
      </c>
    </row>
    <row r="1135" spans="1:17" x14ac:dyDescent="0.3">
      <c r="A1135" t="s">
        <v>1196</v>
      </c>
      <c r="B1135" s="1">
        <v>45697</v>
      </c>
      <c r="C1135" t="s">
        <v>15</v>
      </c>
      <c r="D1135" t="s">
        <v>16</v>
      </c>
      <c r="E1135" t="s">
        <v>61</v>
      </c>
      <c r="F1135" t="s">
        <v>62</v>
      </c>
      <c r="G1135">
        <v>2</v>
      </c>
      <c r="H1135">
        <v>4538.05</v>
      </c>
      <c r="I1135">
        <v>0.15</v>
      </c>
      <c r="J1135">
        <v>7714.69</v>
      </c>
      <c r="K1135">
        <f t="shared" si="51"/>
        <v>9076.1</v>
      </c>
      <c r="L1135">
        <f t="shared" si="52"/>
        <v>1361.4100000000008</v>
      </c>
      <c r="M1135">
        <f t="shared" si="53"/>
        <v>7714.69</v>
      </c>
      <c r="N1135" t="s">
        <v>46</v>
      </c>
      <c r="O1135" t="s">
        <v>29</v>
      </c>
      <c r="P1135" t="s">
        <v>30</v>
      </c>
      <c r="Q1135" t="s">
        <v>37</v>
      </c>
    </row>
    <row r="1136" spans="1:17" x14ac:dyDescent="0.3">
      <c r="A1136" t="s">
        <v>1197</v>
      </c>
      <c r="B1136" s="1">
        <v>45676</v>
      </c>
      <c r="C1136" t="s">
        <v>24</v>
      </c>
      <c r="D1136" t="s">
        <v>25</v>
      </c>
      <c r="E1136" t="s">
        <v>49</v>
      </c>
      <c r="F1136" t="s">
        <v>50</v>
      </c>
      <c r="G1136">
        <v>5</v>
      </c>
      <c r="H1136">
        <v>822.82</v>
      </c>
      <c r="I1136">
        <v>7.0000000000000007E-2</v>
      </c>
      <c r="J1136">
        <v>3826.11</v>
      </c>
      <c r="K1136">
        <f t="shared" si="51"/>
        <v>4114.1000000000004</v>
      </c>
      <c r="L1136">
        <f t="shared" si="52"/>
        <v>287.99000000000024</v>
      </c>
      <c r="M1136">
        <f t="shared" si="53"/>
        <v>3826.11</v>
      </c>
      <c r="N1136" t="s">
        <v>58</v>
      </c>
      <c r="O1136" t="s">
        <v>20</v>
      </c>
      <c r="P1136" t="s">
        <v>54</v>
      </c>
      <c r="Q1136" t="s">
        <v>22</v>
      </c>
    </row>
    <row r="1137" spans="1:17" x14ac:dyDescent="0.3">
      <c r="A1137" t="s">
        <v>1198</v>
      </c>
      <c r="B1137" s="1">
        <v>45706</v>
      </c>
      <c r="C1137" t="s">
        <v>36</v>
      </c>
      <c r="D1137" t="s">
        <v>39</v>
      </c>
      <c r="E1137" t="s">
        <v>27</v>
      </c>
      <c r="F1137" t="s">
        <v>68</v>
      </c>
      <c r="G1137">
        <v>1</v>
      </c>
      <c r="H1137">
        <v>1624.71</v>
      </c>
      <c r="I1137">
        <v>0.14000000000000001</v>
      </c>
      <c r="J1137">
        <v>1397.25</v>
      </c>
      <c r="K1137">
        <f t="shared" si="51"/>
        <v>1624.71</v>
      </c>
      <c r="L1137">
        <f t="shared" si="52"/>
        <v>227.46000000000004</v>
      </c>
      <c r="M1137">
        <f t="shared" si="53"/>
        <v>1397.25</v>
      </c>
      <c r="N1137" t="s">
        <v>41</v>
      </c>
      <c r="O1137" t="s">
        <v>20</v>
      </c>
      <c r="P1137" t="s">
        <v>54</v>
      </c>
      <c r="Q1137" t="s">
        <v>22</v>
      </c>
    </row>
    <row r="1138" spans="1:17" x14ac:dyDescent="0.3">
      <c r="A1138" t="s">
        <v>1199</v>
      </c>
      <c r="B1138" s="1">
        <v>45799</v>
      </c>
      <c r="C1138" t="s">
        <v>24</v>
      </c>
      <c r="D1138" t="s">
        <v>16</v>
      </c>
      <c r="E1138" t="s">
        <v>17</v>
      </c>
      <c r="F1138" t="s">
        <v>40</v>
      </c>
      <c r="G1138">
        <v>2</v>
      </c>
      <c r="H1138">
        <v>3674.8</v>
      </c>
      <c r="I1138">
        <v>0.05</v>
      </c>
      <c r="J1138">
        <v>6982.12</v>
      </c>
      <c r="K1138">
        <f t="shared" si="51"/>
        <v>7349.6</v>
      </c>
      <c r="L1138">
        <f t="shared" si="52"/>
        <v>367.48000000000047</v>
      </c>
      <c r="M1138">
        <f t="shared" si="53"/>
        <v>6982.12</v>
      </c>
      <c r="N1138" t="s">
        <v>58</v>
      </c>
      <c r="O1138" t="s">
        <v>20</v>
      </c>
      <c r="P1138" t="s">
        <v>21</v>
      </c>
      <c r="Q1138" t="s">
        <v>88</v>
      </c>
    </row>
    <row r="1139" spans="1:17" x14ac:dyDescent="0.3">
      <c r="A1139" t="s">
        <v>1200</v>
      </c>
      <c r="B1139" s="1">
        <v>45738</v>
      </c>
      <c r="C1139" t="s">
        <v>15</v>
      </c>
      <c r="D1139" t="s">
        <v>43</v>
      </c>
      <c r="E1139" t="s">
        <v>17</v>
      </c>
      <c r="F1139" t="s">
        <v>44</v>
      </c>
      <c r="G1139">
        <v>2</v>
      </c>
      <c r="H1139">
        <v>1608.13</v>
      </c>
      <c r="I1139">
        <v>0.17</v>
      </c>
      <c r="J1139">
        <v>2669.5</v>
      </c>
      <c r="K1139">
        <f t="shared" si="51"/>
        <v>3216.26</v>
      </c>
      <c r="L1139">
        <f t="shared" si="52"/>
        <v>546.76000000000022</v>
      </c>
      <c r="M1139">
        <f t="shared" si="53"/>
        <v>2669.5</v>
      </c>
      <c r="N1139" t="s">
        <v>41</v>
      </c>
      <c r="O1139" t="s">
        <v>20</v>
      </c>
      <c r="P1139" t="s">
        <v>54</v>
      </c>
      <c r="Q1139" t="s">
        <v>22</v>
      </c>
    </row>
    <row r="1140" spans="1:17" x14ac:dyDescent="0.3">
      <c r="A1140" t="s">
        <v>1201</v>
      </c>
      <c r="B1140" s="1">
        <v>45754</v>
      </c>
      <c r="C1140" t="s">
        <v>52</v>
      </c>
      <c r="D1140" t="s">
        <v>39</v>
      </c>
      <c r="E1140" t="s">
        <v>49</v>
      </c>
      <c r="F1140" t="s">
        <v>53</v>
      </c>
      <c r="G1140">
        <v>5</v>
      </c>
      <c r="H1140">
        <v>1646.15</v>
      </c>
      <c r="I1140">
        <v>0.06</v>
      </c>
      <c r="J1140">
        <v>7736.9</v>
      </c>
      <c r="K1140">
        <f t="shared" si="51"/>
        <v>8230.75</v>
      </c>
      <c r="L1140">
        <f t="shared" si="52"/>
        <v>493.85000000000036</v>
      </c>
      <c r="M1140">
        <f t="shared" si="53"/>
        <v>7736.9</v>
      </c>
      <c r="N1140" t="s">
        <v>46</v>
      </c>
      <c r="O1140" t="s">
        <v>20</v>
      </c>
      <c r="P1140" t="s">
        <v>54</v>
      </c>
      <c r="Q1140" t="s">
        <v>37</v>
      </c>
    </row>
    <row r="1141" spans="1:17" x14ac:dyDescent="0.3">
      <c r="A1141" t="s">
        <v>1202</v>
      </c>
      <c r="B1141" s="1">
        <v>45767</v>
      </c>
      <c r="C1141" t="s">
        <v>15</v>
      </c>
      <c r="D1141" t="s">
        <v>25</v>
      </c>
      <c r="E1141" t="s">
        <v>61</v>
      </c>
      <c r="F1141" t="s">
        <v>66</v>
      </c>
      <c r="G1141">
        <v>1</v>
      </c>
      <c r="H1141">
        <v>2500.44</v>
      </c>
      <c r="I1141">
        <v>0.14000000000000001</v>
      </c>
      <c r="J1141">
        <v>2150.38</v>
      </c>
      <c r="K1141">
        <f t="shared" si="51"/>
        <v>2500.44</v>
      </c>
      <c r="L1141">
        <f t="shared" si="52"/>
        <v>350.05999999999995</v>
      </c>
      <c r="M1141">
        <f t="shared" si="53"/>
        <v>2150.38</v>
      </c>
      <c r="N1141" t="s">
        <v>41</v>
      </c>
      <c r="O1141" t="s">
        <v>34</v>
      </c>
      <c r="P1141" t="s">
        <v>30</v>
      </c>
      <c r="Q1141" t="s">
        <v>88</v>
      </c>
    </row>
    <row r="1142" spans="1:17" x14ac:dyDescent="0.3">
      <c r="A1142" t="s">
        <v>1203</v>
      </c>
      <c r="B1142" s="1">
        <v>45807</v>
      </c>
      <c r="C1142" t="s">
        <v>36</v>
      </c>
      <c r="D1142" t="s">
        <v>39</v>
      </c>
      <c r="E1142" t="s">
        <v>61</v>
      </c>
      <c r="F1142" t="s">
        <v>62</v>
      </c>
      <c r="G1142">
        <v>5</v>
      </c>
      <c r="H1142">
        <v>2886.69</v>
      </c>
      <c r="I1142">
        <v>0.25</v>
      </c>
      <c r="J1142">
        <v>10825.09</v>
      </c>
      <c r="K1142">
        <f t="shared" si="51"/>
        <v>14433.45</v>
      </c>
      <c r="L1142">
        <f t="shared" si="52"/>
        <v>3608.3600000000006</v>
      </c>
      <c r="M1142">
        <f t="shared" si="53"/>
        <v>10825.09</v>
      </c>
      <c r="N1142" t="s">
        <v>41</v>
      </c>
      <c r="O1142" t="s">
        <v>20</v>
      </c>
      <c r="P1142" t="s">
        <v>30</v>
      </c>
      <c r="Q1142" t="s">
        <v>22</v>
      </c>
    </row>
    <row r="1143" spans="1:17" x14ac:dyDescent="0.3">
      <c r="A1143" t="s">
        <v>1204</v>
      </c>
      <c r="B1143" s="1">
        <v>45706</v>
      </c>
      <c r="C1143" t="s">
        <v>15</v>
      </c>
      <c r="D1143" t="s">
        <v>43</v>
      </c>
      <c r="E1143" t="s">
        <v>99</v>
      </c>
      <c r="F1143" t="s">
        <v>100</v>
      </c>
      <c r="G1143">
        <v>3</v>
      </c>
      <c r="H1143">
        <v>544.71</v>
      </c>
      <c r="I1143">
        <v>0.19</v>
      </c>
      <c r="J1143">
        <v>1323.65</v>
      </c>
      <c r="K1143">
        <f t="shared" si="51"/>
        <v>1634.13</v>
      </c>
      <c r="L1143">
        <f t="shared" si="52"/>
        <v>310.48</v>
      </c>
      <c r="M1143">
        <f t="shared" si="53"/>
        <v>1323.65</v>
      </c>
      <c r="N1143" t="s">
        <v>33</v>
      </c>
      <c r="O1143" t="s">
        <v>29</v>
      </c>
      <c r="P1143" t="s">
        <v>30</v>
      </c>
      <c r="Q1143" t="s">
        <v>22</v>
      </c>
    </row>
    <row r="1144" spans="1:17" x14ac:dyDescent="0.3">
      <c r="A1144" t="s">
        <v>1205</v>
      </c>
      <c r="B1144" s="1">
        <v>45794</v>
      </c>
      <c r="C1144" t="s">
        <v>36</v>
      </c>
      <c r="D1144" t="s">
        <v>25</v>
      </c>
      <c r="E1144" t="s">
        <v>17</v>
      </c>
      <c r="F1144" t="s">
        <v>18</v>
      </c>
      <c r="G1144">
        <v>2</v>
      </c>
      <c r="H1144">
        <v>2389.5100000000002</v>
      </c>
      <c r="I1144">
        <v>0.08</v>
      </c>
      <c r="J1144">
        <v>4396.7</v>
      </c>
      <c r="K1144">
        <f t="shared" si="51"/>
        <v>4779.0200000000004</v>
      </c>
      <c r="L1144">
        <f t="shared" si="52"/>
        <v>382.32000000000062</v>
      </c>
      <c r="M1144">
        <f t="shared" si="53"/>
        <v>4396.7</v>
      </c>
      <c r="N1144" t="s">
        <v>19</v>
      </c>
      <c r="O1144" t="s">
        <v>34</v>
      </c>
      <c r="P1144" t="s">
        <v>21</v>
      </c>
      <c r="Q1144" t="s">
        <v>22</v>
      </c>
    </row>
    <row r="1145" spans="1:17" x14ac:dyDescent="0.3">
      <c r="A1145" t="s">
        <v>1206</v>
      </c>
      <c r="B1145" s="1">
        <v>45752</v>
      </c>
      <c r="C1145" t="s">
        <v>24</v>
      </c>
      <c r="D1145" t="s">
        <v>16</v>
      </c>
      <c r="E1145" t="s">
        <v>17</v>
      </c>
      <c r="F1145" t="s">
        <v>32</v>
      </c>
      <c r="G1145">
        <v>2</v>
      </c>
      <c r="H1145">
        <v>2164.9</v>
      </c>
      <c r="I1145">
        <v>0.08</v>
      </c>
      <c r="J1145">
        <v>3983.42</v>
      </c>
      <c r="K1145">
        <f t="shared" si="51"/>
        <v>4329.8</v>
      </c>
      <c r="L1145">
        <f t="shared" si="52"/>
        <v>346.38000000000011</v>
      </c>
      <c r="M1145">
        <f t="shared" si="53"/>
        <v>3983.42</v>
      </c>
      <c r="N1145" t="s">
        <v>46</v>
      </c>
      <c r="O1145" t="s">
        <v>20</v>
      </c>
      <c r="P1145" t="s">
        <v>21</v>
      </c>
      <c r="Q1145" t="s">
        <v>22</v>
      </c>
    </row>
    <row r="1146" spans="1:17" x14ac:dyDescent="0.3">
      <c r="A1146" t="s">
        <v>1207</v>
      </c>
      <c r="B1146" s="1">
        <v>45785</v>
      </c>
      <c r="C1146" t="s">
        <v>52</v>
      </c>
      <c r="D1146" t="s">
        <v>25</v>
      </c>
      <c r="E1146" t="s">
        <v>99</v>
      </c>
      <c r="F1146" t="s">
        <v>111</v>
      </c>
      <c r="G1146">
        <v>2</v>
      </c>
      <c r="H1146">
        <v>3785.02</v>
      </c>
      <c r="I1146">
        <v>0.11</v>
      </c>
      <c r="J1146">
        <v>6737.34</v>
      </c>
      <c r="K1146">
        <f t="shared" si="51"/>
        <v>7570.04</v>
      </c>
      <c r="L1146">
        <f t="shared" si="52"/>
        <v>832.69999999999982</v>
      </c>
      <c r="M1146">
        <f t="shared" si="53"/>
        <v>6737.34</v>
      </c>
      <c r="N1146" t="s">
        <v>41</v>
      </c>
      <c r="O1146" t="s">
        <v>29</v>
      </c>
      <c r="P1146" t="s">
        <v>21</v>
      </c>
      <c r="Q1146" t="s">
        <v>22</v>
      </c>
    </row>
    <row r="1147" spans="1:17" x14ac:dyDescent="0.3">
      <c r="A1147" t="s">
        <v>1208</v>
      </c>
      <c r="B1147" s="1">
        <v>45798</v>
      </c>
      <c r="C1147" t="s">
        <v>48</v>
      </c>
      <c r="D1147" t="s">
        <v>39</v>
      </c>
      <c r="E1147" t="s">
        <v>49</v>
      </c>
      <c r="F1147" t="s">
        <v>50</v>
      </c>
      <c r="G1147">
        <v>3</v>
      </c>
      <c r="H1147">
        <v>3044.62</v>
      </c>
      <c r="I1147">
        <v>0.12</v>
      </c>
      <c r="J1147">
        <v>8037.8</v>
      </c>
      <c r="K1147">
        <f t="shared" si="51"/>
        <v>9133.86</v>
      </c>
      <c r="L1147">
        <f t="shared" si="52"/>
        <v>1096.0600000000004</v>
      </c>
      <c r="M1147">
        <f t="shared" si="53"/>
        <v>8037.8</v>
      </c>
      <c r="N1147" t="s">
        <v>19</v>
      </c>
      <c r="O1147" t="s">
        <v>34</v>
      </c>
      <c r="P1147" t="s">
        <v>30</v>
      </c>
      <c r="Q1147" t="s">
        <v>22</v>
      </c>
    </row>
    <row r="1148" spans="1:17" x14ac:dyDescent="0.3">
      <c r="A1148" t="s">
        <v>1209</v>
      </c>
      <c r="B1148" s="1">
        <v>45755</v>
      </c>
      <c r="C1148" t="s">
        <v>48</v>
      </c>
      <c r="D1148" t="s">
        <v>43</v>
      </c>
      <c r="E1148" t="s">
        <v>61</v>
      </c>
      <c r="F1148" t="s">
        <v>62</v>
      </c>
      <c r="G1148">
        <v>5</v>
      </c>
      <c r="H1148">
        <v>2063.6799999999998</v>
      </c>
      <c r="I1148">
        <v>0.01</v>
      </c>
      <c r="J1148">
        <v>10215.219999999999</v>
      </c>
      <c r="K1148">
        <f t="shared" si="51"/>
        <v>10318.4</v>
      </c>
      <c r="L1148">
        <f t="shared" si="52"/>
        <v>103.18000000000029</v>
      </c>
      <c r="M1148">
        <f t="shared" si="53"/>
        <v>10215.219999999999</v>
      </c>
      <c r="N1148" t="s">
        <v>41</v>
      </c>
      <c r="O1148" t="s">
        <v>34</v>
      </c>
      <c r="P1148" t="s">
        <v>21</v>
      </c>
      <c r="Q1148" t="s">
        <v>37</v>
      </c>
    </row>
    <row r="1149" spans="1:17" x14ac:dyDescent="0.3">
      <c r="A1149" t="s">
        <v>1210</v>
      </c>
      <c r="B1149" s="1">
        <v>45747</v>
      </c>
      <c r="C1149" t="s">
        <v>36</v>
      </c>
      <c r="D1149" t="s">
        <v>39</v>
      </c>
      <c r="E1149" t="s">
        <v>27</v>
      </c>
      <c r="F1149" t="s">
        <v>68</v>
      </c>
      <c r="G1149">
        <v>3</v>
      </c>
      <c r="H1149">
        <v>3963.99</v>
      </c>
      <c r="I1149">
        <v>0.01</v>
      </c>
      <c r="J1149">
        <v>11773.05</v>
      </c>
      <c r="K1149">
        <f t="shared" si="51"/>
        <v>11891.97</v>
      </c>
      <c r="L1149">
        <f t="shared" si="52"/>
        <v>118.92000000000007</v>
      </c>
      <c r="M1149">
        <f t="shared" si="53"/>
        <v>11773.05</v>
      </c>
      <c r="N1149" t="s">
        <v>19</v>
      </c>
      <c r="O1149" t="s">
        <v>20</v>
      </c>
      <c r="P1149" t="s">
        <v>54</v>
      </c>
      <c r="Q1149" t="s">
        <v>88</v>
      </c>
    </row>
    <row r="1150" spans="1:17" x14ac:dyDescent="0.3">
      <c r="A1150" t="s">
        <v>1211</v>
      </c>
      <c r="B1150" s="1">
        <v>45813</v>
      </c>
      <c r="C1150" t="s">
        <v>48</v>
      </c>
      <c r="D1150" t="s">
        <v>39</v>
      </c>
      <c r="E1150" t="s">
        <v>61</v>
      </c>
      <c r="F1150" t="s">
        <v>66</v>
      </c>
      <c r="G1150">
        <v>4</v>
      </c>
      <c r="H1150">
        <v>104.13</v>
      </c>
      <c r="I1150">
        <v>0.04</v>
      </c>
      <c r="J1150">
        <v>399.86</v>
      </c>
      <c r="K1150">
        <f t="shared" si="51"/>
        <v>416.52</v>
      </c>
      <c r="L1150">
        <f t="shared" si="52"/>
        <v>16.659999999999968</v>
      </c>
      <c r="M1150">
        <f t="shared" si="53"/>
        <v>399.86</v>
      </c>
      <c r="N1150" t="s">
        <v>41</v>
      </c>
      <c r="O1150" t="s">
        <v>20</v>
      </c>
      <c r="P1150" t="s">
        <v>54</v>
      </c>
      <c r="Q1150" t="s">
        <v>22</v>
      </c>
    </row>
    <row r="1151" spans="1:17" x14ac:dyDescent="0.3">
      <c r="A1151" t="s">
        <v>1212</v>
      </c>
      <c r="B1151" s="1">
        <v>45663</v>
      </c>
      <c r="C1151" t="s">
        <v>52</v>
      </c>
      <c r="D1151" t="s">
        <v>16</v>
      </c>
      <c r="E1151" t="s">
        <v>61</v>
      </c>
      <c r="F1151" t="s">
        <v>75</v>
      </c>
      <c r="G1151">
        <v>2</v>
      </c>
      <c r="H1151">
        <v>855.28</v>
      </c>
      <c r="I1151">
        <v>0.14000000000000001</v>
      </c>
      <c r="J1151">
        <v>1471.08</v>
      </c>
      <c r="K1151">
        <f t="shared" si="51"/>
        <v>1710.56</v>
      </c>
      <c r="L1151">
        <f t="shared" si="52"/>
        <v>239.48000000000002</v>
      </c>
      <c r="M1151">
        <f t="shared" si="53"/>
        <v>1471.08</v>
      </c>
      <c r="N1151" t="s">
        <v>41</v>
      </c>
      <c r="O1151" t="s">
        <v>20</v>
      </c>
      <c r="P1151" t="s">
        <v>30</v>
      </c>
      <c r="Q1151" t="s">
        <v>22</v>
      </c>
    </row>
    <row r="1152" spans="1:17" x14ac:dyDescent="0.3">
      <c r="A1152" t="s">
        <v>1213</v>
      </c>
      <c r="B1152" s="1">
        <v>45678</v>
      </c>
      <c r="C1152" t="s">
        <v>48</v>
      </c>
      <c r="D1152" t="s">
        <v>25</v>
      </c>
      <c r="E1152" t="s">
        <v>99</v>
      </c>
      <c r="F1152" t="s">
        <v>120</v>
      </c>
      <c r="G1152">
        <v>4</v>
      </c>
      <c r="H1152">
        <v>3524.02</v>
      </c>
      <c r="I1152">
        <v>0.23</v>
      </c>
      <c r="J1152">
        <v>10853.98</v>
      </c>
      <c r="K1152">
        <f t="shared" si="51"/>
        <v>14096.08</v>
      </c>
      <c r="L1152">
        <f t="shared" si="52"/>
        <v>3242.1000000000004</v>
      </c>
      <c r="M1152">
        <f t="shared" si="53"/>
        <v>10853.98</v>
      </c>
      <c r="N1152" t="s">
        <v>33</v>
      </c>
      <c r="O1152" t="s">
        <v>29</v>
      </c>
      <c r="P1152" t="s">
        <v>21</v>
      </c>
      <c r="Q1152" t="s">
        <v>88</v>
      </c>
    </row>
    <row r="1153" spans="1:17" x14ac:dyDescent="0.3">
      <c r="A1153" t="s">
        <v>1214</v>
      </c>
      <c r="B1153" s="1">
        <v>45717</v>
      </c>
      <c r="C1153" t="s">
        <v>48</v>
      </c>
      <c r="D1153" t="s">
        <v>25</v>
      </c>
      <c r="E1153" t="s">
        <v>61</v>
      </c>
      <c r="F1153" t="s">
        <v>62</v>
      </c>
      <c r="G1153">
        <v>2</v>
      </c>
      <c r="H1153">
        <v>2059.4299999999998</v>
      </c>
      <c r="I1153">
        <v>0.08</v>
      </c>
      <c r="J1153">
        <v>3789.35</v>
      </c>
      <c r="K1153">
        <f t="shared" si="51"/>
        <v>4118.8599999999997</v>
      </c>
      <c r="L1153">
        <f t="shared" si="52"/>
        <v>329.50999999999976</v>
      </c>
      <c r="M1153">
        <f t="shared" si="53"/>
        <v>3789.35</v>
      </c>
      <c r="N1153" t="s">
        <v>19</v>
      </c>
      <c r="O1153" t="s">
        <v>34</v>
      </c>
      <c r="P1153" t="s">
        <v>30</v>
      </c>
      <c r="Q1153" t="s">
        <v>22</v>
      </c>
    </row>
    <row r="1154" spans="1:17" x14ac:dyDescent="0.3">
      <c r="A1154" t="s">
        <v>1215</v>
      </c>
      <c r="B1154" s="1">
        <v>45703</v>
      </c>
      <c r="C1154" t="s">
        <v>15</v>
      </c>
      <c r="D1154" t="s">
        <v>43</v>
      </c>
      <c r="E1154" t="s">
        <v>27</v>
      </c>
      <c r="F1154" t="s">
        <v>79</v>
      </c>
      <c r="G1154">
        <v>5</v>
      </c>
      <c r="H1154">
        <v>231.79</v>
      </c>
      <c r="I1154">
        <v>0.22</v>
      </c>
      <c r="J1154">
        <v>903.98</v>
      </c>
      <c r="K1154">
        <f t="shared" si="51"/>
        <v>1158.95</v>
      </c>
      <c r="L1154">
        <f t="shared" si="52"/>
        <v>254.97000000000003</v>
      </c>
      <c r="M1154">
        <f t="shared" si="53"/>
        <v>903.98</v>
      </c>
      <c r="N1154" t="s">
        <v>41</v>
      </c>
      <c r="O1154" t="s">
        <v>29</v>
      </c>
      <c r="P1154" t="s">
        <v>54</v>
      </c>
      <c r="Q1154" t="s">
        <v>22</v>
      </c>
    </row>
    <row r="1155" spans="1:17" x14ac:dyDescent="0.3">
      <c r="A1155" t="s">
        <v>1216</v>
      </c>
      <c r="B1155" s="1">
        <v>45738</v>
      </c>
      <c r="C1155" t="s">
        <v>36</v>
      </c>
      <c r="D1155" t="s">
        <v>16</v>
      </c>
      <c r="E1155" t="s">
        <v>99</v>
      </c>
      <c r="F1155" t="s">
        <v>120</v>
      </c>
      <c r="G1155">
        <v>1</v>
      </c>
      <c r="H1155">
        <v>3263.33</v>
      </c>
      <c r="I1155">
        <v>0.03</v>
      </c>
      <c r="J1155">
        <v>3165.43</v>
      </c>
      <c r="K1155">
        <f t="shared" ref="K1155:K1218" si="54">G1155*H1155</f>
        <v>3263.33</v>
      </c>
      <c r="L1155">
        <f t="shared" ref="L1155:L1218" si="55">K1155-J1155</f>
        <v>97.900000000000091</v>
      </c>
      <c r="M1155">
        <f t="shared" ref="M1155:M1218" si="56">K1155-L1155</f>
        <v>3165.43</v>
      </c>
      <c r="N1155" t="s">
        <v>33</v>
      </c>
      <c r="O1155" t="s">
        <v>34</v>
      </c>
      <c r="P1155" t="s">
        <v>54</v>
      </c>
      <c r="Q1155" t="s">
        <v>22</v>
      </c>
    </row>
    <row r="1156" spans="1:17" x14ac:dyDescent="0.3">
      <c r="A1156" t="s">
        <v>1217</v>
      </c>
      <c r="B1156" s="1">
        <v>45794</v>
      </c>
      <c r="C1156" t="s">
        <v>15</v>
      </c>
      <c r="D1156" t="s">
        <v>25</v>
      </c>
      <c r="E1156" t="s">
        <v>49</v>
      </c>
      <c r="F1156" t="s">
        <v>56</v>
      </c>
      <c r="G1156">
        <v>2</v>
      </c>
      <c r="H1156">
        <v>2185.9899999999998</v>
      </c>
      <c r="I1156">
        <v>7.0000000000000007E-2</v>
      </c>
      <c r="J1156">
        <v>4065.94</v>
      </c>
      <c r="K1156">
        <f t="shared" si="54"/>
        <v>4371.9799999999996</v>
      </c>
      <c r="L1156">
        <f t="shared" si="55"/>
        <v>306.03999999999951</v>
      </c>
      <c r="M1156">
        <f t="shared" si="56"/>
        <v>4065.94</v>
      </c>
      <c r="N1156" t="s">
        <v>41</v>
      </c>
      <c r="O1156" t="s">
        <v>29</v>
      </c>
      <c r="P1156" t="s">
        <v>30</v>
      </c>
      <c r="Q1156" t="s">
        <v>22</v>
      </c>
    </row>
    <row r="1157" spans="1:17" x14ac:dyDescent="0.3">
      <c r="A1157" t="s">
        <v>1218</v>
      </c>
      <c r="B1157" s="1">
        <v>45707</v>
      </c>
      <c r="C1157" t="s">
        <v>52</v>
      </c>
      <c r="D1157" t="s">
        <v>39</v>
      </c>
      <c r="E1157" t="s">
        <v>49</v>
      </c>
      <c r="F1157" t="s">
        <v>73</v>
      </c>
      <c r="G1157">
        <v>5</v>
      </c>
      <c r="H1157">
        <v>4187.74</v>
      </c>
      <c r="I1157">
        <v>0.12</v>
      </c>
      <c r="J1157">
        <v>18426.060000000001</v>
      </c>
      <c r="K1157">
        <f t="shared" si="54"/>
        <v>20938.699999999997</v>
      </c>
      <c r="L1157">
        <f t="shared" si="55"/>
        <v>2512.6399999999958</v>
      </c>
      <c r="M1157">
        <f t="shared" si="56"/>
        <v>18426.060000000001</v>
      </c>
      <c r="N1157" t="s">
        <v>41</v>
      </c>
      <c r="O1157" t="s">
        <v>29</v>
      </c>
      <c r="P1157" t="s">
        <v>54</v>
      </c>
      <c r="Q1157" t="s">
        <v>22</v>
      </c>
    </row>
    <row r="1158" spans="1:17" x14ac:dyDescent="0.3">
      <c r="A1158" t="s">
        <v>1219</v>
      </c>
      <c r="B1158" s="1">
        <v>45719</v>
      </c>
      <c r="C1158" t="s">
        <v>24</v>
      </c>
      <c r="D1158" t="s">
        <v>16</v>
      </c>
      <c r="E1158" t="s">
        <v>17</v>
      </c>
      <c r="F1158" t="s">
        <v>40</v>
      </c>
      <c r="G1158">
        <v>2</v>
      </c>
      <c r="H1158">
        <v>2915.94</v>
      </c>
      <c r="I1158">
        <v>0.1</v>
      </c>
      <c r="J1158">
        <v>5248.69</v>
      </c>
      <c r="K1158">
        <f t="shared" si="54"/>
        <v>5831.88</v>
      </c>
      <c r="L1158">
        <f t="shared" si="55"/>
        <v>583.19000000000051</v>
      </c>
      <c r="M1158">
        <f t="shared" si="56"/>
        <v>5248.69</v>
      </c>
      <c r="N1158" t="s">
        <v>19</v>
      </c>
      <c r="O1158" t="s">
        <v>34</v>
      </c>
      <c r="P1158" t="s">
        <v>30</v>
      </c>
      <c r="Q1158" t="s">
        <v>22</v>
      </c>
    </row>
    <row r="1159" spans="1:17" x14ac:dyDescent="0.3">
      <c r="A1159" t="s">
        <v>1220</v>
      </c>
      <c r="B1159" s="1">
        <v>45788</v>
      </c>
      <c r="C1159" t="s">
        <v>24</v>
      </c>
      <c r="D1159" t="s">
        <v>39</v>
      </c>
      <c r="E1159" t="s">
        <v>49</v>
      </c>
      <c r="F1159" t="s">
        <v>50</v>
      </c>
      <c r="G1159">
        <v>3</v>
      </c>
      <c r="H1159">
        <v>3736.12</v>
      </c>
      <c r="I1159">
        <v>0.03</v>
      </c>
      <c r="J1159">
        <v>10872.11</v>
      </c>
      <c r="K1159">
        <f t="shared" si="54"/>
        <v>11208.36</v>
      </c>
      <c r="L1159">
        <f t="shared" si="55"/>
        <v>336.25</v>
      </c>
      <c r="M1159">
        <f t="shared" si="56"/>
        <v>10872.11</v>
      </c>
      <c r="N1159" t="s">
        <v>46</v>
      </c>
      <c r="O1159" t="s">
        <v>34</v>
      </c>
      <c r="P1159" t="s">
        <v>30</v>
      </c>
      <c r="Q1159" t="s">
        <v>88</v>
      </c>
    </row>
    <row r="1160" spans="1:17" x14ac:dyDescent="0.3">
      <c r="A1160" t="s">
        <v>1221</v>
      </c>
      <c r="B1160" s="1">
        <v>45772</v>
      </c>
      <c r="C1160" t="s">
        <v>24</v>
      </c>
      <c r="D1160" t="s">
        <v>43</v>
      </c>
      <c r="E1160" t="s">
        <v>99</v>
      </c>
      <c r="F1160" t="s">
        <v>111</v>
      </c>
      <c r="G1160">
        <v>5</v>
      </c>
      <c r="H1160">
        <v>3822.09</v>
      </c>
      <c r="I1160">
        <v>0.22</v>
      </c>
      <c r="J1160">
        <v>14906.15</v>
      </c>
      <c r="K1160">
        <f t="shared" si="54"/>
        <v>19110.45</v>
      </c>
      <c r="L1160">
        <f t="shared" si="55"/>
        <v>4204.3000000000011</v>
      </c>
      <c r="M1160">
        <f t="shared" si="56"/>
        <v>14906.15</v>
      </c>
      <c r="N1160" t="s">
        <v>19</v>
      </c>
      <c r="O1160" t="s">
        <v>34</v>
      </c>
      <c r="P1160" t="s">
        <v>54</v>
      </c>
      <c r="Q1160" t="s">
        <v>22</v>
      </c>
    </row>
    <row r="1161" spans="1:17" x14ac:dyDescent="0.3">
      <c r="A1161" t="s">
        <v>1222</v>
      </c>
      <c r="B1161" s="1">
        <v>45731</v>
      </c>
      <c r="C1161" t="s">
        <v>52</v>
      </c>
      <c r="D1161" t="s">
        <v>16</v>
      </c>
      <c r="E1161" t="s">
        <v>27</v>
      </c>
      <c r="F1161" t="s">
        <v>28</v>
      </c>
      <c r="G1161">
        <v>4</v>
      </c>
      <c r="H1161">
        <v>2230.9499999999998</v>
      </c>
      <c r="I1161">
        <v>0.12</v>
      </c>
      <c r="J1161">
        <v>7852.94</v>
      </c>
      <c r="K1161">
        <f t="shared" si="54"/>
        <v>8923.7999999999993</v>
      </c>
      <c r="L1161">
        <f t="shared" si="55"/>
        <v>1070.8599999999997</v>
      </c>
      <c r="M1161">
        <f t="shared" si="56"/>
        <v>7852.94</v>
      </c>
      <c r="N1161" t="s">
        <v>33</v>
      </c>
      <c r="O1161" t="s">
        <v>29</v>
      </c>
      <c r="P1161" t="s">
        <v>54</v>
      </c>
      <c r="Q1161" t="s">
        <v>37</v>
      </c>
    </row>
    <row r="1162" spans="1:17" x14ac:dyDescent="0.3">
      <c r="A1162" t="s">
        <v>1223</v>
      </c>
      <c r="B1162" s="1">
        <v>45751</v>
      </c>
      <c r="C1162" t="s">
        <v>24</v>
      </c>
      <c r="D1162" t="s">
        <v>16</v>
      </c>
      <c r="E1162" t="s">
        <v>49</v>
      </c>
      <c r="F1162" t="s">
        <v>53</v>
      </c>
      <c r="G1162">
        <v>3</v>
      </c>
      <c r="H1162">
        <v>1336.4</v>
      </c>
      <c r="I1162">
        <v>0.08</v>
      </c>
      <c r="J1162">
        <v>3688.46</v>
      </c>
      <c r="K1162">
        <f t="shared" si="54"/>
        <v>4009.2000000000003</v>
      </c>
      <c r="L1162">
        <f t="shared" si="55"/>
        <v>320.74000000000024</v>
      </c>
      <c r="M1162">
        <f t="shared" si="56"/>
        <v>3688.46</v>
      </c>
      <c r="N1162" t="s">
        <v>33</v>
      </c>
      <c r="O1162" t="s">
        <v>29</v>
      </c>
      <c r="P1162" t="s">
        <v>30</v>
      </c>
      <c r="Q1162" t="s">
        <v>22</v>
      </c>
    </row>
    <row r="1163" spans="1:17" x14ac:dyDescent="0.3">
      <c r="A1163" t="s">
        <v>1224</v>
      </c>
      <c r="B1163" s="1">
        <v>45767</v>
      </c>
      <c r="C1163" t="s">
        <v>15</v>
      </c>
      <c r="D1163" t="s">
        <v>16</v>
      </c>
      <c r="E1163" t="s">
        <v>61</v>
      </c>
      <c r="F1163" t="s">
        <v>66</v>
      </c>
      <c r="G1163">
        <v>4</v>
      </c>
      <c r="H1163">
        <v>1690.7</v>
      </c>
      <c r="I1163">
        <v>0.16</v>
      </c>
      <c r="J1163">
        <v>5680.75</v>
      </c>
      <c r="K1163">
        <f t="shared" si="54"/>
        <v>6762.8</v>
      </c>
      <c r="L1163">
        <f t="shared" si="55"/>
        <v>1082.0500000000002</v>
      </c>
      <c r="M1163">
        <f t="shared" si="56"/>
        <v>5680.75</v>
      </c>
      <c r="N1163" t="s">
        <v>41</v>
      </c>
      <c r="O1163" t="s">
        <v>20</v>
      </c>
      <c r="P1163" t="s">
        <v>21</v>
      </c>
      <c r="Q1163" t="s">
        <v>22</v>
      </c>
    </row>
    <row r="1164" spans="1:17" x14ac:dyDescent="0.3">
      <c r="A1164" t="s">
        <v>1225</v>
      </c>
      <c r="B1164" s="1">
        <v>45763</v>
      </c>
      <c r="C1164" t="s">
        <v>52</v>
      </c>
      <c r="D1164" t="s">
        <v>25</v>
      </c>
      <c r="E1164" t="s">
        <v>17</v>
      </c>
      <c r="F1164" t="s">
        <v>40</v>
      </c>
      <c r="G1164">
        <v>5</v>
      </c>
      <c r="H1164">
        <v>563.41</v>
      </c>
      <c r="I1164">
        <v>0.18</v>
      </c>
      <c r="J1164">
        <v>2309.98</v>
      </c>
      <c r="K1164">
        <f t="shared" si="54"/>
        <v>2817.0499999999997</v>
      </c>
      <c r="L1164">
        <f t="shared" si="55"/>
        <v>507.06999999999971</v>
      </c>
      <c r="M1164">
        <f t="shared" si="56"/>
        <v>2309.98</v>
      </c>
      <c r="N1164" t="s">
        <v>19</v>
      </c>
      <c r="O1164" t="s">
        <v>20</v>
      </c>
      <c r="P1164" t="s">
        <v>21</v>
      </c>
      <c r="Q1164" t="s">
        <v>22</v>
      </c>
    </row>
    <row r="1165" spans="1:17" x14ac:dyDescent="0.3">
      <c r="A1165" t="s">
        <v>1226</v>
      </c>
      <c r="B1165" s="1">
        <v>45726</v>
      </c>
      <c r="C1165" t="s">
        <v>48</v>
      </c>
      <c r="D1165" t="s">
        <v>39</v>
      </c>
      <c r="E1165" t="s">
        <v>99</v>
      </c>
      <c r="F1165" t="s">
        <v>111</v>
      </c>
      <c r="G1165">
        <v>5</v>
      </c>
      <c r="H1165">
        <v>2888.43</v>
      </c>
      <c r="I1165">
        <v>0.01</v>
      </c>
      <c r="J1165">
        <v>14297.73</v>
      </c>
      <c r="K1165">
        <f t="shared" si="54"/>
        <v>14442.15</v>
      </c>
      <c r="L1165">
        <f t="shared" si="55"/>
        <v>144.42000000000007</v>
      </c>
      <c r="M1165">
        <f t="shared" si="56"/>
        <v>14297.73</v>
      </c>
      <c r="N1165" t="s">
        <v>33</v>
      </c>
      <c r="O1165" t="s">
        <v>20</v>
      </c>
      <c r="P1165" t="s">
        <v>30</v>
      </c>
      <c r="Q1165" t="s">
        <v>22</v>
      </c>
    </row>
    <row r="1166" spans="1:17" x14ac:dyDescent="0.3">
      <c r="A1166" t="s">
        <v>1227</v>
      </c>
      <c r="B1166" s="1">
        <v>45742</v>
      </c>
      <c r="C1166" t="s">
        <v>48</v>
      </c>
      <c r="D1166" t="s">
        <v>25</v>
      </c>
      <c r="E1166" t="s">
        <v>27</v>
      </c>
      <c r="F1166" t="s">
        <v>79</v>
      </c>
      <c r="G1166">
        <v>1</v>
      </c>
      <c r="H1166">
        <v>1755.09</v>
      </c>
      <c r="I1166">
        <v>0.16</v>
      </c>
      <c r="J1166">
        <v>1474.28</v>
      </c>
      <c r="K1166">
        <f t="shared" si="54"/>
        <v>1755.09</v>
      </c>
      <c r="L1166">
        <f t="shared" si="55"/>
        <v>280.80999999999995</v>
      </c>
      <c r="M1166">
        <f t="shared" si="56"/>
        <v>1474.28</v>
      </c>
      <c r="N1166" t="s">
        <v>33</v>
      </c>
      <c r="O1166" t="s">
        <v>29</v>
      </c>
      <c r="P1166" t="s">
        <v>30</v>
      </c>
      <c r="Q1166" t="s">
        <v>22</v>
      </c>
    </row>
    <row r="1167" spans="1:17" x14ac:dyDescent="0.3">
      <c r="A1167" t="s">
        <v>1228</v>
      </c>
      <c r="B1167" s="1">
        <v>45804</v>
      </c>
      <c r="C1167" t="s">
        <v>24</v>
      </c>
      <c r="D1167" t="s">
        <v>43</v>
      </c>
      <c r="E1167" t="s">
        <v>61</v>
      </c>
      <c r="F1167" t="s">
        <v>66</v>
      </c>
      <c r="G1167">
        <v>2</v>
      </c>
      <c r="H1167">
        <v>2897.39</v>
      </c>
      <c r="I1167">
        <v>0.25</v>
      </c>
      <c r="J1167">
        <v>4346.09</v>
      </c>
      <c r="K1167">
        <f t="shared" si="54"/>
        <v>5794.78</v>
      </c>
      <c r="L1167">
        <f t="shared" si="55"/>
        <v>1448.6899999999996</v>
      </c>
      <c r="M1167">
        <f t="shared" si="56"/>
        <v>4346.09</v>
      </c>
      <c r="N1167" t="s">
        <v>41</v>
      </c>
      <c r="O1167" t="s">
        <v>20</v>
      </c>
      <c r="P1167" t="s">
        <v>21</v>
      </c>
      <c r="Q1167" t="s">
        <v>22</v>
      </c>
    </row>
    <row r="1168" spans="1:17" x14ac:dyDescent="0.3">
      <c r="A1168" t="s">
        <v>1229</v>
      </c>
      <c r="B1168" s="1">
        <v>45766</v>
      </c>
      <c r="C1168" t="s">
        <v>36</v>
      </c>
      <c r="D1168" t="s">
        <v>39</v>
      </c>
      <c r="E1168" t="s">
        <v>17</v>
      </c>
      <c r="F1168" t="s">
        <v>32</v>
      </c>
      <c r="G1168">
        <v>4</v>
      </c>
      <c r="H1168">
        <v>1446.46</v>
      </c>
      <c r="I1168">
        <v>0.17</v>
      </c>
      <c r="J1168">
        <v>4802.25</v>
      </c>
      <c r="K1168">
        <f t="shared" si="54"/>
        <v>5785.84</v>
      </c>
      <c r="L1168">
        <f t="shared" si="55"/>
        <v>983.59000000000015</v>
      </c>
      <c r="M1168">
        <f t="shared" si="56"/>
        <v>4802.25</v>
      </c>
      <c r="N1168" t="s">
        <v>41</v>
      </c>
      <c r="O1168" t="s">
        <v>20</v>
      </c>
      <c r="P1168" t="s">
        <v>54</v>
      </c>
      <c r="Q1168" t="s">
        <v>22</v>
      </c>
    </row>
    <row r="1169" spans="1:17" x14ac:dyDescent="0.3">
      <c r="A1169" t="s">
        <v>1230</v>
      </c>
      <c r="B1169" s="1">
        <v>45724</v>
      </c>
      <c r="C1169" t="s">
        <v>52</v>
      </c>
      <c r="D1169" t="s">
        <v>43</v>
      </c>
      <c r="E1169" t="s">
        <v>17</v>
      </c>
      <c r="F1169" t="s">
        <v>40</v>
      </c>
      <c r="G1169">
        <v>1</v>
      </c>
      <c r="H1169">
        <v>2095.1999999999998</v>
      </c>
      <c r="I1169">
        <v>0</v>
      </c>
      <c r="J1169">
        <v>2095.1999999999998</v>
      </c>
      <c r="K1169">
        <f t="shared" si="54"/>
        <v>2095.1999999999998</v>
      </c>
      <c r="L1169">
        <f t="shared" si="55"/>
        <v>0</v>
      </c>
      <c r="M1169">
        <f t="shared" si="56"/>
        <v>2095.1999999999998</v>
      </c>
      <c r="N1169" t="s">
        <v>46</v>
      </c>
      <c r="O1169" t="s">
        <v>34</v>
      </c>
      <c r="P1169" t="s">
        <v>30</v>
      </c>
      <c r="Q1169" t="s">
        <v>22</v>
      </c>
    </row>
    <row r="1170" spans="1:17" x14ac:dyDescent="0.3">
      <c r="A1170" t="s">
        <v>1231</v>
      </c>
      <c r="B1170" s="1">
        <v>45728</v>
      </c>
      <c r="C1170" t="s">
        <v>24</v>
      </c>
      <c r="D1170" t="s">
        <v>39</v>
      </c>
      <c r="E1170" t="s">
        <v>49</v>
      </c>
      <c r="F1170" t="s">
        <v>53</v>
      </c>
      <c r="G1170">
        <v>1</v>
      </c>
      <c r="H1170">
        <v>3574.14</v>
      </c>
      <c r="I1170">
        <v>0.06</v>
      </c>
      <c r="J1170">
        <v>3359.69</v>
      </c>
      <c r="K1170">
        <f t="shared" si="54"/>
        <v>3574.14</v>
      </c>
      <c r="L1170">
        <f t="shared" si="55"/>
        <v>214.44999999999982</v>
      </c>
      <c r="M1170">
        <f t="shared" si="56"/>
        <v>3359.69</v>
      </c>
      <c r="N1170" t="s">
        <v>19</v>
      </c>
      <c r="O1170" t="s">
        <v>20</v>
      </c>
      <c r="P1170" t="s">
        <v>21</v>
      </c>
      <c r="Q1170" t="s">
        <v>22</v>
      </c>
    </row>
    <row r="1171" spans="1:17" x14ac:dyDescent="0.3">
      <c r="A1171" t="s">
        <v>1232</v>
      </c>
      <c r="B1171" s="1">
        <v>45796</v>
      </c>
      <c r="C1171" t="s">
        <v>36</v>
      </c>
      <c r="D1171" t="s">
        <v>16</v>
      </c>
      <c r="E1171" t="s">
        <v>27</v>
      </c>
      <c r="F1171" t="s">
        <v>87</v>
      </c>
      <c r="G1171">
        <v>5</v>
      </c>
      <c r="H1171">
        <v>1710.88</v>
      </c>
      <c r="I1171">
        <v>0.1</v>
      </c>
      <c r="J1171">
        <v>7698.96</v>
      </c>
      <c r="K1171">
        <f t="shared" si="54"/>
        <v>8554.4000000000015</v>
      </c>
      <c r="L1171">
        <f t="shared" si="55"/>
        <v>855.44000000000142</v>
      </c>
      <c r="M1171">
        <f t="shared" si="56"/>
        <v>7698.96</v>
      </c>
      <c r="N1171" t="s">
        <v>41</v>
      </c>
      <c r="O1171" t="s">
        <v>29</v>
      </c>
      <c r="P1171" t="s">
        <v>21</v>
      </c>
      <c r="Q1171" t="s">
        <v>22</v>
      </c>
    </row>
    <row r="1172" spans="1:17" x14ac:dyDescent="0.3">
      <c r="A1172" t="s">
        <v>1233</v>
      </c>
      <c r="B1172" s="1">
        <v>45748</v>
      </c>
      <c r="C1172" t="s">
        <v>48</v>
      </c>
      <c r="D1172" t="s">
        <v>25</v>
      </c>
      <c r="E1172" t="s">
        <v>99</v>
      </c>
      <c r="F1172" t="s">
        <v>111</v>
      </c>
      <c r="G1172">
        <v>4</v>
      </c>
      <c r="H1172">
        <v>1132.1199999999999</v>
      </c>
      <c r="I1172">
        <v>0.17</v>
      </c>
      <c r="J1172">
        <v>3758.64</v>
      </c>
      <c r="K1172">
        <f t="shared" si="54"/>
        <v>4528.4799999999996</v>
      </c>
      <c r="L1172">
        <f t="shared" si="55"/>
        <v>769.83999999999969</v>
      </c>
      <c r="M1172">
        <f t="shared" si="56"/>
        <v>3758.64</v>
      </c>
      <c r="N1172" t="s">
        <v>19</v>
      </c>
      <c r="O1172" t="s">
        <v>34</v>
      </c>
      <c r="P1172" t="s">
        <v>21</v>
      </c>
      <c r="Q1172" t="s">
        <v>22</v>
      </c>
    </row>
    <row r="1173" spans="1:17" x14ac:dyDescent="0.3">
      <c r="A1173" t="s">
        <v>1234</v>
      </c>
      <c r="B1173" s="1">
        <v>45712</v>
      </c>
      <c r="C1173" t="s">
        <v>48</v>
      </c>
      <c r="D1173" t="s">
        <v>39</v>
      </c>
      <c r="E1173" t="s">
        <v>17</v>
      </c>
      <c r="F1173" t="s">
        <v>18</v>
      </c>
      <c r="G1173">
        <v>1</v>
      </c>
      <c r="H1173">
        <v>1117</v>
      </c>
      <c r="I1173">
        <v>0.25</v>
      </c>
      <c r="J1173">
        <v>837.75</v>
      </c>
      <c r="K1173">
        <f t="shared" si="54"/>
        <v>1117</v>
      </c>
      <c r="L1173">
        <f t="shared" si="55"/>
        <v>279.25</v>
      </c>
      <c r="M1173">
        <f t="shared" si="56"/>
        <v>837.75</v>
      </c>
      <c r="N1173" t="s">
        <v>33</v>
      </c>
      <c r="O1173" t="s">
        <v>34</v>
      </c>
      <c r="P1173" t="s">
        <v>30</v>
      </c>
      <c r="Q1173" t="s">
        <v>22</v>
      </c>
    </row>
    <row r="1174" spans="1:17" x14ac:dyDescent="0.3">
      <c r="A1174" t="s">
        <v>1235</v>
      </c>
      <c r="B1174" s="1">
        <v>45719</v>
      </c>
      <c r="C1174" t="s">
        <v>48</v>
      </c>
      <c r="D1174" t="s">
        <v>25</v>
      </c>
      <c r="E1174" t="s">
        <v>99</v>
      </c>
      <c r="F1174" t="s">
        <v>115</v>
      </c>
      <c r="G1174">
        <v>5</v>
      </c>
      <c r="H1174">
        <v>2966.19</v>
      </c>
      <c r="I1174">
        <v>0.16</v>
      </c>
      <c r="J1174">
        <v>12458</v>
      </c>
      <c r="K1174">
        <f t="shared" si="54"/>
        <v>14830.95</v>
      </c>
      <c r="L1174">
        <f t="shared" si="55"/>
        <v>2372.9500000000007</v>
      </c>
      <c r="M1174">
        <f t="shared" si="56"/>
        <v>12458</v>
      </c>
      <c r="N1174" t="s">
        <v>58</v>
      </c>
      <c r="O1174" t="s">
        <v>20</v>
      </c>
      <c r="P1174" t="s">
        <v>21</v>
      </c>
      <c r="Q1174" t="s">
        <v>22</v>
      </c>
    </row>
    <row r="1175" spans="1:17" x14ac:dyDescent="0.3">
      <c r="A1175" t="s">
        <v>1236</v>
      </c>
      <c r="B1175" s="1">
        <v>45708</v>
      </c>
      <c r="C1175" t="s">
        <v>36</v>
      </c>
      <c r="D1175" t="s">
        <v>16</v>
      </c>
      <c r="E1175" t="s">
        <v>17</v>
      </c>
      <c r="F1175" t="s">
        <v>32</v>
      </c>
      <c r="G1175">
        <v>4</v>
      </c>
      <c r="H1175">
        <v>4613.76</v>
      </c>
      <c r="I1175">
        <v>0.03</v>
      </c>
      <c r="J1175">
        <v>17901.39</v>
      </c>
      <c r="K1175">
        <f t="shared" si="54"/>
        <v>18455.04</v>
      </c>
      <c r="L1175">
        <f t="shared" si="55"/>
        <v>553.65000000000146</v>
      </c>
      <c r="M1175">
        <f t="shared" si="56"/>
        <v>17901.39</v>
      </c>
      <c r="N1175" t="s">
        <v>41</v>
      </c>
      <c r="O1175" t="s">
        <v>20</v>
      </c>
      <c r="P1175" t="s">
        <v>21</v>
      </c>
      <c r="Q1175" t="s">
        <v>22</v>
      </c>
    </row>
    <row r="1176" spans="1:17" x14ac:dyDescent="0.3">
      <c r="A1176" t="s">
        <v>1237</v>
      </c>
      <c r="B1176" s="1">
        <v>45704</v>
      </c>
      <c r="C1176" t="s">
        <v>24</v>
      </c>
      <c r="D1176" t="s">
        <v>25</v>
      </c>
      <c r="E1176" t="s">
        <v>61</v>
      </c>
      <c r="F1176" t="s">
        <v>75</v>
      </c>
      <c r="G1176">
        <v>2</v>
      </c>
      <c r="H1176">
        <v>4337.9799999999996</v>
      </c>
      <c r="I1176">
        <v>0.19</v>
      </c>
      <c r="J1176">
        <v>7027.53</v>
      </c>
      <c r="K1176">
        <f t="shared" si="54"/>
        <v>8675.9599999999991</v>
      </c>
      <c r="L1176">
        <f t="shared" si="55"/>
        <v>1648.4299999999994</v>
      </c>
      <c r="M1176">
        <f t="shared" si="56"/>
        <v>7027.53</v>
      </c>
      <c r="N1176" t="s">
        <v>33</v>
      </c>
      <c r="O1176" t="s">
        <v>34</v>
      </c>
      <c r="P1176" t="s">
        <v>21</v>
      </c>
      <c r="Q1176" t="s">
        <v>22</v>
      </c>
    </row>
    <row r="1177" spans="1:17" x14ac:dyDescent="0.3">
      <c r="A1177" t="s">
        <v>1238</v>
      </c>
      <c r="B1177" s="1">
        <v>45683</v>
      </c>
      <c r="C1177" t="s">
        <v>48</v>
      </c>
      <c r="D1177" t="s">
        <v>39</v>
      </c>
      <c r="E1177" t="s">
        <v>99</v>
      </c>
      <c r="F1177" t="s">
        <v>100</v>
      </c>
      <c r="G1177">
        <v>3</v>
      </c>
      <c r="H1177">
        <v>3875.45</v>
      </c>
      <c r="I1177">
        <v>0.16</v>
      </c>
      <c r="J1177">
        <v>9766.1299999999992</v>
      </c>
      <c r="K1177">
        <f t="shared" si="54"/>
        <v>11626.349999999999</v>
      </c>
      <c r="L1177">
        <f t="shared" si="55"/>
        <v>1860.2199999999993</v>
      </c>
      <c r="M1177">
        <f t="shared" si="56"/>
        <v>9766.1299999999992</v>
      </c>
      <c r="N1177" t="s">
        <v>33</v>
      </c>
      <c r="O1177" t="s">
        <v>34</v>
      </c>
      <c r="P1177" t="s">
        <v>21</v>
      </c>
      <c r="Q1177" t="s">
        <v>22</v>
      </c>
    </row>
    <row r="1178" spans="1:17" x14ac:dyDescent="0.3">
      <c r="A1178" t="s">
        <v>1239</v>
      </c>
      <c r="B1178" s="1">
        <v>45800</v>
      </c>
      <c r="C1178" t="s">
        <v>52</v>
      </c>
      <c r="D1178" t="s">
        <v>43</v>
      </c>
      <c r="E1178" t="s">
        <v>27</v>
      </c>
      <c r="F1178" t="s">
        <v>87</v>
      </c>
      <c r="G1178">
        <v>4</v>
      </c>
      <c r="H1178">
        <v>1502.79</v>
      </c>
      <c r="I1178">
        <v>0.23</v>
      </c>
      <c r="J1178">
        <v>4628.59</v>
      </c>
      <c r="K1178">
        <f t="shared" si="54"/>
        <v>6011.16</v>
      </c>
      <c r="L1178">
        <f t="shared" si="55"/>
        <v>1382.5699999999997</v>
      </c>
      <c r="M1178">
        <f t="shared" si="56"/>
        <v>4628.59</v>
      </c>
      <c r="N1178" t="s">
        <v>41</v>
      </c>
      <c r="O1178" t="s">
        <v>34</v>
      </c>
      <c r="P1178" t="s">
        <v>54</v>
      </c>
      <c r="Q1178" t="s">
        <v>22</v>
      </c>
    </row>
    <row r="1179" spans="1:17" x14ac:dyDescent="0.3">
      <c r="A1179" t="s">
        <v>1240</v>
      </c>
      <c r="B1179" s="1">
        <v>45697</v>
      </c>
      <c r="C1179" t="s">
        <v>48</v>
      </c>
      <c r="D1179" t="s">
        <v>25</v>
      </c>
      <c r="E1179" t="s">
        <v>17</v>
      </c>
      <c r="F1179" t="s">
        <v>32</v>
      </c>
      <c r="G1179">
        <v>1</v>
      </c>
      <c r="H1179">
        <v>1978.43</v>
      </c>
      <c r="I1179">
        <v>0.16</v>
      </c>
      <c r="J1179">
        <v>1661.88</v>
      </c>
      <c r="K1179">
        <f t="shared" si="54"/>
        <v>1978.43</v>
      </c>
      <c r="L1179">
        <f t="shared" si="55"/>
        <v>316.54999999999995</v>
      </c>
      <c r="M1179">
        <f t="shared" si="56"/>
        <v>1661.88</v>
      </c>
      <c r="N1179" t="s">
        <v>19</v>
      </c>
      <c r="O1179" t="s">
        <v>29</v>
      </c>
      <c r="P1179" t="s">
        <v>30</v>
      </c>
      <c r="Q1179" t="s">
        <v>22</v>
      </c>
    </row>
    <row r="1180" spans="1:17" x14ac:dyDescent="0.3">
      <c r="A1180" t="s">
        <v>1241</v>
      </c>
      <c r="B1180" s="1">
        <v>45721</v>
      </c>
      <c r="C1180" t="s">
        <v>52</v>
      </c>
      <c r="D1180" t="s">
        <v>25</v>
      </c>
      <c r="E1180" t="s">
        <v>17</v>
      </c>
      <c r="F1180" t="s">
        <v>44</v>
      </c>
      <c r="G1180">
        <v>5</v>
      </c>
      <c r="H1180">
        <v>4994.66</v>
      </c>
      <c r="I1180">
        <v>0.15</v>
      </c>
      <c r="J1180">
        <v>21227.31</v>
      </c>
      <c r="K1180">
        <f t="shared" si="54"/>
        <v>24973.3</v>
      </c>
      <c r="L1180">
        <f t="shared" si="55"/>
        <v>3745.989999999998</v>
      </c>
      <c r="M1180">
        <f t="shared" si="56"/>
        <v>21227.31</v>
      </c>
      <c r="N1180" t="s">
        <v>33</v>
      </c>
      <c r="O1180" t="s">
        <v>29</v>
      </c>
      <c r="P1180" t="s">
        <v>21</v>
      </c>
      <c r="Q1180" t="s">
        <v>37</v>
      </c>
    </row>
    <row r="1181" spans="1:17" x14ac:dyDescent="0.3">
      <c r="A1181" t="s">
        <v>1242</v>
      </c>
      <c r="B1181" s="1">
        <v>45683</v>
      </c>
      <c r="C1181" t="s">
        <v>52</v>
      </c>
      <c r="D1181" t="s">
        <v>25</v>
      </c>
      <c r="E1181" t="s">
        <v>99</v>
      </c>
      <c r="F1181" t="s">
        <v>100</v>
      </c>
      <c r="G1181">
        <v>4</v>
      </c>
      <c r="H1181">
        <v>3453.38</v>
      </c>
      <c r="I1181">
        <v>0.24</v>
      </c>
      <c r="J1181">
        <v>10498.28</v>
      </c>
      <c r="K1181">
        <f t="shared" si="54"/>
        <v>13813.52</v>
      </c>
      <c r="L1181">
        <f t="shared" si="55"/>
        <v>3315.24</v>
      </c>
      <c r="M1181">
        <f t="shared" si="56"/>
        <v>10498.28</v>
      </c>
      <c r="N1181" t="s">
        <v>33</v>
      </c>
      <c r="O1181" t="s">
        <v>29</v>
      </c>
      <c r="P1181" t="s">
        <v>54</v>
      </c>
      <c r="Q1181" t="s">
        <v>22</v>
      </c>
    </row>
    <row r="1182" spans="1:17" x14ac:dyDescent="0.3">
      <c r="A1182" t="s">
        <v>1243</v>
      </c>
      <c r="B1182" s="1">
        <v>45804</v>
      </c>
      <c r="C1182" t="s">
        <v>48</v>
      </c>
      <c r="D1182" t="s">
        <v>39</v>
      </c>
      <c r="E1182" t="s">
        <v>61</v>
      </c>
      <c r="F1182" t="s">
        <v>75</v>
      </c>
      <c r="G1182">
        <v>2</v>
      </c>
      <c r="H1182">
        <v>958.53</v>
      </c>
      <c r="I1182">
        <v>0.23</v>
      </c>
      <c r="J1182">
        <v>1476.14</v>
      </c>
      <c r="K1182">
        <f t="shared" si="54"/>
        <v>1917.06</v>
      </c>
      <c r="L1182">
        <f t="shared" si="55"/>
        <v>440.91999999999985</v>
      </c>
      <c r="M1182">
        <f t="shared" si="56"/>
        <v>1476.14</v>
      </c>
      <c r="N1182" t="s">
        <v>46</v>
      </c>
      <c r="O1182" t="s">
        <v>29</v>
      </c>
      <c r="P1182" t="s">
        <v>54</v>
      </c>
      <c r="Q1182" t="s">
        <v>22</v>
      </c>
    </row>
    <row r="1183" spans="1:17" x14ac:dyDescent="0.3">
      <c r="A1183" t="s">
        <v>1244</v>
      </c>
      <c r="B1183" s="1">
        <v>45764</v>
      </c>
      <c r="C1183" t="s">
        <v>52</v>
      </c>
      <c r="D1183" t="s">
        <v>43</v>
      </c>
      <c r="E1183" t="s">
        <v>17</v>
      </c>
      <c r="F1183" t="s">
        <v>18</v>
      </c>
      <c r="G1183">
        <v>4</v>
      </c>
      <c r="H1183">
        <v>1300.73</v>
      </c>
      <c r="I1183">
        <v>0.15</v>
      </c>
      <c r="J1183">
        <v>4422.4799999999996</v>
      </c>
      <c r="K1183">
        <f t="shared" si="54"/>
        <v>5202.92</v>
      </c>
      <c r="L1183">
        <f t="shared" si="55"/>
        <v>780.44000000000051</v>
      </c>
      <c r="M1183">
        <f t="shared" si="56"/>
        <v>4422.4799999999996</v>
      </c>
      <c r="N1183" t="s">
        <v>33</v>
      </c>
      <c r="O1183" t="s">
        <v>34</v>
      </c>
      <c r="P1183" t="s">
        <v>54</v>
      </c>
      <c r="Q1183" t="s">
        <v>59</v>
      </c>
    </row>
    <row r="1184" spans="1:17" x14ac:dyDescent="0.3">
      <c r="A1184" t="s">
        <v>1245</v>
      </c>
      <c r="B1184" s="1">
        <v>45808</v>
      </c>
      <c r="C1184" t="s">
        <v>36</v>
      </c>
      <c r="D1184" t="s">
        <v>16</v>
      </c>
      <c r="E1184" t="s">
        <v>27</v>
      </c>
      <c r="F1184" t="s">
        <v>79</v>
      </c>
      <c r="G1184">
        <v>2</v>
      </c>
      <c r="H1184">
        <v>2364.84</v>
      </c>
      <c r="I1184">
        <v>0.24</v>
      </c>
      <c r="J1184">
        <v>3594.56</v>
      </c>
      <c r="K1184">
        <f t="shared" si="54"/>
        <v>4729.68</v>
      </c>
      <c r="L1184">
        <f t="shared" si="55"/>
        <v>1135.1200000000003</v>
      </c>
      <c r="M1184">
        <f t="shared" si="56"/>
        <v>3594.56</v>
      </c>
      <c r="N1184" t="s">
        <v>46</v>
      </c>
      <c r="O1184" t="s">
        <v>20</v>
      </c>
      <c r="P1184" t="s">
        <v>54</v>
      </c>
      <c r="Q1184" t="s">
        <v>22</v>
      </c>
    </row>
    <row r="1185" spans="1:17" x14ac:dyDescent="0.3">
      <c r="A1185" t="s">
        <v>1246</v>
      </c>
      <c r="B1185" s="1">
        <v>45794</v>
      </c>
      <c r="C1185" t="s">
        <v>48</v>
      </c>
      <c r="D1185" t="s">
        <v>16</v>
      </c>
      <c r="E1185" t="s">
        <v>49</v>
      </c>
      <c r="F1185" t="s">
        <v>50</v>
      </c>
      <c r="G1185">
        <v>3</v>
      </c>
      <c r="H1185">
        <v>4428.45</v>
      </c>
      <c r="I1185">
        <v>0.13</v>
      </c>
      <c r="J1185">
        <v>11558.25</v>
      </c>
      <c r="K1185">
        <f t="shared" si="54"/>
        <v>13285.349999999999</v>
      </c>
      <c r="L1185">
        <f t="shared" si="55"/>
        <v>1727.0999999999985</v>
      </c>
      <c r="M1185">
        <f t="shared" si="56"/>
        <v>11558.25</v>
      </c>
      <c r="N1185" t="s">
        <v>58</v>
      </c>
      <c r="O1185" t="s">
        <v>34</v>
      </c>
      <c r="P1185" t="s">
        <v>21</v>
      </c>
      <c r="Q1185" t="s">
        <v>22</v>
      </c>
    </row>
    <row r="1186" spans="1:17" x14ac:dyDescent="0.3">
      <c r="A1186" t="s">
        <v>1247</v>
      </c>
      <c r="B1186" s="1">
        <v>45695</v>
      </c>
      <c r="C1186" t="s">
        <v>48</v>
      </c>
      <c r="D1186" t="s">
        <v>25</v>
      </c>
      <c r="E1186" t="s">
        <v>17</v>
      </c>
      <c r="F1186" t="s">
        <v>32</v>
      </c>
      <c r="G1186">
        <v>4</v>
      </c>
      <c r="H1186">
        <v>3611.46</v>
      </c>
      <c r="I1186">
        <v>0.13</v>
      </c>
      <c r="J1186">
        <v>12567.88</v>
      </c>
      <c r="K1186">
        <f t="shared" si="54"/>
        <v>14445.84</v>
      </c>
      <c r="L1186">
        <f t="shared" si="55"/>
        <v>1877.9600000000009</v>
      </c>
      <c r="M1186">
        <f t="shared" si="56"/>
        <v>12567.88</v>
      </c>
      <c r="N1186" t="s">
        <v>58</v>
      </c>
      <c r="O1186" t="s">
        <v>34</v>
      </c>
      <c r="P1186" t="s">
        <v>21</v>
      </c>
      <c r="Q1186" t="s">
        <v>22</v>
      </c>
    </row>
    <row r="1187" spans="1:17" x14ac:dyDescent="0.3">
      <c r="A1187" t="s">
        <v>1248</v>
      </c>
      <c r="B1187" s="1">
        <v>45697</v>
      </c>
      <c r="C1187" t="s">
        <v>52</v>
      </c>
      <c r="D1187" t="s">
        <v>39</v>
      </c>
      <c r="E1187" t="s">
        <v>17</v>
      </c>
      <c r="F1187" t="s">
        <v>18</v>
      </c>
      <c r="G1187">
        <v>1</v>
      </c>
      <c r="H1187">
        <v>3637.77</v>
      </c>
      <c r="I1187">
        <v>0.09</v>
      </c>
      <c r="J1187">
        <v>3310.37</v>
      </c>
      <c r="K1187">
        <f t="shared" si="54"/>
        <v>3637.77</v>
      </c>
      <c r="L1187">
        <f t="shared" si="55"/>
        <v>327.40000000000009</v>
      </c>
      <c r="M1187">
        <f t="shared" si="56"/>
        <v>3310.37</v>
      </c>
      <c r="N1187" t="s">
        <v>46</v>
      </c>
      <c r="O1187" t="s">
        <v>29</v>
      </c>
      <c r="P1187" t="s">
        <v>21</v>
      </c>
      <c r="Q1187" t="s">
        <v>22</v>
      </c>
    </row>
    <row r="1188" spans="1:17" x14ac:dyDescent="0.3">
      <c r="A1188" t="s">
        <v>1249</v>
      </c>
      <c r="B1188" s="1">
        <v>45702</v>
      </c>
      <c r="C1188" t="s">
        <v>52</v>
      </c>
      <c r="D1188" t="s">
        <v>25</v>
      </c>
      <c r="E1188" t="s">
        <v>61</v>
      </c>
      <c r="F1188" t="s">
        <v>92</v>
      </c>
      <c r="G1188">
        <v>3</v>
      </c>
      <c r="H1188">
        <v>3245.97</v>
      </c>
      <c r="I1188">
        <v>0.02</v>
      </c>
      <c r="J1188">
        <v>9543.15</v>
      </c>
      <c r="K1188">
        <f t="shared" si="54"/>
        <v>9737.91</v>
      </c>
      <c r="L1188">
        <f t="shared" si="55"/>
        <v>194.76000000000022</v>
      </c>
      <c r="M1188">
        <f t="shared" si="56"/>
        <v>9543.15</v>
      </c>
      <c r="N1188" t="s">
        <v>46</v>
      </c>
      <c r="O1188" t="s">
        <v>20</v>
      </c>
      <c r="P1188" t="s">
        <v>21</v>
      </c>
      <c r="Q1188" t="s">
        <v>88</v>
      </c>
    </row>
    <row r="1189" spans="1:17" x14ac:dyDescent="0.3">
      <c r="A1189" t="s">
        <v>1250</v>
      </c>
      <c r="B1189" s="1">
        <v>45803</v>
      </c>
      <c r="C1189" t="s">
        <v>15</v>
      </c>
      <c r="D1189" t="s">
        <v>16</v>
      </c>
      <c r="E1189" t="s">
        <v>99</v>
      </c>
      <c r="F1189" t="s">
        <v>111</v>
      </c>
      <c r="G1189">
        <v>4</v>
      </c>
      <c r="H1189">
        <v>3527.85</v>
      </c>
      <c r="I1189">
        <v>0.14000000000000001</v>
      </c>
      <c r="J1189">
        <v>12135.8</v>
      </c>
      <c r="K1189">
        <f t="shared" si="54"/>
        <v>14111.4</v>
      </c>
      <c r="L1189">
        <f t="shared" si="55"/>
        <v>1975.6000000000004</v>
      </c>
      <c r="M1189">
        <f t="shared" si="56"/>
        <v>12135.8</v>
      </c>
      <c r="N1189" t="s">
        <v>41</v>
      </c>
      <c r="O1189" t="s">
        <v>34</v>
      </c>
      <c r="P1189" t="s">
        <v>21</v>
      </c>
      <c r="Q1189" t="s">
        <v>88</v>
      </c>
    </row>
    <row r="1190" spans="1:17" x14ac:dyDescent="0.3">
      <c r="A1190" t="s">
        <v>1251</v>
      </c>
      <c r="B1190" s="1">
        <v>45754</v>
      </c>
      <c r="C1190" t="s">
        <v>24</v>
      </c>
      <c r="D1190" t="s">
        <v>43</v>
      </c>
      <c r="E1190" t="s">
        <v>61</v>
      </c>
      <c r="F1190" t="s">
        <v>66</v>
      </c>
      <c r="G1190">
        <v>5</v>
      </c>
      <c r="H1190">
        <v>1877.35</v>
      </c>
      <c r="I1190">
        <v>7.0000000000000007E-2</v>
      </c>
      <c r="J1190">
        <v>8729.68</v>
      </c>
      <c r="K1190">
        <f t="shared" si="54"/>
        <v>9386.75</v>
      </c>
      <c r="L1190">
        <f t="shared" si="55"/>
        <v>657.06999999999971</v>
      </c>
      <c r="M1190">
        <f t="shared" si="56"/>
        <v>8729.68</v>
      </c>
      <c r="N1190" t="s">
        <v>19</v>
      </c>
      <c r="O1190" t="s">
        <v>34</v>
      </c>
      <c r="P1190" t="s">
        <v>21</v>
      </c>
      <c r="Q1190" t="s">
        <v>22</v>
      </c>
    </row>
    <row r="1191" spans="1:17" x14ac:dyDescent="0.3">
      <c r="A1191" t="s">
        <v>1252</v>
      </c>
      <c r="B1191" s="1">
        <v>45713</v>
      </c>
      <c r="C1191" t="s">
        <v>48</v>
      </c>
      <c r="D1191" t="s">
        <v>39</v>
      </c>
      <c r="E1191" t="s">
        <v>99</v>
      </c>
      <c r="F1191" t="s">
        <v>115</v>
      </c>
      <c r="G1191">
        <v>2</v>
      </c>
      <c r="H1191">
        <v>817.98</v>
      </c>
      <c r="I1191">
        <v>7.0000000000000007E-2</v>
      </c>
      <c r="J1191">
        <v>1521.44</v>
      </c>
      <c r="K1191">
        <f t="shared" si="54"/>
        <v>1635.96</v>
      </c>
      <c r="L1191">
        <f t="shared" si="55"/>
        <v>114.51999999999998</v>
      </c>
      <c r="M1191">
        <f t="shared" si="56"/>
        <v>1521.44</v>
      </c>
      <c r="N1191" t="s">
        <v>46</v>
      </c>
      <c r="O1191" t="s">
        <v>20</v>
      </c>
      <c r="P1191" t="s">
        <v>30</v>
      </c>
      <c r="Q1191" t="s">
        <v>22</v>
      </c>
    </row>
    <row r="1192" spans="1:17" x14ac:dyDescent="0.3">
      <c r="A1192" t="s">
        <v>1253</v>
      </c>
      <c r="B1192" s="1">
        <v>45800</v>
      </c>
      <c r="C1192" t="s">
        <v>36</v>
      </c>
      <c r="D1192" t="s">
        <v>25</v>
      </c>
      <c r="E1192" t="s">
        <v>17</v>
      </c>
      <c r="F1192" t="s">
        <v>44</v>
      </c>
      <c r="G1192">
        <v>5</v>
      </c>
      <c r="H1192">
        <v>159.13</v>
      </c>
      <c r="I1192">
        <v>0.09</v>
      </c>
      <c r="J1192">
        <v>724.04</v>
      </c>
      <c r="K1192">
        <f t="shared" si="54"/>
        <v>795.65</v>
      </c>
      <c r="L1192">
        <f t="shared" si="55"/>
        <v>71.610000000000014</v>
      </c>
      <c r="M1192">
        <f t="shared" si="56"/>
        <v>724.04</v>
      </c>
      <c r="N1192" t="s">
        <v>46</v>
      </c>
      <c r="O1192" t="s">
        <v>20</v>
      </c>
      <c r="P1192" t="s">
        <v>21</v>
      </c>
      <c r="Q1192" t="s">
        <v>22</v>
      </c>
    </row>
    <row r="1193" spans="1:17" x14ac:dyDescent="0.3">
      <c r="A1193" t="s">
        <v>1254</v>
      </c>
      <c r="B1193" s="1">
        <v>45774</v>
      </c>
      <c r="C1193" t="s">
        <v>52</v>
      </c>
      <c r="D1193" t="s">
        <v>43</v>
      </c>
      <c r="E1193" t="s">
        <v>61</v>
      </c>
      <c r="F1193" t="s">
        <v>66</v>
      </c>
      <c r="G1193">
        <v>3</v>
      </c>
      <c r="H1193">
        <v>2664.35</v>
      </c>
      <c r="I1193">
        <v>0.09</v>
      </c>
      <c r="J1193">
        <v>7273.68</v>
      </c>
      <c r="K1193">
        <f t="shared" si="54"/>
        <v>7993.0499999999993</v>
      </c>
      <c r="L1193">
        <f t="shared" si="55"/>
        <v>719.36999999999898</v>
      </c>
      <c r="M1193">
        <f t="shared" si="56"/>
        <v>7273.68</v>
      </c>
      <c r="N1193" t="s">
        <v>33</v>
      </c>
      <c r="O1193" t="s">
        <v>29</v>
      </c>
      <c r="P1193" t="s">
        <v>30</v>
      </c>
      <c r="Q1193" t="s">
        <v>37</v>
      </c>
    </row>
    <row r="1194" spans="1:17" x14ac:dyDescent="0.3">
      <c r="A1194" t="s">
        <v>1255</v>
      </c>
      <c r="B1194" s="1">
        <v>45807</v>
      </c>
      <c r="C1194" t="s">
        <v>48</v>
      </c>
      <c r="D1194" t="s">
        <v>43</v>
      </c>
      <c r="E1194" t="s">
        <v>49</v>
      </c>
      <c r="F1194" t="s">
        <v>73</v>
      </c>
      <c r="G1194">
        <v>1</v>
      </c>
      <c r="H1194">
        <v>1777.6</v>
      </c>
      <c r="I1194">
        <v>0.08</v>
      </c>
      <c r="J1194">
        <v>1635.39</v>
      </c>
      <c r="K1194">
        <f t="shared" si="54"/>
        <v>1777.6</v>
      </c>
      <c r="L1194">
        <f t="shared" si="55"/>
        <v>142.20999999999981</v>
      </c>
      <c r="M1194">
        <f t="shared" si="56"/>
        <v>1635.39</v>
      </c>
      <c r="N1194" t="s">
        <v>41</v>
      </c>
      <c r="O1194" t="s">
        <v>20</v>
      </c>
      <c r="P1194" t="s">
        <v>54</v>
      </c>
      <c r="Q1194" t="s">
        <v>22</v>
      </c>
    </row>
    <row r="1195" spans="1:17" x14ac:dyDescent="0.3">
      <c r="A1195" t="s">
        <v>1256</v>
      </c>
      <c r="B1195" s="1">
        <v>45761</v>
      </c>
      <c r="C1195" t="s">
        <v>15</v>
      </c>
      <c r="D1195" t="s">
        <v>43</v>
      </c>
      <c r="E1195" t="s">
        <v>17</v>
      </c>
      <c r="F1195" t="s">
        <v>44</v>
      </c>
      <c r="G1195">
        <v>5</v>
      </c>
      <c r="H1195">
        <v>4572.24</v>
      </c>
      <c r="I1195">
        <v>0.23</v>
      </c>
      <c r="J1195">
        <v>17603.12</v>
      </c>
      <c r="K1195">
        <f t="shared" si="54"/>
        <v>22861.199999999997</v>
      </c>
      <c r="L1195">
        <f t="shared" si="55"/>
        <v>5258.0799999999981</v>
      </c>
      <c r="M1195">
        <f t="shared" si="56"/>
        <v>17603.12</v>
      </c>
      <c r="N1195" t="s">
        <v>41</v>
      </c>
      <c r="O1195" t="s">
        <v>34</v>
      </c>
      <c r="P1195" t="s">
        <v>21</v>
      </c>
      <c r="Q1195" t="s">
        <v>22</v>
      </c>
    </row>
    <row r="1196" spans="1:17" x14ac:dyDescent="0.3">
      <c r="A1196" t="s">
        <v>1257</v>
      </c>
      <c r="B1196" s="1">
        <v>45775</v>
      </c>
      <c r="C1196" t="s">
        <v>48</v>
      </c>
      <c r="D1196" t="s">
        <v>16</v>
      </c>
      <c r="E1196" t="s">
        <v>99</v>
      </c>
      <c r="F1196" t="s">
        <v>120</v>
      </c>
      <c r="G1196">
        <v>5</v>
      </c>
      <c r="H1196">
        <v>429.27</v>
      </c>
      <c r="I1196">
        <v>0.14000000000000001</v>
      </c>
      <c r="J1196">
        <v>1845.86</v>
      </c>
      <c r="K1196">
        <f t="shared" si="54"/>
        <v>2146.35</v>
      </c>
      <c r="L1196">
        <f t="shared" si="55"/>
        <v>300.49</v>
      </c>
      <c r="M1196">
        <f t="shared" si="56"/>
        <v>1845.86</v>
      </c>
      <c r="N1196" t="s">
        <v>58</v>
      </c>
      <c r="O1196" t="s">
        <v>34</v>
      </c>
      <c r="P1196" t="s">
        <v>21</v>
      </c>
      <c r="Q1196" t="s">
        <v>59</v>
      </c>
    </row>
    <row r="1197" spans="1:17" x14ac:dyDescent="0.3">
      <c r="A1197" t="s">
        <v>1258</v>
      </c>
      <c r="B1197" s="1">
        <v>45714</v>
      </c>
      <c r="C1197" t="s">
        <v>36</v>
      </c>
      <c r="D1197" t="s">
        <v>43</v>
      </c>
      <c r="E1197" t="s">
        <v>17</v>
      </c>
      <c r="F1197" t="s">
        <v>40</v>
      </c>
      <c r="G1197">
        <v>2</v>
      </c>
      <c r="H1197">
        <v>1354.75</v>
      </c>
      <c r="I1197">
        <v>0.18</v>
      </c>
      <c r="J1197">
        <v>2221.79</v>
      </c>
      <c r="K1197">
        <f t="shared" si="54"/>
        <v>2709.5</v>
      </c>
      <c r="L1197">
        <f t="shared" si="55"/>
        <v>487.71000000000004</v>
      </c>
      <c r="M1197">
        <f t="shared" si="56"/>
        <v>2221.79</v>
      </c>
      <c r="N1197" t="s">
        <v>33</v>
      </c>
      <c r="O1197" t="s">
        <v>20</v>
      </c>
      <c r="P1197" t="s">
        <v>21</v>
      </c>
      <c r="Q1197" t="s">
        <v>22</v>
      </c>
    </row>
    <row r="1198" spans="1:17" x14ac:dyDescent="0.3">
      <c r="A1198" t="s">
        <v>1259</v>
      </c>
      <c r="B1198" s="1">
        <v>45679</v>
      </c>
      <c r="C1198" t="s">
        <v>24</v>
      </c>
      <c r="D1198" t="s">
        <v>16</v>
      </c>
      <c r="E1198" t="s">
        <v>49</v>
      </c>
      <c r="F1198" t="s">
        <v>73</v>
      </c>
      <c r="G1198">
        <v>5</v>
      </c>
      <c r="H1198">
        <v>1459.64</v>
      </c>
      <c r="I1198">
        <v>0.19</v>
      </c>
      <c r="J1198">
        <v>5911.54</v>
      </c>
      <c r="K1198">
        <f t="shared" si="54"/>
        <v>7298.2000000000007</v>
      </c>
      <c r="L1198">
        <f t="shared" si="55"/>
        <v>1386.6600000000008</v>
      </c>
      <c r="M1198">
        <f t="shared" si="56"/>
        <v>5911.54</v>
      </c>
      <c r="N1198" t="s">
        <v>33</v>
      </c>
      <c r="O1198" t="s">
        <v>34</v>
      </c>
      <c r="P1198" t="s">
        <v>21</v>
      </c>
      <c r="Q1198" t="s">
        <v>37</v>
      </c>
    </row>
    <row r="1199" spans="1:17" x14ac:dyDescent="0.3">
      <c r="A1199" t="s">
        <v>1260</v>
      </c>
      <c r="B1199" s="1">
        <v>45821</v>
      </c>
      <c r="C1199" t="s">
        <v>24</v>
      </c>
      <c r="D1199" t="s">
        <v>16</v>
      </c>
      <c r="E1199" t="s">
        <v>61</v>
      </c>
      <c r="F1199" t="s">
        <v>66</v>
      </c>
      <c r="G1199">
        <v>2</v>
      </c>
      <c r="H1199">
        <v>2969.82</v>
      </c>
      <c r="I1199">
        <v>0.15</v>
      </c>
      <c r="J1199">
        <v>5048.6899999999996</v>
      </c>
      <c r="K1199">
        <f t="shared" si="54"/>
        <v>5939.64</v>
      </c>
      <c r="L1199">
        <f t="shared" si="55"/>
        <v>890.95000000000073</v>
      </c>
      <c r="M1199">
        <f t="shared" si="56"/>
        <v>5048.6899999999996</v>
      </c>
      <c r="N1199" t="s">
        <v>19</v>
      </c>
      <c r="O1199" t="s">
        <v>20</v>
      </c>
      <c r="P1199" t="s">
        <v>30</v>
      </c>
      <c r="Q1199" t="s">
        <v>22</v>
      </c>
    </row>
    <row r="1200" spans="1:17" x14ac:dyDescent="0.3">
      <c r="A1200" t="s">
        <v>1261</v>
      </c>
      <c r="B1200" s="1">
        <v>45697</v>
      </c>
      <c r="C1200" t="s">
        <v>24</v>
      </c>
      <c r="D1200" t="s">
        <v>43</v>
      </c>
      <c r="E1200" t="s">
        <v>17</v>
      </c>
      <c r="F1200" t="s">
        <v>32</v>
      </c>
      <c r="G1200">
        <v>1</v>
      </c>
      <c r="H1200">
        <v>2265.3000000000002</v>
      </c>
      <c r="I1200">
        <v>0.12</v>
      </c>
      <c r="J1200">
        <v>1993.46</v>
      </c>
      <c r="K1200">
        <f t="shared" si="54"/>
        <v>2265.3000000000002</v>
      </c>
      <c r="L1200">
        <f t="shared" si="55"/>
        <v>271.84000000000015</v>
      </c>
      <c r="M1200">
        <f t="shared" si="56"/>
        <v>1993.46</v>
      </c>
      <c r="N1200" t="s">
        <v>19</v>
      </c>
      <c r="O1200" t="s">
        <v>34</v>
      </c>
      <c r="P1200" t="s">
        <v>54</v>
      </c>
      <c r="Q1200" t="s">
        <v>22</v>
      </c>
    </row>
    <row r="1201" spans="1:17" x14ac:dyDescent="0.3">
      <c r="A1201" t="s">
        <v>1262</v>
      </c>
      <c r="B1201" s="1">
        <v>45717</v>
      </c>
      <c r="C1201" t="s">
        <v>36</v>
      </c>
      <c r="D1201" t="s">
        <v>25</v>
      </c>
      <c r="E1201" t="s">
        <v>99</v>
      </c>
      <c r="F1201" t="s">
        <v>120</v>
      </c>
      <c r="G1201">
        <v>4</v>
      </c>
      <c r="H1201">
        <v>3909.24</v>
      </c>
      <c r="I1201">
        <v>0.05</v>
      </c>
      <c r="J1201">
        <v>14855.11</v>
      </c>
      <c r="K1201">
        <f t="shared" si="54"/>
        <v>15636.96</v>
      </c>
      <c r="L1201">
        <f t="shared" si="55"/>
        <v>781.84999999999854</v>
      </c>
      <c r="M1201">
        <f t="shared" si="56"/>
        <v>14855.11</v>
      </c>
      <c r="N1201" t="s">
        <v>41</v>
      </c>
      <c r="O1201" t="s">
        <v>20</v>
      </c>
      <c r="P1201" t="s">
        <v>21</v>
      </c>
      <c r="Q1201" t="s">
        <v>59</v>
      </c>
    </row>
    <row r="1202" spans="1:17" x14ac:dyDescent="0.3">
      <c r="A1202" t="s">
        <v>1263</v>
      </c>
      <c r="B1202" s="1">
        <v>45704</v>
      </c>
      <c r="C1202" t="s">
        <v>36</v>
      </c>
      <c r="D1202" t="s">
        <v>39</v>
      </c>
      <c r="E1202" t="s">
        <v>99</v>
      </c>
      <c r="F1202" t="s">
        <v>115</v>
      </c>
      <c r="G1202">
        <v>2</v>
      </c>
      <c r="H1202">
        <v>1710.33</v>
      </c>
      <c r="I1202">
        <v>0.12</v>
      </c>
      <c r="J1202">
        <v>3010.18</v>
      </c>
      <c r="K1202">
        <f t="shared" si="54"/>
        <v>3420.66</v>
      </c>
      <c r="L1202">
        <f t="shared" si="55"/>
        <v>410.48</v>
      </c>
      <c r="M1202">
        <f t="shared" si="56"/>
        <v>3010.18</v>
      </c>
      <c r="N1202" t="s">
        <v>46</v>
      </c>
      <c r="O1202" t="s">
        <v>34</v>
      </c>
      <c r="P1202" t="s">
        <v>30</v>
      </c>
      <c r="Q1202" t="s">
        <v>22</v>
      </c>
    </row>
    <row r="1203" spans="1:17" x14ac:dyDescent="0.3">
      <c r="A1203" t="s">
        <v>1264</v>
      </c>
      <c r="B1203" s="1">
        <v>45730</v>
      </c>
      <c r="C1203" t="s">
        <v>15</v>
      </c>
      <c r="D1203" t="s">
        <v>43</v>
      </c>
      <c r="E1203" t="s">
        <v>27</v>
      </c>
      <c r="F1203" t="s">
        <v>68</v>
      </c>
      <c r="G1203">
        <v>5</v>
      </c>
      <c r="H1203">
        <v>2565.0100000000002</v>
      </c>
      <c r="I1203">
        <v>0.16</v>
      </c>
      <c r="J1203">
        <v>10773.04</v>
      </c>
      <c r="K1203">
        <f t="shared" si="54"/>
        <v>12825.050000000001</v>
      </c>
      <c r="L1203">
        <f t="shared" si="55"/>
        <v>2052.0100000000002</v>
      </c>
      <c r="M1203">
        <f t="shared" si="56"/>
        <v>10773.04</v>
      </c>
      <c r="N1203" t="s">
        <v>46</v>
      </c>
      <c r="O1203" t="s">
        <v>29</v>
      </c>
      <c r="P1203" t="s">
        <v>54</v>
      </c>
      <c r="Q1203" t="s">
        <v>22</v>
      </c>
    </row>
    <row r="1204" spans="1:17" x14ac:dyDescent="0.3">
      <c r="A1204" t="s">
        <v>1265</v>
      </c>
      <c r="B1204" s="1">
        <v>45694</v>
      </c>
      <c r="C1204" t="s">
        <v>48</v>
      </c>
      <c r="D1204" t="s">
        <v>25</v>
      </c>
      <c r="E1204" t="s">
        <v>99</v>
      </c>
      <c r="F1204" t="s">
        <v>115</v>
      </c>
      <c r="G1204">
        <v>1</v>
      </c>
      <c r="H1204">
        <v>3826.15</v>
      </c>
      <c r="I1204">
        <v>0.17</v>
      </c>
      <c r="J1204">
        <v>3175.7</v>
      </c>
      <c r="K1204">
        <f t="shared" si="54"/>
        <v>3826.15</v>
      </c>
      <c r="L1204">
        <f t="shared" si="55"/>
        <v>650.45000000000027</v>
      </c>
      <c r="M1204">
        <f t="shared" si="56"/>
        <v>3175.7</v>
      </c>
      <c r="N1204" t="s">
        <v>19</v>
      </c>
      <c r="O1204" t="s">
        <v>20</v>
      </c>
      <c r="P1204" t="s">
        <v>54</v>
      </c>
      <c r="Q1204" t="s">
        <v>22</v>
      </c>
    </row>
    <row r="1205" spans="1:17" x14ac:dyDescent="0.3">
      <c r="A1205" t="s">
        <v>1266</v>
      </c>
      <c r="B1205" s="1">
        <v>45718</v>
      </c>
      <c r="C1205" t="s">
        <v>52</v>
      </c>
      <c r="D1205" t="s">
        <v>25</v>
      </c>
      <c r="E1205" t="s">
        <v>27</v>
      </c>
      <c r="F1205" t="s">
        <v>68</v>
      </c>
      <c r="G1205">
        <v>2</v>
      </c>
      <c r="H1205">
        <v>1605.28</v>
      </c>
      <c r="I1205">
        <v>0.08</v>
      </c>
      <c r="J1205">
        <v>2953.72</v>
      </c>
      <c r="K1205">
        <f t="shared" si="54"/>
        <v>3210.56</v>
      </c>
      <c r="L1205">
        <f t="shared" si="55"/>
        <v>256.84000000000015</v>
      </c>
      <c r="M1205">
        <f t="shared" si="56"/>
        <v>2953.72</v>
      </c>
      <c r="N1205" t="s">
        <v>58</v>
      </c>
      <c r="O1205" t="s">
        <v>20</v>
      </c>
      <c r="P1205" t="s">
        <v>21</v>
      </c>
      <c r="Q1205" t="s">
        <v>22</v>
      </c>
    </row>
    <row r="1206" spans="1:17" x14ac:dyDescent="0.3">
      <c r="A1206" t="s">
        <v>1267</v>
      </c>
      <c r="B1206" s="1">
        <v>45662</v>
      </c>
      <c r="C1206" t="s">
        <v>36</v>
      </c>
      <c r="D1206" t="s">
        <v>43</v>
      </c>
      <c r="E1206" t="s">
        <v>99</v>
      </c>
      <c r="F1206" t="s">
        <v>100</v>
      </c>
      <c r="G1206">
        <v>2</v>
      </c>
      <c r="H1206">
        <v>1040.33</v>
      </c>
      <c r="I1206">
        <v>0.1</v>
      </c>
      <c r="J1206">
        <v>1872.59</v>
      </c>
      <c r="K1206">
        <f t="shared" si="54"/>
        <v>2080.66</v>
      </c>
      <c r="L1206">
        <f t="shared" si="55"/>
        <v>208.06999999999994</v>
      </c>
      <c r="M1206">
        <f t="shared" si="56"/>
        <v>1872.59</v>
      </c>
      <c r="N1206" t="s">
        <v>19</v>
      </c>
      <c r="O1206" t="s">
        <v>34</v>
      </c>
      <c r="P1206" t="s">
        <v>54</v>
      </c>
      <c r="Q1206" t="s">
        <v>22</v>
      </c>
    </row>
    <row r="1207" spans="1:17" x14ac:dyDescent="0.3">
      <c r="A1207" t="s">
        <v>1268</v>
      </c>
      <c r="B1207" s="1">
        <v>45797</v>
      </c>
      <c r="C1207" t="s">
        <v>36</v>
      </c>
      <c r="D1207" t="s">
        <v>43</v>
      </c>
      <c r="E1207" t="s">
        <v>61</v>
      </c>
      <c r="F1207" t="s">
        <v>66</v>
      </c>
      <c r="G1207">
        <v>5</v>
      </c>
      <c r="H1207">
        <v>3964.87</v>
      </c>
      <c r="I1207">
        <v>0.19</v>
      </c>
      <c r="J1207">
        <v>16057.72</v>
      </c>
      <c r="K1207">
        <f t="shared" si="54"/>
        <v>19824.349999999999</v>
      </c>
      <c r="L1207">
        <f t="shared" si="55"/>
        <v>3766.6299999999992</v>
      </c>
      <c r="M1207">
        <f t="shared" si="56"/>
        <v>16057.72</v>
      </c>
      <c r="N1207" t="s">
        <v>41</v>
      </c>
      <c r="O1207" t="s">
        <v>29</v>
      </c>
      <c r="P1207" t="s">
        <v>30</v>
      </c>
      <c r="Q1207" t="s">
        <v>37</v>
      </c>
    </row>
    <row r="1208" spans="1:17" x14ac:dyDescent="0.3">
      <c r="A1208" t="s">
        <v>1269</v>
      </c>
      <c r="B1208" s="1">
        <v>45763</v>
      </c>
      <c r="C1208" t="s">
        <v>15</v>
      </c>
      <c r="D1208" t="s">
        <v>25</v>
      </c>
      <c r="E1208" t="s">
        <v>49</v>
      </c>
      <c r="F1208" t="s">
        <v>53</v>
      </c>
      <c r="G1208">
        <v>3</v>
      </c>
      <c r="H1208">
        <v>3660.88</v>
      </c>
      <c r="I1208">
        <v>0.21</v>
      </c>
      <c r="J1208">
        <v>8676.2900000000009</v>
      </c>
      <c r="K1208">
        <f t="shared" si="54"/>
        <v>10982.64</v>
      </c>
      <c r="L1208">
        <f t="shared" si="55"/>
        <v>2306.3499999999985</v>
      </c>
      <c r="M1208">
        <f t="shared" si="56"/>
        <v>8676.2900000000009</v>
      </c>
      <c r="N1208" t="s">
        <v>19</v>
      </c>
      <c r="O1208" t="s">
        <v>34</v>
      </c>
      <c r="P1208" t="s">
        <v>30</v>
      </c>
      <c r="Q1208" t="s">
        <v>22</v>
      </c>
    </row>
    <row r="1209" spans="1:17" x14ac:dyDescent="0.3">
      <c r="A1209" t="s">
        <v>1270</v>
      </c>
      <c r="B1209" s="1">
        <v>45684</v>
      </c>
      <c r="C1209" t="s">
        <v>48</v>
      </c>
      <c r="D1209" t="s">
        <v>25</v>
      </c>
      <c r="E1209" t="s">
        <v>27</v>
      </c>
      <c r="F1209" t="s">
        <v>87</v>
      </c>
      <c r="G1209">
        <v>1</v>
      </c>
      <c r="H1209">
        <v>4846.53</v>
      </c>
      <c r="I1209">
        <v>0.09</v>
      </c>
      <c r="J1209">
        <v>4410.34</v>
      </c>
      <c r="K1209">
        <f t="shared" si="54"/>
        <v>4846.53</v>
      </c>
      <c r="L1209">
        <f t="shared" si="55"/>
        <v>436.1899999999996</v>
      </c>
      <c r="M1209">
        <f t="shared" si="56"/>
        <v>4410.34</v>
      </c>
      <c r="N1209" t="s">
        <v>58</v>
      </c>
      <c r="O1209" t="s">
        <v>34</v>
      </c>
      <c r="P1209" t="s">
        <v>54</v>
      </c>
      <c r="Q1209" t="s">
        <v>88</v>
      </c>
    </row>
    <row r="1210" spans="1:17" x14ac:dyDescent="0.3">
      <c r="A1210" t="s">
        <v>1271</v>
      </c>
      <c r="B1210" s="1">
        <v>45713</v>
      </c>
      <c r="C1210" t="s">
        <v>52</v>
      </c>
      <c r="D1210" t="s">
        <v>39</v>
      </c>
      <c r="E1210" t="s">
        <v>17</v>
      </c>
      <c r="F1210" t="s">
        <v>44</v>
      </c>
      <c r="G1210">
        <v>3</v>
      </c>
      <c r="H1210">
        <v>216.03</v>
      </c>
      <c r="I1210">
        <v>0.11</v>
      </c>
      <c r="J1210">
        <v>576.79999999999995</v>
      </c>
      <c r="K1210">
        <f t="shared" si="54"/>
        <v>648.09</v>
      </c>
      <c r="L1210">
        <f t="shared" si="55"/>
        <v>71.290000000000077</v>
      </c>
      <c r="M1210">
        <f t="shared" si="56"/>
        <v>576.79999999999995</v>
      </c>
      <c r="N1210" t="s">
        <v>46</v>
      </c>
      <c r="O1210" t="s">
        <v>34</v>
      </c>
      <c r="P1210" t="s">
        <v>30</v>
      </c>
      <c r="Q1210" t="s">
        <v>22</v>
      </c>
    </row>
    <row r="1211" spans="1:17" x14ac:dyDescent="0.3">
      <c r="A1211" t="s">
        <v>1272</v>
      </c>
      <c r="B1211" s="1">
        <v>45668</v>
      </c>
      <c r="C1211" t="s">
        <v>36</v>
      </c>
      <c r="D1211" t="s">
        <v>25</v>
      </c>
      <c r="E1211" t="s">
        <v>61</v>
      </c>
      <c r="F1211" t="s">
        <v>75</v>
      </c>
      <c r="G1211">
        <v>3</v>
      </c>
      <c r="H1211">
        <v>623.49</v>
      </c>
      <c r="I1211">
        <v>0.06</v>
      </c>
      <c r="J1211">
        <v>1758.24</v>
      </c>
      <c r="K1211">
        <f t="shared" si="54"/>
        <v>1870.47</v>
      </c>
      <c r="L1211">
        <f t="shared" si="55"/>
        <v>112.23000000000002</v>
      </c>
      <c r="M1211">
        <f t="shared" si="56"/>
        <v>1758.24</v>
      </c>
      <c r="N1211" t="s">
        <v>33</v>
      </c>
      <c r="O1211" t="s">
        <v>34</v>
      </c>
      <c r="P1211" t="s">
        <v>30</v>
      </c>
      <c r="Q1211" t="s">
        <v>37</v>
      </c>
    </row>
    <row r="1212" spans="1:17" x14ac:dyDescent="0.3">
      <c r="A1212" t="s">
        <v>1273</v>
      </c>
      <c r="B1212" s="1">
        <v>45670</v>
      </c>
      <c r="C1212" t="s">
        <v>24</v>
      </c>
      <c r="D1212" t="s">
        <v>25</v>
      </c>
      <c r="E1212" t="s">
        <v>27</v>
      </c>
      <c r="F1212" t="s">
        <v>87</v>
      </c>
      <c r="G1212">
        <v>4</v>
      </c>
      <c r="H1212">
        <v>1324.25</v>
      </c>
      <c r="I1212">
        <v>0.25</v>
      </c>
      <c r="J1212">
        <v>3972.75</v>
      </c>
      <c r="K1212">
        <f t="shared" si="54"/>
        <v>5297</v>
      </c>
      <c r="L1212">
        <f t="shared" si="55"/>
        <v>1324.25</v>
      </c>
      <c r="M1212">
        <f t="shared" si="56"/>
        <v>3972.75</v>
      </c>
      <c r="N1212" t="s">
        <v>41</v>
      </c>
      <c r="O1212" t="s">
        <v>29</v>
      </c>
      <c r="P1212" t="s">
        <v>21</v>
      </c>
      <c r="Q1212" t="s">
        <v>22</v>
      </c>
    </row>
    <row r="1213" spans="1:17" x14ac:dyDescent="0.3">
      <c r="A1213" t="s">
        <v>1274</v>
      </c>
      <c r="B1213" s="1">
        <v>45767</v>
      </c>
      <c r="C1213" t="s">
        <v>15</v>
      </c>
      <c r="D1213" t="s">
        <v>16</v>
      </c>
      <c r="E1213" t="s">
        <v>17</v>
      </c>
      <c r="F1213" t="s">
        <v>32</v>
      </c>
      <c r="G1213">
        <v>4</v>
      </c>
      <c r="H1213">
        <v>4625.67</v>
      </c>
      <c r="I1213">
        <v>0.03</v>
      </c>
      <c r="J1213">
        <v>17947.599999999999</v>
      </c>
      <c r="K1213">
        <f t="shared" si="54"/>
        <v>18502.68</v>
      </c>
      <c r="L1213">
        <f t="shared" si="55"/>
        <v>555.08000000000175</v>
      </c>
      <c r="M1213">
        <f t="shared" si="56"/>
        <v>17947.599999999999</v>
      </c>
      <c r="N1213" t="s">
        <v>33</v>
      </c>
      <c r="O1213" t="s">
        <v>34</v>
      </c>
      <c r="P1213" t="s">
        <v>54</v>
      </c>
      <c r="Q1213" t="s">
        <v>22</v>
      </c>
    </row>
    <row r="1214" spans="1:17" x14ac:dyDescent="0.3">
      <c r="A1214" t="s">
        <v>1275</v>
      </c>
      <c r="B1214" s="1">
        <v>45716</v>
      </c>
      <c r="C1214" t="s">
        <v>52</v>
      </c>
      <c r="D1214" t="s">
        <v>39</v>
      </c>
      <c r="E1214" t="s">
        <v>49</v>
      </c>
      <c r="F1214" t="s">
        <v>73</v>
      </c>
      <c r="G1214">
        <v>5</v>
      </c>
      <c r="H1214">
        <v>1079.97</v>
      </c>
      <c r="I1214">
        <v>0.02</v>
      </c>
      <c r="J1214">
        <v>5291.85</v>
      </c>
      <c r="K1214">
        <f t="shared" si="54"/>
        <v>5399.85</v>
      </c>
      <c r="L1214">
        <f t="shared" si="55"/>
        <v>108</v>
      </c>
      <c r="M1214">
        <f t="shared" si="56"/>
        <v>5291.85</v>
      </c>
      <c r="N1214" t="s">
        <v>33</v>
      </c>
      <c r="O1214" t="s">
        <v>34</v>
      </c>
      <c r="P1214" t="s">
        <v>54</v>
      </c>
      <c r="Q1214" t="s">
        <v>22</v>
      </c>
    </row>
    <row r="1215" spans="1:17" x14ac:dyDescent="0.3">
      <c r="A1215" t="s">
        <v>1276</v>
      </c>
      <c r="B1215" s="1">
        <v>45795</v>
      </c>
      <c r="C1215" t="s">
        <v>24</v>
      </c>
      <c r="D1215" t="s">
        <v>43</v>
      </c>
      <c r="E1215" t="s">
        <v>99</v>
      </c>
      <c r="F1215" t="s">
        <v>111</v>
      </c>
      <c r="G1215">
        <v>3</v>
      </c>
      <c r="H1215">
        <v>4790.28</v>
      </c>
      <c r="I1215">
        <v>0.09</v>
      </c>
      <c r="J1215">
        <v>13077.46</v>
      </c>
      <c r="K1215">
        <f t="shared" si="54"/>
        <v>14370.84</v>
      </c>
      <c r="L1215">
        <f t="shared" si="55"/>
        <v>1293.380000000001</v>
      </c>
      <c r="M1215">
        <f t="shared" si="56"/>
        <v>13077.46</v>
      </c>
      <c r="N1215" t="s">
        <v>19</v>
      </c>
      <c r="O1215" t="s">
        <v>20</v>
      </c>
      <c r="P1215" t="s">
        <v>30</v>
      </c>
      <c r="Q1215" t="s">
        <v>22</v>
      </c>
    </row>
    <row r="1216" spans="1:17" x14ac:dyDescent="0.3">
      <c r="A1216" t="s">
        <v>1277</v>
      </c>
      <c r="B1216" s="1">
        <v>45684</v>
      </c>
      <c r="C1216" t="s">
        <v>48</v>
      </c>
      <c r="D1216" t="s">
        <v>16</v>
      </c>
      <c r="E1216" t="s">
        <v>49</v>
      </c>
      <c r="F1216" t="s">
        <v>73</v>
      </c>
      <c r="G1216">
        <v>2</v>
      </c>
      <c r="H1216">
        <v>3420.58</v>
      </c>
      <c r="I1216">
        <v>0.18</v>
      </c>
      <c r="J1216">
        <v>5609.75</v>
      </c>
      <c r="K1216">
        <f t="shared" si="54"/>
        <v>6841.16</v>
      </c>
      <c r="L1216">
        <f t="shared" si="55"/>
        <v>1231.4099999999999</v>
      </c>
      <c r="M1216">
        <f t="shared" si="56"/>
        <v>5609.75</v>
      </c>
      <c r="N1216" t="s">
        <v>46</v>
      </c>
      <c r="O1216" t="s">
        <v>34</v>
      </c>
      <c r="P1216" t="s">
        <v>30</v>
      </c>
      <c r="Q1216" t="s">
        <v>22</v>
      </c>
    </row>
    <row r="1217" spans="1:17" x14ac:dyDescent="0.3">
      <c r="A1217" t="s">
        <v>1278</v>
      </c>
      <c r="B1217" s="1">
        <v>45783</v>
      </c>
      <c r="C1217" t="s">
        <v>48</v>
      </c>
      <c r="D1217" t="s">
        <v>16</v>
      </c>
      <c r="E1217" t="s">
        <v>49</v>
      </c>
      <c r="F1217" t="s">
        <v>50</v>
      </c>
      <c r="G1217">
        <v>5</v>
      </c>
      <c r="H1217">
        <v>395.4</v>
      </c>
      <c r="I1217">
        <v>0.25</v>
      </c>
      <c r="J1217">
        <v>1482.75</v>
      </c>
      <c r="K1217">
        <f t="shared" si="54"/>
        <v>1977</v>
      </c>
      <c r="L1217">
        <f t="shared" si="55"/>
        <v>494.25</v>
      </c>
      <c r="M1217">
        <f t="shared" si="56"/>
        <v>1482.75</v>
      </c>
      <c r="N1217" t="s">
        <v>41</v>
      </c>
      <c r="O1217" t="s">
        <v>20</v>
      </c>
      <c r="P1217" t="s">
        <v>30</v>
      </c>
      <c r="Q1217" t="s">
        <v>22</v>
      </c>
    </row>
    <row r="1218" spans="1:17" x14ac:dyDescent="0.3">
      <c r="A1218" t="s">
        <v>1279</v>
      </c>
      <c r="B1218" s="1">
        <v>45828</v>
      </c>
      <c r="C1218" t="s">
        <v>36</v>
      </c>
      <c r="D1218" t="s">
        <v>16</v>
      </c>
      <c r="E1218" t="s">
        <v>17</v>
      </c>
      <c r="F1218" t="s">
        <v>32</v>
      </c>
      <c r="G1218">
        <v>5</v>
      </c>
      <c r="H1218">
        <v>1735.39</v>
      </c>
      <c r="I1218">
        <v>0.02</v>
      </c>
      <c r="J1218">
        <v>8503.41</v>
      </c>
      <c r="K1218">
        <f t="shared" si="54"/>
        <v>8676.9500000000007</v>
      </c>
      <c r="L1218">
        <f t="shared" si="55"/>
        <v>173.54000000000087</v>
      </c>
      <c r="M1218">
        <f t="shared" si="56"/>
        <v>8503.41</v>
      </c>
      <c r="N1218" t="s">
        <v>41</v>
      </c>
      <c r="O1218" t="s">
        <v>34</v>
      </c>
      <c r="P1218" t="s">
        <v>54</v>
      </c>
      <c r="Q1218" t="s">
        <v>59</v>
      </c>
    </row>
    <row r="1219" spans="1:17" x14ac:dyDescent="0.3">
      <c r="A1219" t="s">
        <v>1280</v>
      </c>
      <c r="B1219" s="1">
        <v>45806</v>
      </c>
      <c r="C1219" t="s">
        <v>36</v>
      </c>
      <c r="D1219" t="s">
        <v>25</v>
      </c>
      <c r="E1219" t="s">
        <v>17</v>
      </c>
      <c r="F1219" t="s">
        <v>44</v>
      </c>
      <c r="G1219">
        <v>4</v>
      </c>
      <c r="H1219">
        <v>3089.15</v>
      </c>
      <c r="I1219">
        <v>0.25</v>
      </c>
      <c r="J1219">
        <v>9267.4500000000007</v>
      </c>
      <c r="K1219">
        <f t="shared" ref="K1219:K1282" si="57">G1219*H1219</f>
        <v>12356.6</v>
      </c>
      <c r="L1219">
        <f t="shared" ref="L1219:L1282" si="58">K1219-J1219</f>
        <v>3089.1499999999996</v>
      </c>
      <c r="M1219">
        <f t="shared" ref="M1219:M1282" si="59">K1219-L1219</f>
        <v>9267.4500000000007</v>
      </c>
      <c r="N1219" t="s">
        <v>58</v>
      </c>
      <c r="O1219" t="s">
        <v>29</v>
      </c>
      <c r="P1219" t="s">
        <v>54</v>
      </c>
      <c r="Q1219" t="s">
        <v>88</v>
      </c>
    </row>
    <row r="1220" spans="1:17" x14ac:dyDescent="0.3">
      <c r="A1220" t="s">
        <v>1281</v>
      </c>
      <c r="B1220" s="1">
        <v>45755</v>
      </c>
      <c r="C1220" t="s">
        <v>52</v>
      </c>
      <c r="D1220" t="s">
        <v>25</v>
      </c>
      <c r="E1220" t="s">
        <v>49</v>
      </c>
      <c r="F1220" t="s">
        <v>50</v>
      </c>
      <c r="G1220">
        <v>2</v>
      </c>
      <c r="H1220">
        <v>3274.42</v>
      </c>
      <c r="I1220">
        <v>0.08</v>
      </c>
      <c r="J1220">
        <v>6024.93</v>
      </c>
      <c r="K1220">
        <f t="shared" si="57"/>
        <v>6548.84</v>
      </c>
      <c r="L1220">
        <f t="shared" si="58"/>
        <v>523.90999999999985</v>
      </c>
      <c r="M1220">
        <f t="shared" si="59"/>
        <v>6024.93</v>
      </c>
      <c r="N1220" t="s">
        <v>46</v>
      </c>
      <c r="O1220" t="s">
        <v>20</v>
      </c>
      <c r="P1220" t="s">
        <v>21</v>
      </c>
      <c r="Q1220" t="s">
        <v>37</v>
      </c>
    </row>
    <row r="1221" spans="1:17" x14ac:dyDescent="0.3">
      <c r="A1221" t="s">
        <v>1282</v>
      </c>
      <c r="B1221" s="1">
        <v>45679</v>
      </c>
      <c r="C1221" t="s">
        <v>24</v>
      </c>
      <c r="D1221" t="s">
        <v>39</v>
      </c>
      <c r="E1221" t="s">
        <v>49</v>
      </c>
      <c r="F1221" t="s">
        <v>53</v>
      </c>
      <c r="G1221">
        <v>1</v>
      </c>
      <c r="H1221">
        <v>141.84</v>
      </c>
      <c r="I1221">
        <v>0.08</v>
      </c>
      <c r="J1221">
        <v>130.49</v>
      </c>
      <c r="K1221">
        <f t="shared" si="57"/>
        <v>141.84</v>
      </c>
      <c r="L1221">
        <f t="shared" si="58"/>
        <v>11.349999999999994</v>
      </c>
      <c r="M1221">
        <f t="shared" si="59"/>
        <v>130.49</v>
      </c>
      <c r="N1221" t="s">
        <v>33</v>
      </c>
      <c r="O1221" t="s">
        <v>34</v>
      </c>
      <c r="P1221" t="s">
        <v>54</v>
      </c>
      <c r="Q1221" t="s">
        <v>37</v>
      </c>
    </row>
    <row r="1222" spans="1:17" x14ac:dyDescent="0.3">
      <c r="A1222" t="s">
        <v>1283</v>
      </c>
      <c r="B1222" s="1">
        <v>45829</v>
      </c>
      <c r="C1222" t="s">
        <v>36</v>
      </c>
      <c r="D1222" t="s">
        <v>43</v>
      </c>
      <c r="E1222" t="s">
        <v>27</v>
      </c>
      <c r="F1222" t="s">
        <v>28</v>
      </c>
      <c r="G1222">
        <v>2</v>
      </c>
      <c r="H1222">
        <v>3872.65</v>
      </c>
      <c r="I1222">
        <v>0.14000000000000001</v>
      </c>
      <c r="J1222">
        <v>6660.96</v>
      </c>
      <c r="K1222">
        <f t="shared" si="57"/>
        <v>7745.3</v>
      </c>
      <c r="L1222">
        <f t="shared" si="58"/>
        <v>1084.3400000000001</v>
      </c>
      <c r="M1222">
        <f t="shared" si="59"/>
        <v>6660.96</v>
      </c>
      <c r="N1222" t="s">
        <v>41</v>
      </c>
      <c r="O1222" t="s">
        <v>29</v>
      </c>
      <c r="P1222" t="s">
        <v>30</v>
      </c>
      <c r="Q1222" t="s">
        <v>22</v>
      </c>
    </row>
    <row r="1223" spans="1:17" x14ac:dyDescent="0.3">
      <c r="A1223" t="s">
        <v>1284</v>
      </c>
      <c r="B1223" s="1">
        <v>45662</v>
      </c>
      <c r="C1223" t="s">
        <v>15</v>
      </c>
      <c r="D1223" t="s">
        <v>43</v>
      </c>
      <c r="E1223" t="s">
        <v>61</v>
      </c>
      <c r="F1223" t="s">
        <v>75</v>
      </c>
      <c r="G1223">
        <v>1</v>
      </c>
      <c r="H1223">
        <v>2713.77</v>
      </c>
      <c r="I1223">
        <v>0.24</v>
      </c>
      <c r="J1223">
        <v>2062.4699999999998</v>
      </c>
      <c r="K1223">
        <f t="shared" si="57"/>
        <v>2713.77</v>
      </c>
      <c r="L1223">
        <f t="shared" si="58"/>
        <v>651.30000000000018</v>
      </c>
      <c r="M1223">
        <f t="shared" si="59"/>
        <v>2062.4699999999998</v>
      </c>
      <c r="N1223" t="s">
        <v>19</v>
      </c>
      <c r="O1223" t="s">
        <v>20</v>
      </c>
      <c r="P1223" t="s">
        <v>54</v>
      </c>
      <c r="Q1223" t="s">
        <v>22</v>
      </c>
    </row>
    <row r="1224" spans="1:17" x14ac:dyDescent="0.3">
      <c r="A1224" t="s">
        <v>1285</v>
      </c>
      <c r="B1224" s="1">
        <v>45771</v>
      </c>
      <c r="C1224" t="s">
        <v>15</v>
      </c>
      <c r="D1224" t="s">
        <v>43</v>
      </c>
      <c r="E1224" t="s">
        <v>17</v>
      </c>
      <c r="F1224" t="s">
        <v>32</v>
      </c>
      <c r="G1224">
        <v>2</v>
      </c>
      <c r="H1224">
        <v>1088.3399999999999</v>
      </c>
      <c r="I1224">
        <v>0.04</v>
      </c>
      <c r="J1224">
        <v>2089.61</v>
      </c>
      <c r="K1224">
        <f t="shared" si="57"/>
        <v>2176.6799999999998</v>
      </c>
      <c r="L1224">
        <f t="shared" si="58"/>
        <v>87.069999999999709</v>
      </c>
      <c r="M1224">
        <f t="shared" si="59"/>
        <v>2089.61</v>
      </c>
      <c r="N1224" t="s">
        <v>19</v>
      </c>
      <c r="O1224" t="s">
        <v>29</v>
      </c>
      <c r="P1224" t="s">
        <v>30</v>
      </c>
      <c r="Q1224" t="s">
        <v>37</v>
      </c>
    </row>
    <row r="1225" spans="1:17" x14ac:dyDescent="0.3">
      <c r="A1225" t="s">
        <v>1286</v>
      </c>
      <c r="B1225" s="1">
        <v>45715</v>
      </c>
      <c r="C1225" t="s">
        <v>24</v>
      </c>
      <c r="D1225" t="s">
        <v>43</v>
      </c>
      <c r="E1225" t="s">
        <v>61</v>
      </c>
      <c r="F1225" t="s">
        <v>66</v>
      </c>
      <c r="G1225">
        <v>1</v>
      </c>
      <c r="H1225">
        <v>4187.37</v>
      </c>
      <c r="I1225">
        <v>0.09</v>
      </c>
      <c r="J1225">
        <v>3810.51</v>
      </c>
      <c r="K1225">
        <f t="shared" si="57"/>
        <v>4187.37</v>
      </c>
      <c r="L1225">
        <f t="shared" si="58"/>
        <v>376.85999999999967</v>
      </c>
      <c r="M1225">
        <f t="shared" si="59"/>
        <v>3810.51</v>
      </c>
      <c r="N1225" t="s">
        <v>19</v>
      </c>
      <c r="O1225" t="s">
        <v>34</v>
      </c>
      <c r="P1225" t="s">
        <v>30</v>
      </c>
      <c r="Q1225" t="s">
        <v>22</v>
      </c>
    </row>
    <row r="1226" spans="1:17" x14ac:dyDescent="0.3">
      <c r="A1226" t="s">
        <v>1287</v>
      </c>
      <c r="B1226" s="1">
        <v>45751</v>
      </c>
      <c r="C1226" t="s">
        <v>48</v>
      </c>
      <c r="D1226" t="s">
        <v>16</v>
      </c>
      <c r="E1226" t="s">
        <v>49</v>
      </c>
      <c r="F1226" t="s">
        <v>50</v>
      </c>
      <c r="G1226">
        <v>4</v>
      </c>
      <c r="H1226">
        <v>2992.06</v>
      </c>
      <c r="I1226">
        <v>0.03</v>
      </c>
      <c r="J1226">
        <v>11609.19</v>
      </c>
      <c r="K1226">
        <f t="shared" si="57"/>
        <v>11968.24</v>
      </c>
      <c r="L1226">
        <f t="shared" si="58"/>
        <v>359.04999999999927</v>
      </c>
      <c r="M1226">
        <f t="shared" si="59"/>
        <v>11609.19</v>
      </c>
      <c r="N1226" t="s">
        <v>19</v>
      </c>
      <c r="O1226" t="s">
        <v>20</v>
      </c>
      <c r="P1226" t="s">
        <v>54</v>
      </c>
      <c r="Q1226" t="s">
        <v>22</v>
      </c>
    </row>
    <row r="1227" spans="1:17" x14ac:dyDescent="0.3">
      <c r="A1227" t="s">
        <v>1288</v>
      </c>
      <c r="B1227" s="1">
        <v>45752</v>
      </c>
      <c r="C1227" t="s">
        <v>48</v>
      </c>
      <c r="D1227" t="s">
        <v>39</v>
      </c>
      <c r="E1227" t="s">
        <v>61</v>
      </c>
      <c r="F1227" t="s">
        <v>62</v>
      </c>
      <c r="G1227">
        <v>3</v>
      </c>
      <c r="H1227">
        <v>2134.13</v>
      </c>
      <c r="I1227">
        <v>0.05</v>
      </c>
      <c r="J1227">
        <v>6082.27</v>
      </c>
      <c r="K1227">
        <f t="shared" si="57"/>
        <v>6402.39</v>
      </c>
      <c r="L1227">
        <f t="shared" si="58"/>
        <v>320.11999999999989</v>
      </c>
      <c r="M1227">
        <f t="shared" si="59"/>
        <v>6082.27</v>
      </c>
      <c r="N1227" t="s">
        <v>33</v>
      </c>
      <c r="O1227" t="s">
        <v>34</v>
      </c>
      <c r="P1227" t="s">
        <v>54</v>
      </c>
      <c r="Q1227" t="s">
        <v>22</v>
      </c>
    </row>
    <row r="1228" spans="1:17" x14ac:dyDescent="0.3">
      <c r="A1228" t="s">
        <v>1289</v>
      </c>
      <c r="B1228" s="1">
        <v>45745</v>
      </c>
      <c r="C1228" t="s">
        <v>48</v>
      </c>
      <c r="D1228" t="s">
        <v>39</v>
      </c>
      <c r="E1228" t="s">
        <v>27</v>
      </c>
      <c r="F1228" t="s">
        <v>79</v>
      </c>
      <c r="G1228">
        <v>4</v>
      </c>
      <c r="H1228">
        <v>4036.72</v>
      </c>
      <c r="I1228">
        <v>0.1</v>
      </c>
      <c r="J1228">
        <v>14532.19</v>
      </c>
      <c r="K1228">
        <f t="shared" si="57"/>
        <v>16146.88</v>
      </c>
      <c r="L1228">
        <f t="shared" si="58"/>
        <v>1614.6899999999987</v>
      </c>
      <c r="M1228">
        <f t="shared" si="59"/>
        <v>14532.19</v>
      </c>
      <c r="N1228" t="s">
        <v>58</v>
      </c>
      <c r="O1228" t="s">
        <v>20</v>
      </c>
      <c r="P1228" t="s">
        <v>54</v>
      </c>
      <c r="Q1228" t="s">
        <v>22</v>
      </c>
    </row>
    <row r="1229" spans="1:17" x14ac:dyDescent="0.3">
      <c r="A1229" t="s">
        <v>1290</v>
      </c>
      <c r="B1229" s="1">
        <v>45726</v>
      </c>
      <c r="C1229" t="s">
        <v>48</v>
      </c>
      <c r="D1229" t="s">
        <v>16</v>
      </c>
      <c r="E1229" t="s">
        <v>99</v>
      </c>
      <c r="F1229" t="s">
        <v>120</v>
      </c>
      <c r="G1229">
        <v>1</v>
      </c>
      <c r="H1229">
        <v>3287.12</v>
      </c>
      <c r="I1229">
        <v>0.2</v>
      </c>
      <c r="J1229">
        <v>2629.7</v>
      </c>
      <c r="K1229">
        <f t="shared" si="57"/>
        <v>3287.12</v>
      </c>
      <c r="L1229">
        <f t="shared" si="58"/>
        <v>657.42000000000007</v>
      </c>
      <c r="M1229">
        <f t="shared" si="59"/>
        <v>2629.7</v>
      </c>
      <c r="N1229" t="s">
        <v>46</v>
      </c>
      <c r="O1229" t="s">
        <v>20</v>
      </c>
      <c r="P1229" t="s">
        <v>30</v>
      </c>
      <c r="Q1229" t="s">
        <v>59</v>
      </c>
    </row>
    <row r="1230" spans="1:17" x14ac:dyDescent="0.3">
      <c r="A1230" t="s">
        <v>1291</v>
      </c>
      <c r="B1230" s="1">
        <v>45695</v>
      </c>
      <c r="C1230" t="s">
        <v>24</v>
      </c>
      <c r="D1230" t="s">
        <v>43</v>
      </c>
      <c r="E1230" t="s">
        <v>99</v>
      </c>
      <c r="F1230" t="s">
        <v>111</v>
      </c>
      <c r="G1230">
        <v>2</v>
      </c>
      <c r="H1230">
        <v>2866.44</v>
      </c>
      <c r="I1230">
        <v>0.03</v>
      </c>
      <c r="J1230">
        <v>5560.89</v>
      </c>
      <c r="K1230">
        <f t="shared" si="57"/>
        <v>5732.88</v>
      </c>
      <c r="L1230">
        <f t="shared" si="58"/>
        <v>171.98999999999978</v>
      </c>
      <c r="M1230">
        <f t="shared" si="59"/>
        <v>5560.89</v>
      </c>
      <c r="N1230" t="s">
        <v>19</v>
      </c>
      <c r="O1230" t="s">
        <v>20</v>
      </c>
      <c r="P1230" t="s">
        <v>54</v>
      </c>
      <c r="Q1230" t="s">
        <v>22</v>
      </c>
    </row>
    <row r="1231" spans="1:17" x14ac:dyDescent="0.3">
      <c r="A1231" t="s">
        <v>1292</v>
      </c>
      <c r="B1231" s="1">
        <v>45669</v>
      </c>
      <c r="C1231" t="s">
        <v>36</v>
      </c>
      <c r="D1231" t="s">
        <v>25</v>
      </c>
      <c r="E1231" t="s">
        <v>17</v>
      </c>
      <c r="F1231" t="s">
        <v>18</v>
      </c>
      <c r="G1231">
        <v>3</v>
      </c>
      <c r="H1231">
        <v>1921.35</v>
      </c>
      <c r="I1231">
        <v>0.1</v>
      </c>
      <c r="J1231">
        <v>5187.6400000000003</v>
      </c>
      <c r="K1231">
        <f t="shared" si="57"/>
        <v>5764.0499999999993</v>
      </c>
      <c r="L1231">
        <f t="shared" si="58"/>
        <v>576.40999999999894</v>
      </c>
      <c r="M1231">
        <f t="shared" si="59"/>
        <v>5187.6400000000003</v>
      </c>
      <c r="N1231" t="s">
        <v>19</v>
      </c>
      <c r="O1231" t="s">
        <v>29</v>
      </c>
      <c r="P1231" t="s">
        <v>54</v>
      </c>
      <c r="Q1231" t="s">
        <v>22</v>
      </c>
    </row>
    <row r="1232" spans="1:17" x14ac:dyDescent="0.3">
      <c r="A1232" t="s">
        <v>1293</v>
      </c>
      <c r="B1232" s="1">
        <v>45709</v>
      </c>
      <c r="C1232" t="s">
        <v>52</v>
      </c>
      <c r="D1232" t="s">
        <v>39</v>
      </c>
      <c r="E1232" t="s">
        <v>27</v>
      </c>
      <c r="F1232" t="s">
        <v>68</v>
      </c>
      <c r="G1232">
        <v>2</v>
      </c>
      <c r="H1232">
        <v>246.9</v>
      </c>
      <c r="I1232">
        <v>0.05</v>
      </c>
      <c r="J1232">
        <v>469.11</v>
      </c>
      <c r="K1232">
        <f t="shared" si="57"/>
        <v>493.8</v>
      </c>
      <c r="L1232">
        <f t="shared" si="58"/>
        <v>24.689999999999998</v>
      </c>
      <c r="M1232">
        <f t="shared" si="59"/>
        <v>469.11</v>
      </c>
      <c r="N1232" t="s">
        <v>46</v>
      </c>
      <c r="O1232" t="s">
        <v>20</v>
      </c>
      <c r="P1232" t="s">
        <v>30</v>
      </c>
      <c r="Q1232" t="s">
        <v>37</v>
      </c>
    </row>
    <row r="1233" spans="1:17" x14ac:dyDescent="0.3">
      <c r="A1233" t="s">
        <v>1294</v>
      </c>
      <c r="B1233" s="1">
        <v>45842</v>
      </c>
      <c r="C1233" t="s">
        <v>24</v>
      </c>
      <c r="D1233" t="s">
        <v>25</v>
      </c>
      <c r="E1233" t="s">
        <v>99</v>
      </c>
      <c r="F1233" t="s">
        <v>111</v>
      </c>
      <c r="G1233">
        <v>1</v>
      </c>
      <c r="H1233">
        <v>4455.22</v>
      </c>
      <c r="I1233">
        <v>0.01</v>
      </c>
      <c r="J1233">
        <v>4410.67</v>
      </c>
      <c r="K1233">
        <f t="shared" si="57"/>
        <v>4455.22</v>
      </c>
      <c r="L1233">
        <f t="shared" si="58"/>
        <v>44.550000000000182</v>
      </c>
      <c r="M1233">
        <f t="shared" si="59"/>
        <v>4410.67</v>
      </c>
      <c r="N1233" t="s">
        <v>58</v>
      </c>
      <c r="O1233" t="s">
        <v>34</v>
      </c>
      <c r="P1233" t="s">
        <v>54</v>
      </c>
      <c r="Q1233" t="s">
        <v>22</v>
      </c>
    </row>
    <row r="1234" spans="1:17" x14ac:dyDescent="0.3">
      <c r="A1234" t="s">
        <v>1295</v>
      </c>
      <c r="B1234" s="1">
        <v>45827</v>
      </c>
      <c r="C1234" t="s">
        <v>52</v>
      </c>
      <c r="D1234" t="s">
        <v>16</v>
      </c>
      <c r="E1234" t="s">
        <v>49</v>
      </c>
      <c r="F1234" t="s">
        <v>73</v>
      </c>
      <c r="G1234">
        <v>3</v>
      </c>
      <c r="H1234">
        <v>4496.22</v>
      </c>
      <c r="I1234">
        <v>0.02</v>
      </c>
      <c r="J1234">
        <v>13218.89</v>
      </c>
      <c r="K1234">
        <f t="shared" si="57"/>
        <v>13488.66</v>
      </c>
      <c r="L1234">
        <f t="shared" si="58"/>
        <v>269.77000000000044</v>
      </c>
      <c r="M1234">
        <f t="shared" si="59"/>
        <v>13218.89</v>
      </c>
      <c r="N1234" t="s">
        <v>58</v>
      </c>
      <c r="O1234" t="s">
        <v>20</v>
      </c>
      <c r="P1234" t="s">
        <v>54</v>
      </c>
      <c r="Q1234" t="s">
        <v>59</v>
      </c>
    </row>
    <row r="1235" spans="1:17" x14ac:dyDescent="0.3">
      <c r="A1235" t="s">
        <v>1296</v>
      </c>
      <c r="B1235" s="1">
        <v>45752</v>
      </c>
      <c r="C1235" t="s">
        <v>36</v>
      </c>
      <c r="D1235" t="s">
        <v>25</v>
      </c>
      <c r="E1235" t="s">
        <v>49</v>
      </c>
      <c r="F1235" t="s">
        <v>50</v>
      </c>
      <c r="G1235">
        <v>5</v>
      </c>
      <c r="H1235">
        <v>4066.18</v>
      </c>
      <c r="I1235">
        <v>0</v>
      </c>
      <c r="J1235">
        <v>20330.900000000001</v>
      </c>
      <c r="K1235">
        <f t="shared" si="57"/>
        <v>20330.899999999998</v>
      </c>
      <c r="L1235">
        <f t="shared" si="58"/>
        <v>0</v>
      </c>
      <c r="M1235">
        <f t="shared" si="59"/>
        <v>20330.899999999998</v>
      </c>
      <c r="N1235" t="s">
        <v>41</v>
      </c>
      <c r="O1235" t="s">
        <v>20</v>
      </c>
      <c r="P1235" t="s">
        <v>30</v>
      </c>
      <c r="Q1235" t="s">
        <v>37</v>
      </c>
    </row>
    <row r="1236" spans="1:17" x14ac:dyDescent="0.3">
      <c r="A1236" t="s">
        <v>1297</v>
      </c>
      <c r="B1236" s="1">
        <v>45682</v>
      </c>
      <c r="C1236" t="s">
        <v>15</v>
      </c>
      <c r="D1236" t="s">
        <v>43</v>
      </c>
      <c r="E1236" t="s">
        <v>99</v>
      </c>
      <c r="F1236" t="s">
        <v>100</v>
      </c>
      <c r="G1236">
        <v>5</v>
      </c>
      <c r="H1236">
        <v>3375.32</v>
      </c>
      <c r="I1236">
        <v>0.02</v>
      </c>
      <c r="J1236">
        <v>16539.07</v>
      </c>
      <c r="K1236">
        <f t="shared" si="57"/>
        <v>16876.600000000002</v>
      </c>
      <c r="L1236">
        <f t="shared" si="58"/>
        <v>337.53000000000247</v>
      </c>
      <c r="M1236">
        <f t="shared" si="59"/>
        <v>16539.07</v>
      </c>
      <c r="N1236" t="s">
        <v>33</v>
      </c>
      <c r="O1236" t="s">
        <v>34</v>
      </c>
      <c r="P1236" t="s">
        <v>30</v>
      </c>
      <c r="Q1236" t="s">
        <v>22</v>
      </c>
    </row>
    <row r="1237" spans="1:17" x14ac:dyDescent="0.3">
      <c r="A1237" t="s">
        <v>1298</v>
      </c>
      <c r="B1237" s="1">
        <v>45819</v>
      </c>
      <c r="C1237" t="s">
        <v>52</v>
      </c>
      <c r="D1237" t="s">
        <v>16</v>
      </c>
      <c r="E1237" t="s">
        <v>27</v>
      </c>
      <c r="F1237" t="s">
        <v>68</v>
      </c>
      <c r="G1237">
        <v>1</v>
      </c>
      <c r="H1237">
        <v>3741.61</v>
      </c>
      <c r="I1237">
        <v>0.18</v>
      </c>
      <c r="J1237">
        <v>3068.12</v>
      </c>
      <c r="K1237">
        <f t="shared" si="57"/>
        <v>3741.61</v>
      </c>
      <c r="L1237">
        <f t="shared" si="58"/>
        <v>673.49000000000024</v>
      </c>
      <c r="M1237">
        <f t="shared" si="59"/>
        <v>3068.12</v>
      </c>
      <c r="N1237" t="s">
        <v>19</v>
      </c>
      <c r="O1237" t="s">
        <v>29</v>
      </c>
      <c r="P1237" t="s">
        <v>30</v>
      </c>
      <c r="Q1237" t="s">
        <v>22</v>
      </c>
    </row>
    <row r="1238" spans="1:17" x14ac:dyDescent="0.3">
      <c r="A1238" t="s">
        <v>1299</v>
      </c>
      <c r="B1238" s="1">
        <v>45672</v>
      </c>
      <c r="C1238" t="s">
        <v>15</v>
      </c>
      <c r="D1238" t="s">
        <v>39</v>
      </c>
      <c r="E1238" t="s">
        <v>99</v>
      </c>
      <c r="F1238" t="s">
        <v>100</v>
      </c>
      <c r="G1238">
        <v>4</v>
      </c>
      <c r="H1238">
        <v>3374.95</v>
      </c>
      <c r="I1238">
        <v>0.13</v>
      </c>
      <c r="J1238">
        <v>11744.83</v>
      </c>
      <c r="K1238">
        <f t="shared" si="57"/>
        <v>13499.8</v>
      </c>
      <c r="L1238">
        <f t="shared" si="58"/>
        <v>1754.9699999999993</v>
      </c>
      <c r="M1238">
        <f t="shared" si="59"/>
        <v>11744.83</v>
      </c>
      <c r="N1238" t="s">
        <v>46</v>
      </c>
      <c r="O1238" t="s">
        <v>29</v>
      </c>
      <c r="P1238" t="s">
        <v>21</v>
      </c>
      <c r="Q1238" t="s">
        <v>88</v>
      </c>
    </row>
    <row r="1239" spans="1:17" x14ac:dyDescent="0.3">
      <c r="A1239" t="s">
        <v>1300</v>
      </c>
      <c r="B1239" s="1">
        <v>45737</v>
      </c>
      <c r="C1239" t="s">
        <v>48</v>
      </c>
      <c r="D1239" t="s">
        <v>25</v>
      </c>
      <c r="E1239" t="s">
        <v>61</v>
      </c>
      <c r="F1239" t="s">
        <v>66</v>
      </c>
      <c r="G1239">
        <v>2</v>
      </c>
      <c r="H1239">
        <v>2938.91</v>
      </c>
      <c r="I1239">
        <v>0.23</v>
      </c>
      <c r="J1239">
        <v>4525.92</v>
      </c>
      <c r="K1239">
        <f t="shared" si="57"/>
        <v>5877.82</v>
      </c>
      <c r="L1239">
        <f t="shared" si="58"/>
        <v>1351.8999999999996</v>
      </c>
      <c r="M1239">
        <f t="shared" si="59"/>
        <v>4525.92</v>
      </c>
      <c r="N1239" t="s">
        <v>46</v>
      </c>
      <c r="O1239" t="s">
        <v>29</v>
      </c>
      <c r="P1239" t="s">
        <v>54</v>
      </c>
      <c r="Q1239" t="s">
        <v>22</v>
      </c>
    </row>
    <row r="1240" spans="1:17" x14ac:dyDescent="0.3">
      <c r="A1240" t="s">
        <v>1301</v>
      </c>
      <c r="B1240" s="1">
        <v>45755</v>
      </c>
      <c r="C1240" t="s">
        <v>24</v>
      </c>
      <c r="D1240" t="s">
        <v>39</v>
      </c>
      <c r="E1240" t="s">
        <v>61</v>
      </c>
      <c r="F1240" t="s">
        <v>75</v>
      </c>
      <c r="G1240">
        <v>1</v>
      </c>
      <c r="H1240">
        <v>4193.3599999999997</v>
      </c>
      <c r="I1240">
        <v>0.06</v>
      </c>
      <c r="J1240">
        <v>3941.76</v>
      </c>
      <c r="K1240">
        <f t="shared" si="57"/>
        <v>4193.3599999999997</v>
      </c>
      <c r="L1240">
        <f t="shared" si="58"/>
        <v>251.59999999999945</v>
      </c>
      <c r="M1240">
        <f t="shared" si="59"/>
        <v>3941.76</v>
      </c>
      <c r="N1240" t="s">
        <v>19</v>
      </c>
      <c r="O1240" t="s">
        <v>29</v>
      </c>
      <c r="P1240" t="s">
        <v>30</v>
      </c>
      <c r="Q1240" t="s">
        <v>22</v>
      </c>
    </row>
    <row r="1241" spans="1:17" x14ac:dyDescent="0.3">
      <c r="A1241" t="s">
        <v>1302</v>
      </c>
      <c r="B1241" s="1">
        <v>45674</v>
      </c>
      <c r="C1241" t="s">
        <v>15</v>
      </c>
      <c r="D1241" t="s">
        <v>39</v>
      </c>
      <c r="E1241" t="s">
        <v>49</v>
      </c>
      <c r="F1241" t="s">
        <v>50</v>
      </c>
      <c r="G1241">
        <v>5</v>
      </c>
      <c r="H1241">
        <v>2087.7199999999998</v>
      </c>
      <c r="I1241">
        <v>0.25</v>
      </c>
      <c r="J1241">
        <v>7828.95</v>
      </c>
      <c r="K1241">
        <f t="shared" si="57"/>
        <v>10438.599999999999</v>
      </c>
      <c r="L1241">
        <f t="shared" si="58"/>
        <v>2609.6499999999987</v>
      </c>
      <c r="M1241">
        <f t="shared" si="59"/>
        <v>7828.95</v>
      </c>
      <c r="N1241" t="s">
        <v>19</v>
      </c>
      <c r="O1241" t="s">
        <v>29</v>
      </c>
      <c r="P1241" t="s">
        <v>30</v>
      </c>
      <c r="Q1241" t="s">
        <v>22</v>
      </c>
    </row>
    <row r="1242" spans="1:17" x14ac:dyDescent="0.3">
      <c r="A1242" t="s">
        <v>1303</v>
      </c>
      <c r="B1242" s="1">
        <v>45772</v>
      </c>
      <c r="C1242" t="s">
        <v>36</v>
      </c>
      <c r="D1242" t="s">
        <v>25</v>
      </c>
      <c r="E1242" t="s">
        <v>17</v>
      </c>
      <c r="F1242" t="s">
        <v>32</v>
      </c>
      <c r="G1242">
        <v>2</v>
      </c>
      <c r="H1242">
        <v>1350.89</v>
      </c>
      <c r="I1242">
        <v>0.2</v>
      </c>
      <c r="J1242">
        <v>2161.42</v>
      </c>
      <c r="K1242">
        <f t="shared" si="57"/>
        <v>2701.78</v>
      </c>
      <c r="L1242">
        <f t="shared" si="58"/>
        <v>540.36000000000013</v>
      </c>
      <c r="M1242">
        <f t="shared" si="59"/>
        <v>2161.42</v>
      </c>
      <c r="N1242" t="s">
        <v>46</v>
      </c>
      <c r="O1242" t="s">
        <v>34</v>
      </c>
      <c r="P1242" t="s">
        <v>30</v>
      </c>
      <c r="Q1242" t="s">
        <v>22</v>
      </c>
    </row>
    <row r="1243" spans="1:17" x14ac:dyDescent="0.3">
      <c r="A1243" t="s">
        <v>1304</v>
      </c>
      <c r="B1243" s="1">
        <v>45782</v>
      </c>
      <c r="C1243" t="s">
        <v>24</v>
      </c>
      <c r="D1243" t="s">
        <v>25</v>
      </c>
      <c r="E1243" t="s">
        <v>99</v>
      </c>
      <c r="F1243" t="s">
        <v>111</v>
      </c>
      <c r="G1243">
        <v>1</v>
      </c>
      <c r="H1243">
        <v>4827.29</v>
      </c>
      <c r="I1243">
        <v>0.03</v>
      </c>
      <c r="J1243">
        <v>4682.47</v>
      </c>
      <c r="K1243">
        <f t="shared" si="57"/>
        <v>4827.29</v>
      </c>
      <c r="L1243">
        <f t="shared" si="58"/>
        <v>144.81999999999971</v>
      </c>
      <c r="M1243">
        <f t="shared" si="59"/>
        <v>4682.47</v>
      </c>
      <c r="N1243" t="s">
        <v>46</v>
      </c>
      <c r="O1243" t="s">
        <v>34</v>
      </c>
      <c r="P1243" t="s">
        <v>54</v>
      </c>
      <c r="Q1243" t="s">
        <v>88</v>
      </c>
    </row>
    <row r="1244" spans="1:17" x14ac:dyDescent="0.3">
      <c r="A1244" t="s">
        <v>1305</v>
      </c>
      <c r="B1244" s="1">
        <v>45793</v>
      </c>
      <c r="C1244" t="s">
        <v>52</v>
      </c>
      <c r="D1244" t="s">
        <v>43</v>
      </c>
      <c r="E1244" t="s">
        <v>17</v>
      </c>
      <c r="F1244" t="s">
        <v>32</v>
      </c>
      <c r="G1244">
        <v>4</v>
      </c>
      <c r="H1244">
        <v>2237.1999999999998</v>
      </c>
      <c r="I1244">
        <v>0.25</v>
      </c>
      <c r="J1244">
        <v>6711.6</v>
      </c>
      <c r="K1244">
        <f t="shared" si="57"/>
        <v>8948.7999999999993</v>
      </c>
      <c r="L1244">
        <f t="shared" si="58"/>
        <v>2237.1999999999989</v>
      </c>
      <c r="M1244">
        <f t="shared" si="59"/>
        <v>6711.6</v>
      </c>
      <c r="N1244" t="s">
        <v>46</v>
      </c>
      <c r="O1244" t="s">
        <v>34</v>
      </c>
      <c r="P1244" t="s">
        <v>54</v>
      </c>
      <c r="Q1244" t="s">
        <v>22</v>
      </c>
    </row>
    <row r="1245" spans="1:17" x14ac:dyDescent="0.3">
      <c r="A1245" t="s">
        <v>1306</v>
      </c>
      <c r="B1245" s="1">
        <v>45670</v>
      </c>
      <c r="C1245" t="s">
        <v>52</v>
      </c>
      <c r="D1245" t="s">
        <v>43</v>
      </c>
      <c r="E1245" t="s">
        <v>27</v>
      </c>
      <c r="F1245" t="s">
        <v>68</v>
      </c>
      <c r="G1245">
        <v>2</v>
      </c>
      <c r="H1245">
        <v>3693.72</v>
      </c>
      <c r="I1245">
        <v>0.09</v>
      </c>
      <c r="J1245">
        <v>6722.57</v>
      </c>
      <c r="K1245">
        <f t="shared" si="57"/>
        <v>7387.44</v>
      </c>
      <c r="L1245">
        <f t="shared" si="58"/>
        <v>664.86999999999989</v>
      </c>
      <c r="M1245">
        <f t="shared" si="59"/>
        <v>6722.57</v>
      </c>
      <c r="N1245" t="s">
        <v>19</v>
      </c>
      <c r="O1245" t="s">
        <v>20</v>
      </c>
      <c r="P1245" t="s">
        <v>21</v>
      </c>
      <c r="Q1245" t="s">
        <v>22</v>
      </c>
    </row>
    <row r="1246" spans="1:17" x14ac:dyDescent="0.3">
      <c r="A1246" t="s">
        <v>1307</v>
      </c>
      <c r="B1246" s="1">
        <v>45689</v>
      </c>
      <c r="C1246" t="s">
        <v>36</v>
      </c>
      <c r="D1246" t="s">
        <v>39</v>
      </c>
      <c r="E1246" t="s">
        <v>27</v>
      </c>
      <c r="F1246" t="s">
        <v>79</v>
      </c>
      <c r="G1246">
        <v>2</v>
      </c>
      <c r="H1246">
        <v>3499.1</v>
      </c>
      <c r="I1246">
        <v>0.25</v>
      </c>
      <c r="J1246">
        <v>5248.65</v>
      </c>
      <c r="K1246">
        <f t="shared" si="57"/>
        <v>6998.2</v>
      </c>
      <c r="L1246">
        <f t="shared" si="58"/>
        <v>1749.5500000000002</v>
      </c>
      <c r="M1246">
        <f t="shared" si="59"/>
        <v>5248.65</v>
      </c>
      <c r="N1246" t="s">
        <v>46</v>
      </c>
      <c r="O1246" t="s">
        <v>29</v>
      </c>
      <c r="P1246" t="s">
        <v>54</v>
      </c>
      <c r="Q1246" t="s">
        <v>22</v>
      </c>
    </row>
    <row r="1247" spans="1:17" x14ac:dyDescent="0.3">
      <c r="A1247" t="s">
        <v>1308</v>
      </c>
      <c r="B1247" s="1">
        <v>45688</v>
      </c>
      <c r="C1247" t="s">
        <v>52</v>
      </c>
      <c r="D1247" t="s">
        <v>39</v>
      </c>
      <c r="E1247" t="s">
        <v>61</v>
      </c>
      <c r="F1247" t="s">
        <v>75</v>
      </c>
      <c r="G1247">
        <v>4</v>
      </c>
      <c r="H1247">
        <v>4305.6499999999996</v>
      </c>
      <c r="I1247">
        <v>7.0000000000000007E-2</v>
      </c>
      <c r="J1247">
        <v>16017.02</v>
      </c>
      <c r="K1247">
        <f t="shared" si="57"/>
        <v>17222.599999999999</v>
      </c>
      <c r="L1247">
        <f t="shared" si="58"/>
        <v>1205.5799999999981</v>
      </c>
      <c r="M1247">
        <f t="shared" si="59"/>
        <v>16017.02</v>
      </c>
      <c r="N1247" t="s">
        <v>33</v>
      </c>
      <c r="O1247" t="s">
        <v>29</v>
      </c>
      <c r="P1247" t="s">
        <v>30</v>
      </c>
      <c r="Q1247" t="s">
        <v>22</v>
      </c>
    </row>
    <row r="1248" spans="1:17" x14ac:dyDescent="0.3">
      <c r="A1248" t="s">
        <v>1309</v>
      </c>
      <c r="B1248" s="1">
        <v>45817</v>
      </c>
      <c r="C1248" t="s">
        <v>48</v>
      </c>
      <c r="D1248" t="s">
        <v>39</v>
      </c>
      <c r="E1248" t="s">
        <v>27</v>
      </c>
      <c r="F1248" t="s">
        <v>87</v>
      </c>
      <c r="G1248">
        <v>2</v>
      </c>
      <c r="H1248">
        <v>3635.58</v>
      </c>
      <c r="I1248">
        <v>7.0000000000000007E-2</v>
      </c>
      <c r="J1248">
        <v>6762.18</v>
      </c>
      <c r="K1248">
        <f t="shared" si="57"/>
        <v>7271.16</v>
      </c>
      <c r="L1248">
        <f t="shared" si="58"/>
        <v>508.97999999999956</v>
      </c>
      <c r="M1248">
        <f t="shared" si="59"/>
        <v>6762.18</v>
      </c>
      <c r="N1248" t="s">
        <v>41</v>
      </c>
      <c r="O1248" t="s">
        <v>34</v>
      </c>
      <c r="P1248" t="s">
        <v>54</v>
      </c>
      <c r="Q1248" t="s">
        <v>22</v>
      </c>
    </row>
    <row r="1249" spans="1:17" x14ac:dyDescent="0.3">
      <c r="A1249" t="s">
        <v>1310</v>
      </c>
      <c r="B1249" s="1">
        <v>45769</v>
      </c>
      <c r="C1249" t="s">
        <v>36</v>
      </c>
      <c r="D1249" t="s">
        <v>43</v>
      </c>
      <c r="E1249" t="s">
        <v>99</v>
      </c>
      <c r="F1249" t="s">
        <v>100</v>
      </c>
      <c r="G1249">
        <v>1</v>
      </c>
      <c r="H1249">
        <v>3800.33</v>
      </c>
      <c r="I1249">
        <v>0.04</v>
      </c>
      <c r="J1249">
        <v>3648.32</v>
      </c>
      <c r="K1249">
        <f t="shared" si="57"/>
        <v>3800.33</v>
      </c>
      <c r="L1249">
        <f t="shared" si="58"/>
        <v>152.00999999999976</v>
      </c>
      <c r="M1249">
        <f t="shared" si="59"/>
        <v>3648.32</v>
      </c>
      <c r="N1249" t="s">
        <v>33</v>
      </c>
      <c r="O1249" t="s">
        <v>20</v>
      </c>
      <c r="P1249" t="s">
        <v>30</v>
      </c>
      <c r="Q1249" t="s">
        <v>88</v>
      </c>
    </row>
    <row r="1250" spans="1:17" x14ac:dyDescent="0.3">
      <c r="A1250" t="s">
        <v>1311</v>
      </c>
      <c r="B1250" s="1">
        <v>45718</v>
      </c>
      <c r="C1250" t="s">
        <v>52</v>
      </c>
      <c r="D1250" t="s">
        <v>43</v>
      </c>
      <c r="E1250" t="s">
        <v>61</v>
      </c>
      <c r="F1250" t="s">
        <v>92</v>
      </c>
      <c r="G1250">
        <v>5</v>
      </c>
      <c r="H1250">
        <v>1047.52</v>
      </c>
      <c r="I1250">
        <v>0.21</v>
      </c>
      <c r="J1250">
        <v>4137.7</v>
      </c>
      <c r="K1250">
        <f t="shared" si="57"/>
        <v>5237.6000000000004</v>
      </c>
      <c r="L1250">
        <f t="shared" si="58"/>
        <v>1099.9000000000005</v>
      </c>
      <c r="M1250">
        <f t="shared" si="59"/>
        <v>4137.7</v>
      </c>
      <c r="N1250" t="s">
        <v>41</v>
      </c>
      <c r="O1250" t="s">
        <v>34</v>
      </c>
      <c r="P1250" t="s">
        <v>54</v>
      </c>
      <c r="Q1250" t="s">
        <v>59</v>
      </c>
    </row>
    <row r="1251" spans="1:17" x14ac:dyDescent="0.3">
      <c r="A1251" t="s">
        <v>1312</v>
      </c>
      <c r="B1251" s="1">
        <v>45676</v>
      </c>
      <c r="C1251" t="s">
        <v>48</v>
      </c>
      <c r="D1251" t="s">
        <v>43</v>
      </c>
      <c r="E1251" t="s">
        <v>99</v>
      </c>
      <c r="F1251" t="s">
        <v>100</v>
      </c>
      <c r="G1251">
        <v>5</v>
      </c>
      <c r="H1251">
        <v>4727.2700000000004</v>
      </c>
      <c r="I1251">
        <v>0.04</v>
      </c>
      <c r="J1251">
        <v>22690.9</v>
      </c>
      <c r="K1251">
        <f t="shared" si="57"/>
        <v>23636.350000000002</v>
      </c>
      <c r="L1251">
        <f t="shared" si="58"/>
        <v>945.45000000000073</v>
      </c>
      <c r="M1251">
        <f t="shared" si="59"/>
        <v>22690.9</v>
      </c>
      <c r="N1251" t="s">
        <v>58</v>
      </c>
      <c r="O1251" t="s">
        <v>29</v>
      </c>
      <c r="P1251" t="s">
        <v>30</v>
      </c>
      <c r="Q1251" t="s">
        <v>22</v>
      </c>
    </row>
    <row r="1252" spans="1:17" x14ac:dyDescent="0.3">
      <c r="A1252" t="s">
        <v>1313</v>
      </c>
      <c r="B1252" s="1">
        <v>45708</v>
      </c>
      <c r="C1252" t="s">
        <v>24</v>
      </c>
      <c r="D1252" t="s">
        <v>43</v>
      </c>
      <c r="E1252" t="s">
        <v>99</v>
      </c>
      <c r="F1252" t="s">
        <v>120</v>
      </c>
      <c r="G1252">
        <v>5</v>
      </c>
      <c r="H1252">
        <v>602.79999999999995</v>
      </c>
      <c r="I1252">
        <v>0.16</v>
      </c>
      <c r="J1252">
        <v>2531.7600000000002</v>
      </c>
      <c r="K1252">
        <f t="shared" si="57"/>
        <v>3014</v>
      </c>
      <c r="L1252">
        <f t="shared" si="58"/>
        <v>482.23999999999978</v>
      </c>
      <c r="M1252">
        <f t="shared" si="59"/>
        <v>2531.7600000000002</v>
      </c>
      <c r="N1252" t="s">
        <v>33</v>
      </c>
      <c r="O1252" t="s">
        <v>34</v>
      </c>
      <c r="P1252" t="s">
        <v>30</v>
      </c>
      <c r="Q1252" t="s">
        <v>22</v>
      </c>
    </row>
    <row r="1253" spans="1:17" x14ac:dyDescent="0.3">
      <c r="A1253" t="s">
        <v>1314</v>
      </c>
      <c r="B1253" s="1">
        <v>45683</v>
      </c>
      <c r="C1253" t="s">
        <v>36</v>
      </c>
      <c r="D1253" t="s">
        <v>39</v>
      </c>
      <c r="E1253" t="s">
        <v>99</v>
      </c>
      <c r="F1253" t="s">
        <v>120</v>
      </c>
      <c r="G1253">
        <v>2</v>
      </c>
      <c r="H1253">
        <v>444.97</v>
      </c>
      <c r="I1253">
        <v>0.24</v>
      </c>
      <c r="J1253">
        <v>676.35</v>
      </c>
      <c r="K1253">
        <f t="shared" si="57"/>
        <v>889.94</v>
      </c>
      <c r="L1253">
        <f t="shared" si="58"/>
        <v>213.59000000000003</v>
      </c>
      <c r="M1253">
        <f t="shared" si="59"/>
        <v>676.35</v>
      </c>
      <c r="N1253" t="s">
        <v>33</v>
      </c>
      <c r="O1253" t="s">
        <v>34</v>
      </c>
      <c r="P1253" t="s">
        <v>21</v>
      </c>
      <c r="Q1253" t="s">
        <v>37</v>
      </c>
    </row>
    <row r="1254" spans="1:17" x14ac:dyDescent="0.3">
      <c r="A1254" t="s">
        <v>1315</v>
      </c>
      <c r="B1254" s="1">
        <v>45768</v>
      </c>
      <c r="C1254" t="s">
        <v>15</v>
      </c>
      <c r="D1254" t="s">
        <v>25</v>
      </c>
      <c r="E1254" t="s">
        <v>17</v>
      </c>
      <c r="F1254" t="s">
        <v>40</v>
      </c>
      <c r="G1254">
        <v>4</v>
      </c>
      <c r="H1254">
        <v>2186.96</v>
      </c>
      <c r="I1254">
        <v>0.04</v>
      </c>
      <c r="J1254">
        <v>8397.93</v>
      </c>
      <c r="K1254">
        <f t="shared" si="57"/>
        <v>8747.84</v>
      </c>
      <c r="L1254">
        <f t="shared" si="58"/>
        <v>349.90999999999985</v>
      </c>
      <c r="M1254">
        <f t="shared" si="59"/>
        <v>8397.93</v>
      </c>
      <c r="N1254" t="s">
        <v>58</v>
      </c>
      <c r="O1254" t="s">
        <v>29</v>
      </c>
      <c r="P1254" t="s">
        <v>21</v>
      </c>
      <c r="Q1254" t="s">
        <v>88</v>
      </c>
    </row>
    <row r="1255" spans="1:17" x14ac:dyDescent="0.3">
      <c r="A1255" t="s">
        <v>1316</v>
      </c>
      <c r="B1255" s="1">
        <v>45808</v>
      </c>
      <c r="C1255" t="s">
        <v>24</v>
      </c>
      <c r="D1255" t="s">
        <v>25</v>
      </c>
      <c r="E1255" t="s">
        <v>61</v>
      </c>
      <c r="F1255" t="s">
        <v>62</v>
      </c>
      <c r="G1255">
        <v>3</v>
      </c>
      <c r="H1255">
        <v>1282.33</v>
      </c>
      <c r="I1255">
        <v>0.21</v>
      </c>
      <c r="J1255">
        <v>3039.12</v>
      </c>
      <c r="K1255">
        <f t="shared" si="57"/>
        <v>3846.99</v>
      </c>
      <c r="L1255">
        <f t="shared" si="58"/>
        <v>807.86999999999989</v>
      </c>
      <c r="M1255">
        <f t="shared" si="59"/>
        <v>3039.12</v>
      </c>
      <c r="N1255" t="s">
        <v>33</v>
      </c>
      <c r="O1255" t="s">
        <v>29</v>
      </c>
      <c r="P1255" t="s">
        <v>30</v>
      </c>
      <c r="Q1255" t="s">
        <v>22</v>
      </c>
    </row>
    <row r="1256" spans="1:17" x14ac:dyDescent="0.3">
      <c r="A1256" t="s">
        <v>1317</v>
      </c>
      <c r="B1256" s="1">
        <v>45740</v>
      </c>
      <c r="C1256" t="s">
        <v>15</v>
      </c>
      <c r="D1256" t="s">
        <v>39</v>
      </c>
      <c r="E1256" t="s">
        <v>17</v>
      </c>
      <c r="F1256" t="s">
        <v>32</v>
      </c>
      <c r="G1256">
        <v>5</v>
      </c>
      <c r="H1256">
        <v>1711.27</v>
      </c>
      <c r="I1256">
        <v>0.17</v>
      </c>
      <c r="J1256">
        <v>7101.77</v>
      </c>
      <c r="K1256">
        <f t="shared" si="57"/>
        <v>8556.35</v>
      </c>
      <c r="L1256">
        <f t="shared" si="58"/>
        <v>1454.58</v>
      </c>
      <c r="M1256">
        <f t="shared" si="59"/>
        <v>7101.77</v>
      </c>
      <c r="N1256" t="s">
        <v>46</v>
      </c>
      <c r="O1256" t="s">
        <v>29</v>
      </c>
      <c r="P1256" t="s">
        <v>30</v>
      </c>
      <c r="Q1256" t="s">
        <v>22</v>
      </c>
    </row>
    <row r="1257" spans="1:17" x14ac:dyDescent="0.3">
      <c r="A1257" t="s">
        <v>1318</v>
      </c>
      <c r="B1257" s="1">
        <v>45777</v>
      </c>
      <c r="C1257" t="s">
        <v>52</v>
      </c>
      <c r="D1257" t="s">
        <v>25</v>
      </c>
      <c r="E1257" t="s">
        <v>17</v>
      </c>
      <c r="F1257" t="s">
        <v>40</v>
      </c>
      <c r="G1257">
        <v>2</v>
      </c>
      <c r="H1257">
        <v>2996.31</v>
      </c>
      <c r="I1257">
        <v>0.17</v>
      </c>
      <c r="J1257">
        <v>4973.87</v>
      </c>
      <c r="K1257">
        <f t="shared" si="57"/>
        <v>5992.62</v>
      </c>
      <c r="L1257">
        <f t="shared" si="58"/>
        <v>1018.75</v>
      </c>
      <c r="M1257">
        <f t="shared" si="59"/>
        <v>4973.87</v>
      </c>
      <c r="N1257" t="s">
        <v>33</v>
      </c>
      <c r="O1257" t="s">
        <v>34</v>
      </c>
      <c r="P1257" t="s">
        <v>54</v>
      </c>
      <c r="Q1257" t="s">
        <v>22</v>
      </c>
    </row>
    <row r="1258" spans="1:17" x14ac:dyDescent="0.3">
      <c r="A1258" t="s">
        <v>1319</v>
      </c>
      <c r="B1258" s="1">
        <v>45775</v>
      </c>
      <c r="C1258" t="s">
        <v>36</v>
      </c>
      <c r="D1258" t="s">
        <v>16</v>
      </c>
      <c r="E1258" t="s">
        <v>27</v>
      </c>
      <c r="F1258" t="s">
        <v>87</v>
      </c>
      <c r="G1258">
        <v>4</v>
      </c>
      <c r="H1258">
        <v>306.3</v>
      </c>
      <c r="I1258">
        <v>0.03</v>
      </c>
      <c r="J1258">
        <v>1188.44</v>
      </c>
      <c r="K1258">
        <f t="shared" si="57"/>
        <v>1225.2</v>
      </c>
      <c r="L1258">
        <f t="shared" si="58"/>
        <v>36.759999999999991</v>
      </c>
      <c r="M1258">
        <f t="shared" si="59"/>
        <v>1188.44</v>
      </c>
      <c r="N1258" t="s">
        <v>33</v>
      </c>
      <c r="O1258" t="s">
        <v>29</v>
      </c>
      <c r="P1258" t="s">
        <v>21</v>
      </c>
      <c r="Q1258" t="s">
        <v>22</v>
      </c>
    </row>
    <row r="1259" spans="1:17" x14ac:dyDescent="0.3">
      <c r="A1259" t="s">
        <v>1320</v>
      </c>
      <c r="B1259" s="1">
        <v>45813</v>
      </c>
      <c r="C1259" t="s">
        <v>15</v>
      </c>
      <c r="D1259" t="s">
        <v>16</v>
      </c>
      <c r="E1259" t="s">
        <v>17</v>
      </c>
      <c r="F1259" t="s">
        <v>44</v>
      </c>
      <c r="G1259">
        <v>5</v>
      </c>
      <c r="H1259">
        <v>2166.96</v>
      </c>
      <c r="I1259">
        <v>0.1</v>
      </c>
      <c r="J1259">
        <v>9751.32</v>
      </c>
      <c r="K1259">
        <f t="shared" si="57"/>
        <v>10834.8</v>
      </c>
      <c r="L1259">
        <f t="shared" si="58"/>
        <v>1083.4799999999996</v>
      </c>
      <c r="M1259">
        <f t="shared" si="59"/>
        <v>9751.32</v>
      </c>
      <c r="N1259" t="s">
        <v>33</v>
      </c>
      <c r="O1259" t="s">
        <v>29</v>
      </c>
      <c r="P1259" t="s">
        <v>21</v>
      </c>
      <c r="Q1259" t="s">
        <v>22</v>
      </c>
    </row>
    <row r="1260" spans="1:17" x14ac:dyDescent="0.3">
      <c r="A1260" t="s">
        <v>1321</v>
      </c>
      <c r="B1260" s="1">
        <v>45780</v>
      </c>
      <c r="C1260" t="s">
        <v>36</v>
      </c>
      <c r="D1260" t="s">
        <v>16</v>
      </c>
      <c r="E1260" t="s">
        <v>49</v>
      </c>
      <c r="F1260" t="s">
        <v>50</v>
      </c>
      <c r="G1260">
        <v>4</v>
      </c>
      <c r="H1260">
        <v>4084.49</v>
      </c>
      <c r="I1260">
        <v>0.16</v>
      </c>
      <c r="J1260">
        <v>13723.89</v>
      </c>
      <c r="K1260">
        <f t="shared" si="57"/>
        <v>16337.96</v>
      </c>
      <c r="L1260">
        <f t="shared" si="58"/>
        <v>2614.0699999999997</v>
      </c>
      <c r="M1260">
        <f t="shared" si="59"/>
        <v>13723.89</v>
      </c>
      <c r="N1260" t="s">
        <v>33</v>
      </c>
      <c r="O1260" t="s">
        <v>20</v>
      </c>
      <c r="P1260" t="s">
        <v>30</v>
      </c>
      <c r="Q1260" t="s">
        <v>22</v>
      </c>
    </row>
    <row r="1261" spans="1:17" x14ac:dyDescent="0.3">
      <c r="A1261" t="s">
        <v>1322</v>
      </c>
      <c r="B1261" s="1">
        <v>45703</v>
      </c>
      <c r="C1261" t="s">
        <v>15</v>
      </c>
      <c r="D1261" t="s">
        <v>39</v>
      </c>
      <c r="E1261" t="s">
        <v>61</v>
      </c>
      <c r="F1261" t="s">
        <v>62</v>
      </c>
      <c r="G1261">
        <v>4</v>
      </c>
      <c r="H1261">
        <v>4029.29</v>
      </c>
      <c r="I1261">
        <v>0.18</v>
      </c>
      <c r="J1261">
        <v>13216.07</v>
      </c>
      <c r="K1261">
        <f t="shared" si="57"/>
        <v>16117.16</v>
      </c>
      <c r="L1261">
        <f t="shared" si="58"/>
        <v>2901.09</v>
      </c>
      <c r="M1261">
        <f t="shared" si="59"/>
        <v>13216.07</v>
      </c>
      <c r="N1261" t="s">
        <v>58</v>
      </c>
      <c r="O1261" t="s">
        <v>34</v>
      </c>
      <c r="P1261" t="s">
        <v>30</v>
      </c>
      <c r="Q1261" t="s">
        <v>88</v>
      </c>
    </row>
    <row r="1262" spans="1:17" x14ac:dyDescent="0.3">
      <c r="A1262" t="s">
        <v>1323</v>
      </c>
      <c r="B1262" s="1">
        <v>45810</v>
      </c>
      <c r="C1262" t="s">
        <v>52</v>
      </c>
      <c r="D1262" t="s">
        <v>39</v>
      </c>
      <c r="E1262" t="s">
        <v>99</v>
      </c>
      <c r="F1262" t="s">
        <v>111</v>
      </c>
      <c r="G1262">
        <v>1</v>
      </c>
      <c r="H1262">
        <v>1690.11</v>
      </c>
      <c r="I1262">
        <v>0.17</v>
      </c>
      <c r="J1262">
        <v>1402.79</v>
      </c>
      <c r="K1262">
        <f t="shared" si="57"/>
        <v>1690.11</v>
      </c>
      <c r="L1262">
        <f t="shared" si="58"/>
        <v>287.31999999999994</v>
      </c>
      <c r="M1262">
        <f t="shared" si="59"/>
        <v>1402.79</v>
      </c>
      <c r="N1262" t="s">
        <v>46</v>
      </c>
      <c r="O1262" t="s">
        <v>34</v>
      </c>
      <c r="P1262" t="s">
        <v>21</v>
      </c>
      <c r="Q1262" t="s">
        <v>88</v>
      </c>
    </row>
    <row r="1263" spans="1:17" x14ac:dyDescent="0.3">
      <c r="A1263" t="s">
        <v>1324</v>
      </c>
      <c r="B1263" s="1">
        <v>45761</v>
      </c>
      <c r="C1263" t="s">
        <v>36</v>
      </c>
      <c r="D1263" t="s">
        <v>25</v>
      </c>
      <c r="E1263" t="s">
        <v>61</v>
      </c>
      <c r="F1263" t="s">
        <v>75</v>
      </c>
      <c r="G1263">
        <v>3</v>
      </c>
      <c r="H1263">
        <v>3729.45</v>
      </c>
      <c r="I1263">
        <v>0.19</v>
      </c>
      <c r="J1263">
        <v>9062.56</v>
      </c>
      <c r="K1263">
        <f t="shared" si="57"/>
        <v>11188.349999999999</v>
      </c>
      <c r="L1263">
        <f t="shared" si="58"/>
        <v>2125.7899999999991</v>
      </c>
      <c r="M1263">
        <f t="shared" si="59"/>
        <v>9062.56</v>
      </c>
      <c r="N1263" t="s">
        <v>33</v>
      </c>
      <c r="O1263" t="s">
        <v>29</v>
      </c>
      <c r="P1263" t="s">
        <v>54</v>
      </c>
      <c r="Q1263" t="s">
        <v>37</v>
      </c>
    </row>
    <row r="1264" spans="1:17" x14ac:dyDescent="0.3">
      <c r="A1264" t="s">
        <v>1325</v>
      </c>
      <c r="B1264" s="1">
        <v>45733</v>
      </c>
      <c r="C1264" t="s">
        <v>36</v>
      </c>
      <c r="D1264" t="s">
        <v>16</v>
      </c>
      <c r="E1264" t="s">
        <v>99</v>
      </c>
      <c r="F1264" t="s">
        <v>111</v>
      </c>
      <c r="G1264">
        <v>2</v>
      </c>
      <c r="H1264">
        <v>1651.02</v>
      </c>
      <c r="I1264">
        <v>0.08</v>
      </c>
      <c r="J1264">
        <v>3037.88</v>
      </c>
      <c r="K1264">
        <f t="shared" si="57"/>
        <v>3302.04</v>
      </c>
      <c r="L1264">
        <f t="shared" si="58"/>
        <v>264.15999999999985</v>
      </c>
      <c r="M1264">
        <f t="shared" si="59"/>
        <v>3037.88</v>
      </c>
      <c r="N1264" t="s">
        <v>33</v>
      </c>
      <c r="O1264" t="s">
        <v>29</v>
      </c>
      <c r="P1264" t="s">
        <v>21</v>
      </c>
      <c r="Q1264" t="s">
        <v>22</v>
      </c>
    </row>
    <row r="1265" spans="1:17" x14ac:dyDescent="0.3">
      <c r="A1265" t="s">
        <v>1326</v>
      </c>
      <c r="B1265" s="1">
        <v>45747</v>
      </c>
      <c r="C1265" t="s">
        <v>52</v>
      </c>
      <c r="D1265" t="s">
        <v>25</v>
      </c>
      <c r="E1265" t="s">
        <v>99</v>
      </c>
      <c r="F1265" t="s">
        <v>115</v>
      </c>
      <c r="G1265">
        <v>3</v>
      </c>
      <c r="H1265">
        <v>4294.28</v>
      </c>
      <c r="I1265">
        <v>0.12</v>
      </c>
      <c r="J1265">
        <v>11336.9</v>
      </c>
      <c r="K1265">
        <f t="shared" si="57"/>
        <v>12882.84</v>
      </c>
      <c r="L1265">
        <f t="shared" si="58"/>
        <v>1545.9400000000005</v>
      </c>
      <c r="M1265">
        <f t="shared" si="59"/>
        <v>11336.9</v>
      </c>
      <c r="N1265" t="s">
        <v>41</v>
      </c>
      <c r="O1265" t="s">
        <v>20</v>
      </c>
      <c r="P1265" t="s">
        <v>30</v>
      </c>
      <c r="Q1265" t="s">
        <v>37</v>
      </c>
    </row>
    <row r="1266" spans="1:17" x14ac:dyDescent="0.3">
      <c r="A1266" t="s">
        <v>1327</v>
      </c>
      <c r="B1266" s="1">
        <v>45836</v>
      </c>
      <c r="C1266" t="s">
        <v>15</v>
      </c>
      <c r="D1266" t="s">
        <v>39</v>
      </c>
      <c r="E1266" t="s">
        <v>61</v>
      </c>
      <c r="F1266" t="s">
        <v>75</v>
      </c>
      <c r="G1266">
        <v>2</v>
      </c>
      <c r="H1266">
        <v>2951.05</v>
      </c>
      <c r="I1266">
        <v>0.23</v>
      </c>
      <c r="J1266">
        <v>4544.62</v>
      </c>
      <c r="K1266">
        <f t="shared" si="57"/>
        <v>5902.1</v>
      </c>
      <c r="L1266">
        <f t="shared" si="58"/>
        <v>1357.4800000000005</v>
      </c>
      <c r="M1266">
        <f t="shared" si="59"/>
        <v>4544.62</v>
      </c>
      <c r="N1266" t="s">
        <v>58</v>
      </c>
      <c r="O1266" t="s">
        <v>20</v>
      </c>
      <c r="P1266" t="s">
        <v>21</v>
      </c>
      <c r="Q1266" t="s">
        <v>88</v>
      </c>
    </row>
    <row r="1267" spans="1:17" x14ac:dyDescent="0.3">
      <c r="A1267" t="s">
        <v>1328</v>
      </c>
      <c r="B1267" s="1">
        <v>45745</v>
      </c>
      <c r="C1267" t="s">
        <v>48</v>
      </c>
      <c r="D1267" t="s">
        <v>25</v>
      </c>
      <c r="E1267" t="s">
        <v>27</v>
      </c>
      <c r="F1267" t="s">
        <v>68</v>
      </c>
      <c r="G1267">
        <v>1</v>
      </c>
      <c r="H1267">
        <v>1073.24</v>
      </c>
      <c r="I1267">
        <v>0.02</v>
      </c>
      <c r="J1267">
        <v>1051.78</v>
      </c>
      <c r="K1267">
        <f t="shared" si="57"/>
        <v>1073.24</v>
      </c>
      <c r="L1267">
        <f t="shared" si="58"/>
        <v>21.460000000000036</v>
      </c>
      <c r="M1267">
        <f t="shared" si="59"/>
        <v>1051.78</v>
      </c>
      <c r="N1267" t="s">
        <v>33</v>
      </c>
      <c r="O1267" t="s">
        <v>29</v>
      </c>
      <c r="P1267" t="s">
        <v>21</v>
      </c>
      <c r="Q1267" t="s">
        <v>37</v>
      </c>
    </row>
    <row r="1268" spans="1:17" x14ac:dyDescent="0.3">
      <c r="A1268" t="s">
        <v>1329</v>
      </c>
      <c r="B1268" s="1">
        <v>45717</v>
      </c>
      <c r="C1268" t="s">
        <v>36</v>
      </c>
      <c r="D1268" t="s">
        <v>39</v>
      </c>
      <c r="E1268" t="s">
        <v>61</v>
      </c>
      <c r="F1268" t="s">
        <v>66</v>
      </c>
      <c r="G1268">
        <v>2</v>
      </c>
      <c r="H1268">
        <v>4614.17</v>
      </c>
      <c r="I1268">
        <v>0.03</v>
      </c>
      <c r="J1268">
        <v>8951.49</v>
      </c>
      <c r="K1268">
        <f t="shared" si="57"/>
        <v>9228.34</v>
      </c>
      <c r="L1268">
        <f t="shared" si="58"/>
        <v>276.85000000000036</v>
      </c>
      <c r="M1268">
        <f t="shared" si="59"/>
        <v>8951.49</v>
      </c>
      <c r="N1268" t="s">
        <v>46</v>
      </c>
      <c r="O1268" t="s">
        <v>34</v>
      </c>
      <c r="P1268" t="s">
        <v>21</v>
      </c>
      <c r="Q1268" t="s">
        <v>22</v>
      </c>
    </row>
    <row r="1269" spans="1:17" x14ac:dyDescent="0.3">
      <c r="A1269" t="s">
        <v>1330</v>
      </c>
      <c r="B1269" s="1">
        <v>45827</v>
      </c>
      <c r="C1269" t="s">
        <v>52</v>
      </c>
      <c r="D1269" t="s">
        <v>16</v>
      </c>
      <c r="E1269" t="s">
        <v>17</v>
      </c>
      <c r="F1269" t="s">
        <v>32</v>
      </c>
      <c r="G1269">
        <v>2</v>
      </c>
      <c r="H1269">
        <v>2785.14</v>
      </c>
      <c r="I1269">
        <v>0.17</v>
      </c>
      <c r="J1269">
        <v>4623.33</v>
      </c>
      <c r="K1269">
        <f t="shared" si="57"/>
        <v>5570.28</v>
      </c>
      <c r="L1269">
        <f t="shared" si="58"/>
        <v>946.94999999999982</v>
      </c>
      <c r="M1269">
        <f t="shared" si="59"/>
        <v>4623.33</v>
      </c>
      <c r="N1269" t="s">
        <v>41</v>
      </c>
      <c r="O1269" t="s">
        <v>20</v>
      </c>
      <c r="P1269" t="s">
        <v>30</v>
      </c>
      <c r="Q1269" t="s">
        <v>22</v>
      </c>
    </row>
    <row r="1270" spans="1:17" x14ac:dyDescent="0.3">
      <c r="A1270" t="s">
        <v>1331</v>
      </c>
      <c r="B1270" s="1">
        <v>45774</v>
      </c>
      <c r="C1270" t="s">
        <v>52</v>
      </c>
      <c r="D1270" t="s">
        <v>25</v>
      </c>
      <c r="E1270" t="s">
        <v>61</v>
      </c>
      <c r="F1270" t="s">
        <v>75</v>
      </c>
      <c r="G1270">
        <v>2</v>
      </c>
      <c r="H1270">
        <v>812.35</v>
      </c>
      <c r="I1270">
        <v>7.0000000000000007E-2</v>
      </c>
      <c r="J1270">
        <v>1510.97</v>
      </c>
      <c r="K1270">
        <f t="shared" si="57"/>
        <v>1624.7</v>
      </c>
      <c r="L1270">
        <f t="shared" si="58"/>
        <v>113.73000000000002</v>
      </c>
      <c r="M1270">
        <f t="shared" si="59"/>
        <v>1510.97</v>
      </c>
      <c r="N1270" t="s">
        <v>41</v>
      </c>
      <c r="O1270" t="s">
        <v>29</v>
      </c>
      <c r="P1270" t="s">
        <v>54</v>
      </c>
      <c r="Q1270" t="s">
        <v>88</v>
      </c>
    </row>
    <row r="1271" spans="1:17" x14ac:dyDescent="0.3">
      <c r="A1271" t="s">
        <v>1332</v>
      </c>
      <c r="B1271" s="1">
        <v>45743</v>
      </c>
      <c r="C1271" t="s">
        <v>48</v>
      </c>
      <c r="D1271" t="s">
        <v>39</v>
      </c>
      <c r="E1271" t="s">
        <v>49</v>
      </c>
      <c r="F1271" t="s">
        <v>73</v>
      </c>
      <c r="G1271">
        <v>5</v>
      </c>
      <c r="H1271">
        <v>2058.12</v>
      </c>
      <c r="I1271">
        <v>0.14000000000000001</v>
      </c>
      <c r="J1271">
        <v>8849.92</v>
      </c>
      <c r="K1271">
        <f t="shared" si="57"/>
        <v>10290.599999999999</v>
      </c>
      <c r="L1271">
        <f t="shared" si="58"/>
        <v>1440.6799999999985</v>
      </c>
      <c r="M1271">
        <f t="shared" si="59"/>
        <v>8849.92</v>
      </c>
      <c r="N1271" t="s">
        <v>19</v>
      </c>
      <c r="O1271" t="s">
        <v>29</v>
      </c>
      <c r="P1271" t="s">
        <v>30</v>
      </c>
      <c r="Q1271" t="s">
        <v>22</v>
      </c>
    </row>
    <row r="1272" spans="1:17" x14ac:dyDescent="0.3">
      <c r="A1272" t="s">
        <v>1333</v>
      </c>
      <c r="B1272" s="1">
        <v>45719</v>
      </c>
      <c r="C1272" t="s">
        <v>48</v>
      </c>
      <c r="D1272" t="s">
        <v>43</v>
      </c>
      <c r="E1272" t="s">
        <v>99</v>
      </c>
      <c r="F1272" t="s">
        <v>111</v>
      </c>
      <c r="G1272">
        <v>2</v>
      </c>
      <c r="H1272">
        <v>1668.76</v>
      </c>
      <c r="I1272">
        <v>0.09</v>
      </c>
      <c r="J1272">
        <v>3037.14</v>
      </c>
      <c r="K1272">
        <f t="shared" si="57"/>
        <v>3337.52</v>
      </c>
      <c r="L1272">
        <f t="shared" si="58"/>
        <v>300.38000000000011</v>
      </c>
      <c r="M1272">
        <f t="shared" si="59"/>
        <v>3037.14</v>
      </c>
      <c r="N1272" t="s">
        <v>46</v>
      </c>
      <c r="O1272" t="s">
        <v>34</v>
      </c>
      <c r="P1272" t="s">
        <v>21</v>
      </c>
      <c r="Q1272" t="s">
        <v>22</v>
      </c>
    </row>
    <row r="1273" spans="1:17" x14ac:dyDescent="0.3">
      <c r="A1273" t="s">
        <v>1334</v>
      </c>
      <c r="B1273" s="1">
        <v>45770</v>
      </c>
      <c r="C1273" t="s">
        <v>24</v>
      </c>
      <c r="D1273" t="s">
        <v>43</v>
      </c>
      <c r="E1273" t="s">
        <v>61</v>
      </c>
      <c r="F1273" t="s">
        <v>75</v>
      </c>
      <c r="G1273">
        <v>4</v>
      </c>
      <c r="H1273">
        <v>2723.26</v>
      </c>
      <c r="I1273">
        <v>0.03</v>
      </c>
      <c r="J1273">
        <v>10566.25</v>
      </c>
      <c r="K1273">
        <f t="shared" si="57"/>
        <v>10893.04</v>
      </c>
      <c r="L1273">
        <f t="shared" si="58"/>
        <v>326.79000000000087</v>
      </c>
      <c r="M1273">
        <f t="shared" si="59"/>
        <v>10566.25</v>
      </c>
      <c r="N1273" t="s">
        <v>33</v>
      </c>
      <c r="O1273" t="s">
        <v>29</v>
      </c>
      <c r="P1273" t="s">
        <v>21</v>
      </c>
      <c r="Q1273" t="s">
        <v>22</v>
      </c>
    </row>
    <row r="1274" spans="1:17" x14ac:dyDescent="0.3">
      <c r="A1274" t="s">
        <v>1335</v>
      </c>
      <c r="B1274" s="1">
        <v>45780</v>
      </c>
      <c r="C1274" t="s">
        <v>48</v>
      </c>
      <c r="D1274" t="s">
        <v>25</v>
      </c>
      <c r="E1274" t="s">
        <v>27</v>
      </c>
      <c r="F1274" t="s">
        <v>68</v>
      </c>
      <c r="G1274">
        <v>1</v>
      </c>
      <c r="H1274">
        <v>2355.17</v>
      </c>
      <c r="I1274">
        <v>0.11</v>
      </c>
      <c r="J1274">
        <v>2096.1</v>
      </c>
      <c r="K1274">
        <f t="shared" si="57"/>
        <v>2355.17</v>
      </c>
      <c r="L1274">
        <f t="shared" si="58"/>
        <v>259.07000000000016</v>
      </c>
      <c r="M1274">
        <f t="shared" si="59"/>
        <v>2096.1</v>
      </c>
      <c r="N1274" t="s">
        <v>46</v>
      </c>
      <c r="O1274" t="s">
        <v>29</v>
      </c>
      <c r="P1274" t="s">
        <v>21</v>
      </c>
      <c r="Q1274" t="s">
        <v>22</v>
      </c>
    </row>
    <row r="1275" spans="1:17" x14ac:dyDescent="0.3">
      <c r="A1275" t="s">
        <v>1336</v>
      </c>
      <c r="B1275" s="1">
        <v>45671</v>
      </c>
      <c r="C1275" t="s">
        <v>36</v>
      </c>
      <c r="D1275" t="s">
        <v>43</v>
      </c>
      <c r="E1275" t="s">
        <v>61</v>
      </c>
      <c r="F1275" t="s">
        <v>62</v>
      </c>
      <c r="G1275">
        <v>1</v>
      </c>
      <c r="H1275">
        <v>4489.62</v>
      </c>
      <c r="I1275">
        <v>0.12</v>
      </c>
      <c r="J1275">
        <v>3950.87</v>
      </c>
      <c r="K1275">
        <f t="shared" si="57"/>
        <v>4489.62</v>
      </c>
      <c r="L1275">
        <f t="shared" si="58"/>
        <v>538.75</v>
      </c>
      <c r="M1275">
        <f t="shared" si="59"/>
        <v>3950.87</v>
      </c>
      <c r="N1275" t="s">
        <v>41</v>
      </c>
      <c r="O1275" t="s">
        <v>29</v>
      </c>
      <c r="P1275" t="s">
        <v>21</v>
      </c>
      <c r="Q1275" t="s">
        <v>22</v>
      </c>
    </row>
    <row r="1276" spans="1:17" x14ac:dyDescent="0.3">
      <c r="A1276" t="s">
        <v>1337</v>
      </c>
      <c r="B1276" s="1">
        <v>45778</v>
      </c>
      <c r="C1276" t="s">
        <v>15</v>
      </c>
      <c r="D1276" t="s">
        <v>43</v>
      </c>
      <c r="E1276" t="s">
        <v>99</v>
      </c>
      <c r="F1276" t="s">
        <v>120</v>
      </c>
      <c r="G1276">
        <v>1</v>
      </c>
      <c r="H1276">
        <v>3596.7</v>
      </c>
      <c r="I1276">
        <v>0.12</v>
      </c>
      <c r="J1276">
        <v>3165.1</v>
      </c>
      <c r="K1276">
        <f t="shared" si="57"/>
        <v>3596.7</v>
      </c>
      <c r="L1276">
        <f t="shared" si="58"/>
        <v>431.59999999999991</v>
      </c>
      <c r="M1276">
        <f t="shared" si="59"/>
        <v>3165.1</v>
      </c>
      <c r="N1276" t="s">
        <v>33</v>
      </c>
      <c r="O1276" t="s">
        <v>34</v>
      </c>
      <c r="P1276" t="s">
        <v>21</v>
      </c>
      <c r="Q1276" t="s">
        <v>59</v>
      </c>
    </row>
    <row r="1277" spans="1:17" x14ac:dyDescent="0.3">
      <c r="A1277" t="s">
        <v>1338</v>
      </c>
      <c r="B1277" s="1">
        <v>45803</v>
      </c>
      <c r="C1277" t="s">
        <v>15</v>
      </c>
      <c r="D1277" t="s">
        <v>25</v>
      </c>
      <c r="E1277" t="s">
        <v>61</v>
      </c>
      <c r="F1277" t="s">
        <v>92</v>
      </c>
      <c r="G1277">
        <v>3</v>
      </c>
      <c r="H1277">
        <v>1719.61</v>
      </c>
      <c r="I1277">
        <v>0.14000000000000001</v>
      </c>
      <c r="J1277">
        <v>4436.59</v>
      </c>
      <c r="K1277">
        <f t="shared" si="57"/>
        <v>5158.83</v>
      </c>
      <c r="L1277">
        <f t="shared" si="58"/>
        <v>722.23999999999978</v>
      </c>
      <c r="M1277">
        <f t="shared" si="59"/>
        <v>4436.59</v>
      </c>
      <c r="N1277" t="s">
        <v>33</v>
      </c>
      <c r="O1277" t="s">
        <v>29</v>
      </c>
      <c r="P1277" t="s">
        <v>21</v>
      </c>
      <c r="Q1277" t="s">
        <v>22</v>
      </c>
    </row>
    <row r="1278" spans="1:17" x14ac:dyDescent="0.3">
      <c r="A1278" t="s">
        <v>1339</v>
      </c>
      <c r="B1278" s="1">
        <v>45679</v>
      </c>
      <c r="C1278" t="s">
        <v>24</v>
      </c>
      <c r="D1278" t="s">
        <v>16</v>
      </c>
      <c r="E1278" t="s">
        <v>27</v>
      </c>
      <c r="F1278" t="s">
        <v>28</v>
      </c>
      <c r="G1278">
        <v>3</v>
      </c>
      <c r="H1278">
        <v>2978.49</v>
      </c>
      <c r="I1278">
        <v>0.19</v>
      </c>
      <c r="J1278">
        <v>7237.73</v>
      </c>
      <c r="K1278">
        <f t="shared" si="57"/>
        <v>8935.4699999999993</v>
      </c>
      <c r="L1278">
        <f t="shared" si="58"/>
        <v>1697.7399999999998</v>
      </c>
      <c r="M1278">
        <f t="shared" si="59"/>
        <v>7237.73</v>
      </c>
      <c r="N1278" t="s">
        <v>33</v>
      </c>
      <c r="O1278" t="s">
        <v>20</v>
      </c>
      <c r="P1278" t="s">
        <v>54</v>
      </c>
      <c r="Q1278" t="s">
        <v>22</v>
      </c>
    </row>
    <row r="1279" spans="1:17" x14ac:dyDescent="0.3">
      <c r="A1279" t="s">
        <v>1340</v>
      </c>
      <c r="B1279" s="1">
        <v>45808</v>
      </c>
      <c r="C1279" t="s">
        <v>52</v>
      </c>
      <c r="D1279" t="s">
        <v>16</v>
      </c>
      <c r="E1279" t="s">
        <v>61</v>
      </c>
      <c r="F1279" t="s">
        <v>75</v>
      </c>
      <c r="G1279">
        <v>2</v>
      </c>
      <c r="H1279">
        <v>244.49</v>
      </c>
      <c r="I1279">
        <v>0.23</v>
      </c>
      <c r="J1279">
        <v>376.51</v>
      </c>
      <c r="K1279">
        <f t="shared" si="57"/>
        <v>488.98</v>
      </c>
      <c r="L1279">
        <f t="shared" si="58"/>
        <v>112.47000000000003</v>
      </c>
      <c r="M1279">
        <f t="shared" si="59"/>
        <v>376.51</v>
      </c>
      <c r="N1279" t="s">
        <v>33</v>
      </c>
      <c r="O1279" t="s">
        <v>20</v>
      </c>
      <c r="P1279" t="s">
        <v>21</v>
      </c>
      <c r="Q1279" t="s">
        <v>22</v>
      </c>
    </row>
    <row r="1280" spans="1:17" x14ac:dyDescent="0.3">
      <c r="A1280" t="s">
        <v>1341</v>
      </c>
      <c r="B1280" s="1">
        <v>45700</v>
      </c>
      <c r="C1280" t="s">
        <v>36</v>
      </c>
      <c r="D1280" t="s">
        <v>43</v>
      </c>
      <c r="E1280" t="s">
        <v>17</v>
      </c>
      <c r="F1280" t="s">
        <v>40</v>
      </c>
      <c r="G1280">
        <v>4</v>
      </c>
      <c r="H1280">
        <v>3512.43</v>
      </c>
      <c r="I1280">
        <v>0.03</v>
      </c>
      <c r="J1280">
        <v>13628.23</v>
      </c>
      <c r="K1280">
        <f t="shared" si="57"/>
        <v>14049.72</v>
      </c>
      <c r="L1280">
        <f t="shared" si="58"/>
        <v>421.48999999999978</v>
      </c>
      <c r="M1280">
        <f t="shared" si="59"/>
        <v>13628.23</v>
      </c>
      <c r="N1280" t="s">
        <v>41</v>
      </c>
      <c r="O1280" t="s">
        <v>34</v>
      </c>
      <c r="P1280" t="s">
        <v>30</v>
      </c>
      <c r="Q1280" t="s">
        <v>22</v>
      </c>
    </row>
    <row r="1281" spans="1:17" x14ac:dyDescent="0.3">
      <c r="A1281" t="s">
        <v>1342</v>
      </c>
      <c r="B1281" s="1">
        <v>45781</v>
      </c>
      <c r="C1281" t="s">
        <v>48</v>
      </c>
      <c r="D1281" t="s">
        <v>39</v>
      </c>
      <c r="E1281" t="s">
        <v>99</v>
      </c>
      <c r="F1281" t="s">
        <v>100</v>
      </c>
      <c r="G1281">
        <v>1</v>
      </c>
      <c r="H1281">
        <v>1004.38</v>
      </c>
      <c r="I1281">
        <v>0.1</v>
      </c>
      <c r="J1281">
        <v>903.94</v>
      </c>
      <c r="K1281">
        <f t="shared" si="57"/>
        <v>1004.38</v>
      </c>
      <c r="L1281">
        <f t="shared" si="58"/>
        <v>100.43999999999994</v>
      </c>
      <c r="M1281">
        <f t="shared" si="59"/>
        <v>903.94</v>
      </c>
      <c r="N1281" t="s">
        <v>46</v>
      </c>
      <c r="O1281" t="s">
        <v>34</v>
      </c>
      <c r="P1281" t="s">
        <v>54</v>
      </c>
      <c r="Q1281" t="s">
        <v>59</v>
      </c>
    </row>
    <row r="1282" spans="1:17" x14ac:dyDescent="0.3">
      <c r="A1282" t="s">
        <v>1343</v>
      </c>
      <c r="B1282" s="1">
        <v>45700</v>
      </c>
      <c r="C1282" t="s">
        <v>48</v>
      </c>
      <c r="D1282" t="s">
        <v>16</v>
      </c>
      <c r="E1282" t="s">
        <v>17</v>
      </c>
      <c r="F1282" t="s">
        <v>32</v>
      </c>
      <c r="G1282">
        <v>3</v>
      </c>
      <c r="H1282">
        <v>199.96</v>
      </c>
      <c r="I1282">
        <v>0.15</v>
      </c>
      <c r="J1282">
        <v>509.9</v>
      </c>
      <c r="K1282">
        <f t="shared" si="57"/>
        <v>599.88</v>
      </c>
      <c r="L1282">
        <f t="shared" si="58"/>
        <v>89.980000000000018</v>
      </c>
      <c r="M1282">
        <f t="shared" si="59"/>
        <v>509.9</v>
      </c>
      <c r="N1282" t="s">
        <v>58</v>
      </c>
      <c r="O1282" t="s">
        <v>29</v>
      </c>
      <c r="P1282" t="s">
        <v>21</v>
      </c>
      <c r="Q1282" t="s">
        <v>22</v>
      </c>
    </row>
    <row r="1283" spans="1:17" x14ac:dyDescent="0.3">
      <c r="A1283" t="s">
        <v>1344</v>
      </c>
      <c r="B1283" s="1">
        <v>45711</v>
      </c>
      <c r="C1283" t="s">
        <v>24</v>
      </c>
      <c r="D1283" t="s">
        <v>39</v>
      </c>
      <c r="E1283" t="s">
        <v>17</v>
      </c>
      <c r="F1283" t="s">
        <v>44</v>
      </c>
      <c r="G1283">
        <v>1</v>
      </c>
      <c r="H1283">
        <v>1701.61</v>
      </c>
      <c r="I1283">
        <v>0.08</v>
      </c>
      <c r="J1283">
        <v>1565.48</v>
      </c>
      <c r="K1283">
        <f t="shared" ref="K1283:K1346" si="60">G1283*H1283</f>
        <v>1701.61</v>
      </c>
      <c r="L1283">
        <f t="shared" ref="L1283:L1346" si="61">K1283-J1283</f>
        <v>136.12999999999988</v>
      </c>
      <c r="M1283">
        <f t="shared" ref="M1283:M1346" si="62">K1283-L1283</f>
        <v>1565.48</v>
      </c>
      <c r="N1283" t="s">
        <v>33</v>
      </c>
      <c r="O1283" t="s">
        <v>20</v>
      </c>
      <c r="P1283" t="s">
        <v>21</v>
      </c>
      <c r="Q1283" t="s">
        <v>37</v>
      </c>
    </row>
    <row r="1284" spans="1:17" x14ac:dyDescent="0.3">
      <c r="A1284" t="s">
        <v>1345</v>
      </c>
      <c r="B1284" s="1">
        <v>45788</v>
      </c>
      <c r="C1284" t="s">
        <v>36</v>
      </c>
      <c r="D1284" t="s">
        <v>43</v>
      </c>
      <c r="E1284" t="s">
        <v>61</v>
      </c>
      <c r="F1284" t="s">
        <v>75</v>
      </c>
      <c r="G1284">
        <v>5</v>
      </c>
      <c r="H1284">
        <v>1170.03</v>
      </c>
      <c r="I1284">
        <v>0.09</v>
      </c>
      <c r="J1284">
        <v>5323.64</v>
      </c>
      <c r="K1284">
        <f t="shared" si="60"/>
        <v>5850.15</v>
      </c>
      <c r="L1284">
        <f t="shared" si="61"/>
        <v>526.50999999999931</v>
      </c>
      <c r="M1284">
        <f t="shared" si="62"/>
        <v>5323.64</v>
      </c>
      <c r="N1284" t="s">
        <v>41</v>
      </c>
      <c r="O1284" t="s">
        <v>20</v>
      </c>
      <c r="P1284" t="s">
        <v>21</v>
      </c>
      <c r="Q1284" t="s">
        <v>22</v>
      </c>
    </row>
    <row r="1285" spans="1:17" x14ac:dyDescent="0.3">
      <c r="A1285" t="s">
        <v>1346</v>
      </c>
      <c r="B1285" s="1">
        <v>45675</v>
      </c>
      <c r="C1285" t="s">
        <v>48</v>
      </c>
      <c r="D1285" t="s">
        <v>16</v>
      </c>
      <c r="E1285" t="s">
        <v>27</v>
      </c>
      <c r="F1285" t="s">
        <v>68</v>
      </c>
      <c r="G1285">
        <v>2</v>
      </c>
      <c r="H1285">
        <v>4090.37</v>
      </c>
      <c r="I1285">
        <v>0.11</v>
      </c>
      <c r="J1285">
        <v>7280.86</v>
      </c>
      <c r="K1285">
        <f t="shared" si="60"/>
        <v>8180.74</v>
      </c>
      <c r="L1285">
        <f t="shared" si="61"/>
        <v>899.88000000000011</v>
      </c>
      <c r="M1285">
        <f t="shared" si="62"/>
        <v>7280.86</v>
      </c>
      <c r="N1285" t="s">
        <v>19</v>
      </c>
      <c r="O1285" t="s">
        <v>29</v>
      </c>
      <c r="P1285" t="s">
        <v>21</v>
      </c>
      <c r="Q1285" t="s">
        <v>37</v>
      </c>
    </row>
    <row r="1286" spans="1:17" x14ac:dyDescent="0.3">
      <c r="A1286" t="s">
        <v>1347</v>
      </c>
      <c r="B1286" s="1">
        <v>45690</v>
      </c>
      <c r="C1286" t="s">
        <v>15</v>
      </c>
      <c r="D1286" t="s">
        <v>25</v>
      </c>
      <c r="E1286" t="s">
        <v>17</v>
      </c>
      <c r="F1286" t="s">
        <v>32</v>
      </c>
      <c r="G1286">
        <v>2</v>
      </c>
      <c r="H1286">
        <v>2991.52</v>
      </c>
      <c r="I1286">
        <v>0.04</v>
      </c>
      <c r="J1286">
        <v>5743.72</v>
      </c>
      <c r="K1286">
        <f t="shared" si="60"/>
        <v>5983.04</v>
      </c>
      <c r="L1286">
        <f t="shared" si="61"/>
        <v>239.31999999999971</v>
      </c>
      <c r="M1286">
        <f t="shared" si="62"/>
        <v>5743.72</v>
      </c>
      <c r="N1286" t="s">
        <v>58</v>
      </c>
      <c r="O1286" t="s">
        <v>34</v>
      </c>
      <c r="P1286" t="s">
        <v>54</v>
      </c>
      <c r="Q1286" t="s">
        <v>22</v>
      </c>
    </row>
    <row r="1287" spans="1:17" x14ac:dyDescent="0.3">
      <c r="A1287" t="s">
        <v>1348</v>
      </c>
      <c r="B1287" s="1">
        <v>45706</v>
      </c>
      <c r="C1287" t="s">
        <v>48</v>
      </c>
      <c r="D1287" t="s">
        <v>39</v>
      </c>
      <c r="E1287" t="s">
        <v>61</v>
      </c>
      <c r="F1287" t="s">
        <v>66</v>
      </c>
      <c r="G1287">
        <v>4</v>
      </c>
      <c r="H1287">
        <v>4725.6499999999996</v>
      </c>
      <c r="I1287">
        <v>0.17</v>
      </c>
      <c r="J1287">
        <v>15689.16</v>
      </c>
      <c r="K1287">
        <f t="shared" si="60"/>
        <v>18902.599999999999</v>
      </c>
      <c r="L1287">
        <f t="shared" si="61"/>
        <v>3213.4399999999987</v>
      </c>
      <c r="M1287">
        <f t="shared" si="62"/>
        <v>15689.16</v>
      </c>
      <c r="N1287" t="s">
        <v>33</v>
      </c>
      <c r="O1287" t="s">
        <v>34</v>
      </c>
      <c r="P1287" t="s">
        <v>54</v>
      </c>
      <c r="Q1287" t="s">
        <v>22</v>
      </c>
    </row>
    <row r="1288" spans="1:17" x14ac:dyDescent="0.3">
      <c r="A1288" t="s">
        <v>1349</v>
      </c>
      <c r="B1288" s="1">
        <v>45693</v>
      </c>
      <c r="C1288" t="s">
        <v>48</v>
      </c>
      <c r="D1288" t="s">
        <v>16</v>
      </c>
      <c r="E1288" t="s">
        <v>61</v>
      </c>
      <c r="F1288" t="s">
        <v>75</v>
      </c>
      <c r="G1288">
        <v>1</v>
      </c>
      <c r="H1288">
        <v>1855.77</v>
      </c>
      <c r="I1288">
        <v>0.23</v>
      </c>
      <c r="J1288">
        <v>1428.94</v>
      </c>
      <c r="K1288">
        <f t="shared" si="60"/>
        <v>1855.77</v>
      </c>
      <c r="L1288">
        <f t="shared" si="61"/>
        <v>426.82999999999993</v>
      </c>
      <c r="M1288">
        <f t="shared" si="62"/>
        <v>1428.94</v>
      </c>
      <c r="N1288" t="s">
        <v>19</v>
      </c>
      <c r="O1288" t="s">
        <v>34</v>
      </c>
      <c r="P1288" t="s">
        <v>30</v>
      </c>
      <c r="Q1288" t="s">
        <v>88</v>
      </c>
    </row>
    <row r="1289" spans="1:17" x14ac:dyDescent="0.3">
      <c r="A1289" t="s">
        <v>1350</v>
      </c>
      <c r="B1289" s="1">
        <v>45767</v>
      </c>
      <c r="C1289" t="s">
        <v>36</v>
      </c>
      <c r="D1289" t="s">
        <v>43</v>
      </c>
      <c r="E1289" t="s">
        <v>17</v>
      </c>
      <c r="F1289" t="s">
        <v>32</v>
      </c>
      <c r="G1289">
        <v>5</v>
      </c>
      <c r="H1289">
        <v>2656.2</v>
      </c>
      <c r="I1289">
        <v>0.19</v>
      </c>
      <c r="J1289">
        <v>10757.61</v>
      </c>
      <c r="K1289">
        <f t="shared" si="60"/>
        <v>13281</v>
      </c>
      <c r="L1289">
        <f t="shared" si="61"/>
        <v>2523.3899999999994</v>
      </c>
      <c r="M1289">
        <f t="shared" si="62"/>
        <v>10757.61</v>
      </c>
      <c r="N1289" t="s">
        <v>33</v>
      </c>
      <c r="O1289" t="s">
        <v>29</v>
      </c>
      <c r="P1289" t="s">
        <v>21</v>
      </c>
      <c r="Q1289" t="s">
        <v>22</v>
      </c>
    </row>
    <row r="1290" spans="1:17" x14ac:dyDescent="0.3">
      <c r="A1290" t="s">
        <v>1351</v>
      </c>
      <c r="B1290" s="1">
        <v>45674</v>
      </c>
      <c r="C1290" t="s">
        <v>52</v>
      </c>
      <c r="D1290" t="s">
        <v>16</v>
      </c>
      <c r="E1290" t="s">
        <v>61</v>
      </c>
      <c r="F1290" t="s">
        <v>92</v>
      </c>
      <c r="G1290">
        <v>4</v>
      </c>
      <c r="H1290">
        <v>2080.77</v>
      </c>
      <c r="I1290">
        <v>0.09</v>
      </c>
      <c r="J1290">
        <v>7574</v>
      </c>
      <c r="K1290">
        <f t="shared" si="60"/>
        <v>8323.08</v>
      </c>
      <c r="L1290">
        <f t="shared" si="61"/>
        <v>749.07999999999993</v>
      </c>
      <c r="M1290">
        <f t="shared" si="62"/>
        <v>7574</v>
      </c>
      <c r="N1290" t="s">
        <v>46</v>
      </c>
      <c r="O1290" t="s">
        <v>29</v>
      </c>
      <c r="P1290" t="s">
        <v>30</v>
      </c>
      <c r="Q1290" t="s">
        <v>22</v>
      </c>
    </row>
    <row r="1291" spans="1:17" x14ac:dyDescent="0.3">
      <c r="A1291" t="s">
        <v>1352</v>
      </c>
      <c r="B1291" s="1">
        <v>45690</v>
      </c>
      <c r="C1291" t="s">
        <v>36</v>
      </c>
      <c r="D1291" t="s">
        <v>16</v>
      </c>
      <c r="E1291" t="s">
        <v>99</v>
      </c>
      <c r="F1291" t="s">
        <v>115</v>
      </c>
      <c r="G1291">
        <v>4</v>
      </c>
      <c r="H1291">
        <v>4962.21</v>
      </c>
      <c r="I1291">
        <v>0.19</v>
      </c>
      <c r="J1291">
        <v>16077.56</v>
      </c>
      <c r="K1291">
        <f t="shared" si="60"/>
        <v>19848.84</v>
      </c>
      <c r="L1291">
        <f t="shared" si="61"/>
        <v>3771.2800000000007</v>
      </c>
      <c r="M1291">
        <f t="shared" si="62"/>
        <v>16077.56</v>
      </c>
      <c r="N1291" t="s">
        <v>41</v>
      </c>
      <c r="O1291" t="s">
        <v>34</v>
      </c>
      <c r="P1291" t="s">
        <v>21</v>
      </c>
      <c r="Q1291" t="s">
        <v>22</v>
      </c>
    </row>
    <row r="1292" spans="1:17" x14ac:dyDescent="0.3">
      <c r="A1292" t="s">
        <v>1353</v>
      </c>
      <c r="B1292" s="1">
        <v>45660</v>
      </c>
      <c r="C1292" t="s">
        <v>24</v>
      </c>
      <c r="D1292" t="s">
        <v>16</v>
      </c>
      <c r="E1292" t="s">
        <v>17</v>
      </c>
      <c r="F1292" t="s">
        <v>44</v>
      </c>
      <c r="G1292">
        <v>5</v>
      </c>
      <c r="H1292">
        <v>2759.66</v>
      </c>
      <c r="I1292">
        <v>0.16</v>
      </c>
      <c r="J1292">
        <v>11590.57</v>
      </c>
      <c r="K1292">
        <f t="shared" si="60"/>
        <v>13798.3</v>
      </c>
      <c r="L1292">
        <f t="shared" si="61"/>
        <v>2207.7299999999996</v>
      </c>
      <c r="M1292">
        <f t="shared" si="62"/>
        <v>11590.57</v>
      </c>
      <c r="N1292" t="s">
        <v>46</v>
      </c>
      <c r="O1292" t="s">
        <v>29</v>
      </c>
      <c r="P1292" t="s">
        <v>21</v>
      </c>
      <c r="Q1292" t="s">
        <v>22</v>
      </c>
    </row>
    <row r="1293" spans="1:17" x14ac:dyDescent="0.3">
      <c r="A1293" t="s">
        <v>1354</v>
      </c>
      <c r="B1293" s="1">
        <v>45739</v>
      </c>
      <c r="C1293" t="s">
        <v>48</v>
      </c>
      <c r="D1293" t="s">
        <v>43</v>
      </c>
      <c r="E1293" t="s">
        <v>17</v>
      </c>
      <c r="F1293" t="s">
        <v>32</v>
      </c>
      <c r="G1293">
        <v>5</v>
      </c>
      <c r="H1293">
        <v>356.93</v>
      </c>
      <c r="I1293">
        <v>0.21</v>
      </c>
      <c r="J1293">
        <v>1409.87</v>
      </c>
      <c r="K1293">
        <f t="shared" si="60"/>
        <v>1784.65</v>
      </c>
      <c r="L1293">
        <f t="shared" si="61"/>
        <v>374.7800000000002</v>
      </c>
      <c r="M1293">
        <f t="shared" si="62"/>
        <v>1409.87</v>
      </c>
      <c r="N1293" t="s">
        <v>19</v>
      </c>
      <c r="O1293" t="s">
        <v>34</v>
      </c>
      <c r="P1293" t="s">
        <v>30</v>
      </c>
      <c r="Q1293" t="s">
        <v>22</v>
      </c>
    </row>
    <row r="1294" spans="1:17" x14ac:dyDescent="0.3">
      <c r="A1294" t="s">
        <v>1355</v>
      </c>
      <c r="B1294" s="1">
        <v>45747</v>
      </c>
      <c r="C1294" t="s">
        <v>24</v>
      </c>
      <c r="D1294" t="s">
        <v>25</v>
      </c>
      <c r="E1294" t="s">
        <v>17</v>
      </c>
      <c r="F1294" t="s">
        <v>44</v>
      </c>
      <c r="G1294">
        <v>2</v>
      </c>
      <c r="H1294">
        <v>3590.81</v>
      </c>
      <c r="I1294">
        <v>0.02</v>
      </c>
      <c r="J1294">
        <v>7037.99</v>
      </c>
      <c r="K1294">
        <f t="shared" si="60"/>
        <v>7181.62</v>
      </c>
      <c r="L1294">
        <f t="shared" si="61"/>
        <v>143.63000000000011</v>
      </c>
      <c r="M1294">
        <f t="shared" si="62"/>
        <v>7037.99</v>
      </c>
      <c r="N1294" t="s">
        <v>41</v>
      </c>
      <c r="O1294" t="s">
        <v>20</v>
      </c>
      <c r="P1294" t="s">
        <v>54</v>
      </c>
      <c r="Q1294" t="s">
        <v>22</v>
      </c>
    </row>
    <row r="1295" spans="1:17" x14ac:dyDescent="0.3">
      <c r="A1295" t="s">
        <v>1356</v>
      </c>
      <c r="B1295" s="1">
        <v>45793</v>
      </c>
      <c r="C1295" t="s">
        <v>24</v>
      </c>
      <c r="D1295" t="s">
        <v>39</v>
      </c>
      <c r="E1295" t="s">
        <v>27</v>
      </c>
      <c r="F1295" t="s">
        <v>79</v>
      </c>
      <c r="G1295">
        <v>1</v>
      </c>
      <c r="H1295">
        <v>4629.13</v>
      </c>
      <c r="I1295">
        <v>0</v>
      </c>
      <c r="J1295">
        <v>4629.13</v>
      </c>
      <c r="K1295">
        <f t="shared" si="60"/>
        <v>4629.13</v>
      </c>
      <c r="L1295">
        <f t="shared" si="61"/>
        <v>0</v>
      </c>
      <c r="M1295">
        <f t="shared" si="62"/>
        <v>4629.13</v>
      </c>
      <c r="N1295" t="s">
        <v>41</v>
      </c>
      <c r="O1295" t="s">
        <v>20</v>
      </c>
      <c r="P1295" t="s">
        <v>54</v>
      </c>
      <c r="Q1295" t="s">
        <v>59</v>
      </c>
    </row>
    <row r="1296" spans="1:17" x14ac:dyDescent="0.3">
      <c r="A1296" t="s">
        <v>1357</v>
      </c>
      <c r="B1296" s="1">
        <v>45775</v>
      </c>
      <c r="C1296" t="s">
        <v>15</v>
      </c>
      <c r="D1296" t="s">
        <v>39</v>
      </c>
      <c r="E1296" t="s">
        <v>49</v>
      </c>
      <c r="F1296" t="s">
        <v>73</v>
      </c>
      <c r="G1296">
        <v>2</v>
      </c>
      <c r="H1296">
        <v>794.18</v>
      </c>
      <c r="I1296">
        <v>0.06</v>
      </c>
      <c r="J1296">
        <v>1493.06</v>
      </c>
      <c r="K1296">
        <f t="shared" si="60"/>
        <v>1588.36</v>
      </c>
      <c r="L1296">
        <f t="shared" si="61"/>
        <v>95.299999999999955</v>
      </c>
      <c r="M1296">
        <f t="shared" si="62"/>
        <v>1493.06</v>
      </c>
      <c r="N1296" t="s">
        <v>41</v>
      </c>
      <c r="O1296" t="s">
        <v>20</v>
      </c>
      <c r="P1296" t="s">
        <v>21</v>
      </c>
      <c r="Q1296" t="s">
        <v>37</v>
      </c>
    </row>
    <row r="1297" spans="1:17" x14ac:dyDescent="0.3">
      <c r="A1297" t="s">
        <v>1358</v>
      </c>
      <c r="B1297" s="1">
        <v>45751</v>
      </c>
      <c r="C1297" t="s">
        <v>52</v>
      </c>
      <c r="D1297" t="s">
        <v>43</v>
      </c>
      <c r="E1297" t="s">
        <v>49</v>
      </c>
      <c r="F1297" t="s">
        <v>53</v>
      </c>
      <c r="G1297">
        <v>1</v>
      </c>
      <c r="H1297">
        <v>2137.85</v>
      </c>
      <c r="I1297">
        <v>0.1</v>
      </c>
      <c r="J1297">
        <v>1924.07</v>
      </c>
      <c r="K1297">
        <f t="shared" si="60"/>
        <v>2137.85</v>
      </c>
      <c r="L1297">
        <f t="shared" si="61"/>
        <v>213.77999999999997</v>
      </c>
      <c r="M1297">
        <f t="shared" si="62"/>
        <v>1924.07</v>
      </c>
      <c r="N1297" t="s">
        <v>46</v>
      </c>
      <c r="O1297" t="s">
        <v>34</v>
      </c>
      <c r="P1297" t="s">
        <v>30</v>
      </c>
      <c r="Q1297" t="s">
        <v>88</v>
      </c>
    </row>
    <row r="1298" spans="1:17" x14ac:dyDescent="0.3">
      <c r="A1298" t="s">
        <v>1359</v>
      </c>
      <c r="B1298" s="1">
        <v>45716</v>
      </c>
      <c r="C1298" t="s">
        <v>36</v>
      </c>
      <c r="D1298" t="s">
        <v>43</v>
      </c>
      <c r="E1298" t="s">
        <v>49</v>
      </c>
      <c r="F1298" t="s">
        <v>53</v>
      </c>
      <c r="G1298">
        <v>4</v>
      </c>
      <c r="H1298">
        <v>304.82</v>
      </c>
      <c r="I1298">
        <v>0.19</v>
      </c>
      <c r="J1298">
        <v>987.62</v>
      </c>
      <c r="K1298">
        <f t="shared" si="60"/>
        <v>1219.28</v>
      </c>
      <c r="L1298">
        <f t="shared" si="61"/>
        <v>231.65999999999997</v>
      </c>
      <c r="M1298">
        <f t="shared" si="62"/>
        <v>987.62</v>
      </c>
      <c r="N1298" t="s">
        <v>58</v>
      </c>
      <c r="O1298" t="s">
        <v>29</v>
      </c>
      <c r="P1298" t="s">
        <v>54</v>
      </c>
      <c r="Q1298" t="s">
        <v>22</v>
      </c>
    </row>
    <row r="1299" spans="1:17" x14ac:dyDescent="0.3">
      <c r="A1299" t="s">
        <v>1360</v>
      </c>
      <c r="B1299" s="1">
        <v>45666</v>
      </c>
      <c r="C1299" t="s">
        <v>52</v>
      </c>
      <c r="D1299" t="s">
        <v>39</v>
      </c>
      <c r="E1299" t="s">
        <v>17</v>
      </c>
      <c r="F1299" t="s">
        <v>18</v>
      </c>
      <c r="G1299">
        <v>2</v>
      </c>
      <c r="H1299">
        <v>2731</v>
      </c>
      <c r="I1299">
        <v>0.04</v>
      </c>
      <c r="J1299">
        <v>5243.52</v>
      </c>
      <c r="K1299">
        <f t="shared" si="60"/>
        <v>5462</v>
      </c>
      <c r="L1299">
        <f t="shared" si="61"/>
        <v>218.47999999999956</v>
      </c>
      <c r="M1299">
        <f t="shared" si="62"/>
        <v>5243.52</v>
      </c>
      <c r="N1299" t="s">
        <v>41</v>
      </c>
      <c r="O1299" t="s">
        <v>20</v>
      </c>
      <c r="P1299" t="s">
        <v>21</v>
      </c>
      <c r="Q1299" t="s">
        <v>59</v>
      </c>
    </row>
    <row r="1300" spans="1:17" x14ac:dyDescent="0.3">
      <c r="A1300" t="s">
        <v>1361</v>
      </c>
      <c r="B1300" s="1">
        <v>45704</v>
      </c>
      <c r="C1300" t="s">
        <v>36</v>
      </c>
      <c r="D1300" t="s">
        <v>43</v>
      </c>
      <c r="E1300" t="s">
        <v>49</v>
      </c>
      <c r="F1300" t="s">
        <v>53</v>
      </c>
      <c r="G1300">
        <v>5</v>
      </c>
      <c r="H1300">
        <v>1381.35</v>
      </c>
      <c r="I1300">
        <v>0.19</v>
      </c>
      <c r="J1300">
        <v>5594.47</v>
      </c>
      <c r="K1300">
        <f t="shared" si="60"/>
        <v>6906.75</v>
      </c>
      <c r="L1300">
        <f t="shared" si="61"/>
        <v>1312.2799999999997</v>
      </c>
      <c r="M1300">
        <f t="shared" si="62"/>
        <v>5594.47</v>
      </c>
      <c r="N1300" t="s">
        <v>46</v>
      </c>
      <c r="O1300" t="s">
        <v>34</v>
      </c>
      <c r="P1300" t="s">
        <v>30</v>
      </c>
      <c r="Q1300" t="s">
        <v>59</v>
      </c>
    </row>
    <row r="1301" spans="1:17" x14ac:dyDescent="0.3">
      <c r="A1301" t="s">
        <v>1362</v>
      </c>
      <c r="B1301" s="1">
        <v>45715</v>
      </c>
      <c r="C1301" t="s">
        <v>52</v>
      </c>
      <c r="D1301" t="s">
        <v>16</v>
      </c>
      <c r="E1301" t="s">
        <v>27</v>
      </c>
      <c r="F1301" t="s">
        <v>87</v>
      </c>
      <c r="G1301">
        <v>1</v>
      </c>
      <c r="H1301">
        <v>2397.89</v>
      </c>
      <c r="I1301">
        <v>0.03</v>
      </c>
      <c r="J1301">
        <v>2325.9499999999998</v>
      </c>
      <c r="K1301">
        <f t="shared" si="60"/>
        <v>2397.89</v>
      </c>
      <c r="L1301">
        <f t="shared" si="61"/>
        <v>71.940000000000055</v>
      </c>
      <c r="M1301">
        <f t="shared" si="62"/>
        <v>2325.9499999999998</v>
      </c>
      <c r="N1301" t="s">
        <v>19</v>
      </c>
      <c r="O1301" t="s">
        <v>29</v>
      </c>
      <c r="P1301" t="s">
        <v>54</v>
      </c>
      <c r="Q1301" t="s">
        <v>88</v>
      </c>
    </row>
    <row r="1302" spans="1:17" x14ac:dyDescent="0.3">
      <c r="A1302" t="s">
        <v>1363</v>
      </c>
      <c r="B1302" s="1">
        <v>45797</v>
      </c>
      <c r="C1302" t="s">
        <v>24</v>
      </c>
      <c r="D1302" t="s">
        <v>16</v>
      </c>
      <c r="E1302" t="s">
        <v>61</v>
      </c>
      <c r="F1302" t="s">
        <v>62</v>
      </c>
      <c r="G1302">
        <v>5</v>
      </c>
      <c r="H1302">
        <v>1917.42</v>
      </c>
      <c r="I1302">
        <v>0.18</v>
      </c>
      <c r="J1302">
        <v>7861.42</v>
      </c>
      <c r="K1302">
        <f t="shared" si="60"/>
        <v>9587.1</v>
      </c>
      <c r="L1302">
        <f t="shared" si="61"/>
        <v>1725.6800000000003</v>
      </c>
      <c r="M1302">
        <f t="shared" si="62"/>
        <v>7861.42</v>
      </c>
      <c r="N1302" t="s">
        <v>19</v>
      </c>
      <c r="O1302" t="s">
        <v>34</v>
      </c>
      <c r="P1302" t="s">
        <v>30</v>
      </c>
      <c r="Q1302" t="s">
        <v>22</v>
      </c>
    </row>
    <row r="1303" spans="1:17" x14ac:dyDescent="0.3">
      <c r="A1303" t="s">
        <v>1364</v>
      </c>
      <c r="B1303" s="1">
        <v>45714</v>
      </c>
      <c r="C1303" t="s">
        <v>52</v>
      </c>
      <c r="D1303" t="s">
        <v>43</v>
      </c>
      <c r="E1303" t="s">
        <v>27</v>
      </c>
      <c r="F1303" t="s">
        <v>68</v>
      </c>
      <c r="G1303">
        <v>5</v>
      </c>
      <c r="H1303">
        <v>169.63</v>
      </c>
      <c r="I1303">
        <v>0.04</v>
      </c>
      <c r="J1303">
        <v>814.22</v>
      </c>
      <c r="K1303">
        <f t="shared" si="60"/>
        <v>848.15</v>
      </c>
      <c r="L1303">
        <f t="shared" si="61"/>
        <v>33.92999999999995</v>
      </c>
      <c r="M1303">
        <f t="shared" si="62"/>
        <v>814.22</v>
      </c>
      <c r="N1303" t="s">
        <v>46</v>
      </c>
      <c r="O1303" t="s">
        <v>20</v>
      </c>
      <c r="P1303" t="s">
        <v>30</v>
      </c>
      <c r="Q1303" t="s">
        <v>22</v>
      </c>
    </row>
    <row r="1304" spans="1:17" x14ac:dyDescent="0.3">
      <c r="A1304" t="s">
        <v>1365</v>
      </c>
      <c r="B1304" s="1">
        <v>45796</v>
      </c>
      <c r="C1304" t="s">
        <v>48</v>
      </c>
      <c r="D1304" t="s">
        <v>43</v>
      </c>
      <c r="E1304" t="s">
        <v>61</v>
      </c>
      <c r="F1304" t="s">
        <v>62</v>
      </c>
      <c r="G1304">
        <v>3</v>
      </c>
      <c r="H1304">
        <v>2577.41</v>
      </c>
      <c r="I1304">
        <v>0.06</v>
      </c>
      <c r="J1304">
        <v>7268.3</v>
      </c>
      <c r="K1304">
        <f t="shared" si="60"/>
        <v>7732.23</v>
      </c>
      <c r="L1304">
        <f t="shared" si="61"/>
        <v>463.92999999999938</v>
      </c>
      <c r="M1304">
        <f t="shared" si="62"/>
        <v>7268.3</v>
      </c>
      <c r="N1304" t="s">
        <v>41</v>
      </c>
      <c r="O1304" t="s">
        <v>20</v>
      </c>
      <c r="P1304" t="s">
        <v>21</v>
      </c>
      <c r="Q1304" t="s">
        <v>22</v>
      </c>
    </row>
    <row r="1305" spans="1:17" x14ac:dyDescent="0.3">
      <c r="A1305" t="s">
        <v>1366</v>
      </c>
      <c r="B1305" s="1">
        <v>45826</v>
      </c>
      <c r="C1305" t="s">
        <v>48</v>
      </c>
      <c r="D1305" t="s">
        <v>39</v>
      </c>
      <c r="E1305" t="s">
        <v>49</v>
      </c>
      <c r="F1305" t="s">
        <v>56</v>
      </c>
      <c r="G1305">
        <v>5</v>
      </c>
      <c r="H1305">
        <v>2689.93</v>
      </c>
      <c r="I1305">
        <v>0.14000000000000001</v>
      </c>
      <c r="J1305">
        <v>11566.7</v>
      </c>
      <c r="K1305">
        <f t="shared" si="60"/>
        <v>13449.65</v>
      </c>
      <c r="L1305">
        <f t="shared" si="61"/>
        <v>1882.9499999999989</v>
      </c>
      <c r="M1305">
        <f t="shared" si="62"/>
        <v>11566.7</v>
      </c>
      <c r="N1305" t="s">
        <v>58</v>
      </c>
      <c r="O1305" t="s">
        <v>20</v>
      </c>
      <c r="P1305" t="s">
        <v>54</v>
      </c>
      <c r="Q1305" t="s">
        <v>22</v>
      </c>
    </row>
    <row r="1306" spans="1:17" x14ac:dyDescent="0.3">
      <c r="A1306" t="s">
        <v>1367</v>
      </c>
      <c r="B1306" s="1">
        <v>45748</v>
      </c>
      <c r="C1306" t="s">
        <v>36</v>
      </c>
      <c r="D1306" t="s">
        <v>39</v>
      </c>
      <c r="E1306" t="s">
        <v>17</v>
      </c>
      <c r="F1306" t="s">
        <v>40</v>
      </c>
      <c r="G1306">
        <v>5</v>
      </c>
      <c r="H1306">
        <v>3630.36</v>
      </c>
      <c r="I1306">
        <v>0.18</v>
      </c>
      <c r="J1306">
        <v>14884.48</v>
      </c>
      <c r="K1306">
        <f t="shared" si="60"/>
        <v>18151.8</v>
      </c>
      <c r="L1306">
        <f t="shared" si="61"/>
        <v>3267.3199999999997</v>
      </c>
      <c r="M1306">
        <f t="shared" si="62"/>
        <v>14884.48</v>
      </c>
      <c r="N1306" t="s">
        <v>33</v>
      </c>
      <c r="O1306" t="s">
        <v>20</v>
      </c>
      <c r="P1306" t="s">
        <v>30</v>
      </c>
      <c r="Q1306" t="s">
        <v>22</v>
      </c>
    </row>
    <row r="1307" spans="1:17" x14ac:dyDescent="0.3">
      <c r="A1307" t="s">
        <v>1368</v>
      </c>
      <c r="B1307" s="1">
        <v>45673</v>
      </c>
      <c r="C1307" t="s">
        <v>24</v>
      </c>
      <c r="D1307" t="s">
        <v>16</v>
      </c>
      <c r="E1307" t="s">
        <v>17</v>
      </c>
      <c r="F1307" t="s">
        <v>44</v>
      </c>
      <c r="G1307">
        <v>5</v>
      </c>
      <c r="H1307">
        <v>386.25</v>
      </c>
      <c r="I1307">
        <v>0.1</v>
      </c>
      <c r="J1307">
        <v>1738.12</v>
      </c>
      <c r="K1307">
        <f t="shared" si="60"/>
        <v>1931.25</v>
      </c>
      <c r="L1307">
        <f t="shared" si="61"/>
        <v>193.13000000000011</v>
      </c>
      <c r="M1307">
        <f t="shared" si="62"/>
        <v>1738.12</v>
      </c>
      <c r="N1307" t="s">
        <v>41</v>
      </c>
      <c r="O1307" t="s">
        <v>20</v>
      </c>
      <c r="P1307" t="s">
        <v>21</v>
      </c>
      <c r="Q1307" t="s">
        <v>37</v>
      </c>
    </row>
    <row r="1308" spans="1:17" x14ac:dyDescent="0.3">
      <c r="A1308" t="s">
        <v>1369</v>
      </c>
      <c r="B1308" s="1">
        <v>45793</v>
      </c>
      <c r="C1308" t="s">
        <v>24</v>
      </c>
      <c r="D1308" t="s">
        <v>43</v>
      </c>
      <c r="E1308" t="s">
        <v>17</v>
      </c>
      <c r="F1308" t="s">
        <v>18</v>
      </c>
      <c r="G1308">
        <v>4</v>
      </c>
      <c r="H1308">
        <v>1484.1</v>
      </c>
      <c r="I1308">
        <v>0.15</v>
      </c>
      <c r="J1308">
        <v>5045.9399999999996</v>
      </c>
      <c r="K1308">
        <f t="shared" si="60"/>
        <v>5936.4</v>
      </c>
      <c r="L1308">
        <f t="shared" si="61"/>
        <v>890.46</v>
      </c>
      <c r="M1308">
        <f t="shared" si="62"/>
        <v>5045.9399999999996</v>
      </c>
      <c r="N1308" t="s">
        <v>41</v>
      </c>
      <c r="O1308" t="s">
        <v>29</v>
      </c>
      <c r="P1308" t="s">
        <v>30</v>
      </c>
      <c r="Q1308" t="s">
        <v>22</v>
      </c>
    </row>
    <row r="1309" spans="1:17" x14ac:dyDescent="0.3">
      <c r="A1309" t="s">
        <v>1370</v>
      </c>
      <c r="B1309" s="1">
        <v>45705</v>
      </c>
      <c r="C1309" t="s">
        <v>15</v>
      </c>
      <c r="D1309" t="s">
        <v>43</v>
      </c>
      <c r="E1309" t="s">
        <v>27</v>
      </c>
      <c r="F1309" t="s">
        <v>28</v>
      </c>
      <c r="G1309">
        <v>2</v>
      </c>
      <c r="H1309">
        <v>2325.69</v>
      </c>
      <c r="I1309">
        <v>0.22</v>
      </c>
      <c r="J1309">
        <v>3628.08</v>
      </c>
      <c r="K1309">
        <f t="shared" si="60"/>
        <v>4651.38</v>
      </c>
      <c r="L1309">
        <f t="shared" si="61"/>
        <v>1023.3000000000002</v>
      </c>
      <c r="M1309">
        <f t="shared" si="62"/>
        <v>3628.08</v>
      </c>
      <c r="N1309" t="s">
        <v>41</v>
      </c>
      <c r="O1309" t="s">
        <v>34</v>
      </c>
      <c r="P1309" t="s">
        <v>54</v>
      </c>
      <c r="Q1309" t="s">
        <v>22</v>
      </c>
    </row>
    <row r="1310" spans="1:17" x14ac:dyDescent="0.3">
      <c r="A1310" t="s">
        <v>1371</v>
      </c>
      <c r="B1310" s="1">
        <v>45839</v>
      </c>
      <c r="C1310" t="s">
        <v>15</v>
      </c>
      <c r="D1310" t="s">
        <v>25</v>
      </c>
      <c r="E1310" t="s">
        <v>61</v>
      </c>
      <c r="F1310" t="s">
        <v>92</v>
      </c>
      <c r="G1310">
        <v>1</v>
      </c>
      <c r="H1310">
        <v>2215.5100000000002</v>
      </c>
      <c r="I1310">
        <v>7.0000000000000007E-2</v>
      </c>
      <c r="J1310">
        <v>2060.42</v>
      </c>
      <c r="K1310">
        <f t="shared" si="60"/>
        <v>2215.5100000000002</v>
      </c>
      <c r="L1310">
        <f t="shared" si="61"/>
        <v>155.09000000000015</v>
      </c>
      <c r="M1310">
        <f t="shared" si="62"/>
        <v>2060.42</v>
      </c>
      <c r="N1310" t="s">
        <v>19</v>
      </c>
      <c r="O1310" t="s">
        <v>34</v>
      </c>
      <c r="P1310" t="s">
        <v>54</v>
      </c>
      <c r="Q1310" t="s">
        <v>22</v>
      </c>
    </row>
    <row r="1311" spans="1:17" x14ac:dyDescent="0.3">
      <c r="A1311" t="s">
        <v>1372</v>
      </c>
      <c r="B1311" s="1">
        <v>45711</v>
      </c>
      <c r="C1311" t="s">
        <v>48</v>
      </c>
      <c r="D1311" t="s">
        <v>25</v>
      </c>
      <c r="E1311" t="s">
        <v>27</v>
      </c>
      <c r="F1311" t="s">
        <v>68</v>
      </c>
      <c r="G1311">
        <v>3</v>
      </c>
      <c r="H1311">
        <v>1119.69</v>
      </c>
      <c r="I1311">
        <v>0.1</v>
      </c>
      <c r="J1311">
        <v>3023.16</v>
      </c>
      <c r="K1311">
        <f t="shared" si="60"/>
        <v>3359.07</v>
      </c>
      <c r="L1311">
        <f t="shared" si="61"/>
        <v>335.91000000000031</v>
      </c>
      <c r="M1311">
        <f t="shared" si="62"/>
        <v>3023.16</v>
      </c>
      <c r="N1311" t="s">
        <v>19</v>
      </c>
      <c r="O1311" t="s">
        <v>29</v>
      </c>
      <c r="P1311" t="s">
        <v>30</v>
      </c>
      <c r="Q1311" t="s">
        <v>22</v>
      </c>
    </row>
    <row r="1312" spans="1:17" x14ac:dyDescent="0.3">
      <c r="A1312" t="s">
        <v>1373</v>
      </c>
      <c r="B1312" s="1">
        <v>45812</v>
      </c>
      <c r="C1312" t="s">
        <v>48</v>
      </c>
      <c r="D1312" t="s">
        <v>43</v>
      </c>
      <c r="E1312" t="s">
        <v>49</v>
      </c>
      <c r="F1312" t="s">
        <v>50</v>
      </c>
      <c r="G1312">
        <v>3</v>
      </c>
      <c r="H1312">
        <v>3360.33</v>
      </c>
      <c r="I1312">
        <v>0.03</v>
      </c>
      <c r="J1312">
        <v>9778.56</v>
      </c>
      <c r="K1312">
        <f t="shared" si="60"/>
        <v>10080.99</v>
      </c>
      <c r="L1312">
        <f t="shared" si="61"/>
        <v>302.43000000000029</v>
      </c>
      <c r="M1312">
        <f t="shared" si="62"/>
        <v>9778.56</v>
      </c>
      <c r="N1312" t="s">
        <v>46</v>
      </c>
      <c r="O1312" t="s">
        <v>34</v>
      </c>
      <c r="P1312" t="s">
        <v>21</v>
      </c>
      <c r="Q1312" t="s">
        <v>22</v>
      </c>
    </row>
    <row r="1313" spans="1:17" x14ac:dyDescent="0.3">
      <c r="A1313" t="s">
        <v>1374</v>
      </c>
      <c r="B1313" s="1">
        <v>45813</v>
      </c>
      <c r="C1313" t="s">
        <v>36</v>
      </c>
      <c r="D1313" t="s">
        <v>39</v>
      </c>
      <c r="E1313" t="s">
        <v>61</v>
      </c>
      <c r="F1313" t="s">
        <v>75</v>
      </c>
      <c r="G1313">
        <v>5</v>
      </c>
      <c r="H1313">
        <v>4325.95</v>
      </c>
      <c r="I1313">
        <v>0.2</v>
      </c>
      <c r="J1313">
        <v>17303.8</v>
      </c>
      <c r="K1313">
        <f t="shared" si="60"/>
        <v>21629.75</v>
      </c>
      <c r="L1313">
        <f t="shared" si="61"/>
        <v>4325.9500000000007</v>
      </c>
      <c r="M1313">
        <f t="shared" si="62"/>
        <v>17303.8</v>
      </c>
      <c r="N1313" t="s">
        <v>46</v>
      </c>
      <c r="O1313" t="s">
        <v>34</v>
      </c>
      <c r="P1313" t="s">
        <v>30</v>
      </c>
      <c r="Q1313" t="s">
        <v>22</v>
      </c>
    </row>
    <row r="1314" spans="1:17" x14ac:dyDescent="0.3">
      <c r="A1314" t="s">
        <v>1375</v>
      </c>
      <c r="B1314" s="1">
        <v>45781</v>
      </c>
      <c r="C1314" t="s">
        <v>24</v>
      </c>
      <c r="D1314" t="s">
        <v>25</v>
      </c>
      <c r="E1314" t="s">
        <v>61</v>
      </c>
      <c r="F1314" t="s">
        <v>92</v>
      </c>
      <c r="G1314">
        <v>4</v>
      </c>
      <c r="H1314">
        <v>1571.57</v>
      </c>
      <c r="I1314">
        <v>0.21</v>
      </c>
      <c r="J1314">
        <v>4966.16</v>
      </c>
      <c r="K1314">
        <f t="shared" si="60"/>
        <v>6286.28</v>
      </c>
      <c r="L1314">
        <f t="shared" si="61"/>
        <v>1320.12</v>
      </c>
      <c r="M1314">
        <f t="shared" si="62"/>
        <v>4966.16</v>
      </c>
      <c r="N1314" t="s">
        <v>33</v>
      </c>
      <c r="O1314" t="s">
        <v>29</v>
      </c>
      <c r="P1314" t="s">
        <v>21</v>
      </c>
      <c r="Q1314" t="s">
        <v>22</v>
      </c>
    </row>
    <row r="1315" spans="1:17" x14ac:dyDescent="0.3">
      <c r="A1315" t="s">
        <v>1376</v>
      </c>
      <c r="B1315" s="1">
        <v>45774</v>
      </c>
      <c r="C1315" t="s">
        <v>36</v>
      </c>
      <c r="D1315" t="s">
        <v>16</v>
      </c>
      <c r="E1315" t="s">
        <v>61</v>
      </c>
      <c r="F1315" t="s">
        <v>66</v>
      </c>
      <c r="G1315">
        <v>4</v>
      </c>
      <c r="H1315">
        <v>4691.8999999999996</v>
      </c>
      <c r="I1315">
        <v>0.11</v>
      </c>
      <c r="J1315">
        <v>16703.16</v>
      </c>
      <c r="K1315">
        <f t="shared" si="60"/>
        <v>18767.599999999999</v>
      </c>
      <c r="L1315">
        <f t="shared" si="61"/>
        <v>2064.4399999999987</v>
      </c>
      <c r="M1315">
        <f t="shared" si="62"/>
        <v>16703.16</v>
      </c>
      <c r="N1315" t="s">
        <v>19</v>
      </c>
      <c r="O1315" t="s">
        <v>29</v>
      </c>
      <c r="P1315" t="s">
        <v>30</v>
      </c>
      <c r="Q1315" t="s">
        <v>22</v>
      </c>
    </row>
    <row r="1316" spans="1:17" x14ac:dyDescent="0.3">
      <c r="A1316" t="s">
        <v>1377</v>
      </c>
      <c r="B1316" s="1">
        <v>45788</v>
      </c>
      <c r="C1316" t="s">
        <v>15</v>
      </c>
      <c r="D1316" t="s">
        <v>25</v>
      </c>
      <c r="E1316" t="s">
        <v>49</v>
      </c>
      <c r="F1316" t="s">
        <v>73</v>
      </c>
      <c r="G1316">
        <v>4</v>
      </c>
      <c r="H1316">
        <v>2917.84</v>
      </c>
      <c r="I1316">
        <v>0.2</v>
      </c>
      <c r="J1316">
        <v>9337.09</v>
      </c>
      <c r="K1316">
        <f t="shared" si="60"/>
        <v>11671.36</v>
      </c>
      <c r="L1316">
        <f t="shared" si="61"/>
        <v>2334.2700000000004</v>
      </c>
      <c r="M1316">
        <f t="shared" si="62"/>
        <v>9337.09</v>
      </c>
      <c r="N1316" t="s">
        <v>33</v>
      </c>
      <c r="O1316" t="s">
        <v>20</v>
      </c>
      <c r="P1316" t="s">
        <v>54</v>
      </c>
      <c r="Q1316" t="s">
        <v>22</v>
      </c>
    </row>
    <row r="1317" spans="1:17" x14ac:dyDescent="0.3">
      <c r="A1317" t="s">
        <v>1378</v>
      </c>
      <c r="B1317" s="1">
        <v>45816</v>
      </c>
      <c r="C1317" t="s">
        <v>48</v>
      </c>
      <c r="D1317" t="s">
        <v>16</v>
      </c>
      <c r="E1317" t="s">
        <v>61</v>
      </c>
      <c r="F1317" t="s">
        <v>75</v>
      </c>
      <c r="G1317">
        <v>5</v>
      </c>
      <c r="H1317">
        <v>2699.88</v>
      </c>
      <c r="I1317">
        <v>0.16</v>
      </c>
      <c r="J1317">
        <v>11339.5</v>
      </c>
      <c r="K1317">
        <f t="shared" si="60"/>
        <v>13499.400000000001</v>
      </c>
      <c r="L1317">
        <f t="shared" si="61"/>
        <v>2159.9000000000015</v>
      </c>
      <c r="M1317">
        <f t="shared" si="62"/>
        <v>11339.5</v>
      </c>
      <c r="N1317" t="s">
        <v>46</v>
      </c>
      <c r="O1317" t="s">
        <v>29</v>
      </c>
      <c r="P1317" t="s">
        <v>54</v>
      </c>
      <c r="Q1317" t="s">
        <v>88</v>
      </c>
    </row>
    <row r="1318" spans="1:17" x14ac:dyDescent="0.3">
      <c r="A1318" t="s">
        <v>1379</v>
      </c>
      <c r="B1318" s="1">
        <v>45841</v>
      </c>
      <c r="C1318" t="s">
        <v>24</v>
      </c>
      <c r="D1318" t="s">
        <v>43</v>
      </c>
      <c r="E1318" t="s">
        <v>17</v>
      </c>
      <c r="F1318" t="s">
        <v>18</v>
      </c>
      <c r="G1318">
        <v>1</v>
      </c>
      <c r="H1318">
        <v>1635.14</v>
      </c>
      <c r="I1318">
        <v>0.23</v>
      </c>
      <c r="J1318">
        <v>1259.06</v>
      </c>
      <c r="K1318">
        <f t="shared" si="60"/>
        <v>1635.14</v>
      </c>
      <c r="L1318">
        <f t="shared" si="61"/>
        <v>376.08000000000015</v>
      </c>
      <c r="M1318">
        <f t="shared" si="62"/>
        <v>1259.06</v>
      </c>
      <c r="N1318" t="s">
        <v>58</v>
      </c>
      <c r="O1318" t="s">
        <v>34</v>
      </c>
      <c r="P1318" t="s">
        <v>54</v>
      </c>
      <c r="Q1318" t="s">
        <v>59</v>
      </c>
    </row>
    <row r="1319" spans="1:17" x14ac:dyDescent="0.3">
      <c r="A1319" t="s">
        <v>1380</v>
      </c>
      <c r="B1319" s="1">
        <v>45698</v>
      </c>
      <c r="C1319" t="s">
        <v>15</v>
      </c>
      <c r="D1319" t="s">
        <v>43</v>
      </c>
      <c r="E1319" t="s">
        <v>99</v>
      </c>
      <c r="F1319" t="s">
        <v>120</v>
      </c>
      <c r="G1319">
        <v>5</v>
      </c>
      <c r="H1319">
        <v>4532.12</v>
      </c>
      <c r="I1319">
        <v>0.11</v>
      </c>
      <c r="J1319">
        <v>20167.93</v>
      </c>
      <c r="K1319">
        <f t="shared" si="60"/>
        <v>22660.6</v>
      </c>
      <c r="L1319">
        <f t="shared" si="61"/>
        <v>2492.6699999999983</v>
      </c>
      <c r="M1319">
        <f t="shared" si="62"/>
        <v>20167.93</v>
      </c>
      <c r="N1319" t="s">
        <v>33</v>
      </c>
      <c r="O1319" t="s">
        <v>34</v>
      </c>
      <c r="P1319" t="s">
        <v>30</v>
      </c>
      <c r="Q1319" t="s">
        <v>22</v>
      </c>
    </row>
    <row r="1320" spans="1:17" x14ac:dyDescent="0.3">
      <c r="A1320" t="s">
        <v>1381</v>
      </c>
      <c r="B1320" s="1">
        <v>45742</v>
      </c>
      <c r="C1320" t="s">
        <v>52</v>
      </c>
      <c r="D1320" t="s">
        <v>25</v>
      </c>
      <c r="E1320" t="s">
        <v>17</v>
      </c>
      <c r="F1320" t="s">
        <v>44</v>
      </c>
      <c r="G1320">
        <v>1</v>
      </c>
      <c r="H1320">
        <v>2708.3</v>
      </c>
      <c r="I1320">
        <v>0.15</v>
      </c>
      <c r="J1320">
        <v>2302.06</v>
      </c>
      <c r="K1320">
        <f t="shared" si="60"/>
        <v>2708.3</v>
      </c>
      <c r="L1320">
        <f t="shared" si="61"/>
        <v>406.24000000000024</v>
      </c>
      <c r="M1320">
        <f t="shared" si="62"/>
        <v>2302.06</v>
      </c>
      <c r="N1320" t="s">
        <v>19</v>
      </c>
      <c r="O1320" t="s">
        <v>34</v>
      </c>
      <c r="P1320" t="s">
        <v>54</v>
      </c>
      <c r="Q1320" t="s">
        <v>22</v>
      </c>
    </row>
    <row r="1321" spans="1:17" x14ac:dyDescent="0.3">
      <c r="A1321" t="s">
        <v>1382</v>
      </c>
      <c r="B1321" s="1">
        <v>45682</v>
      </c>
      <c r="C1321" t="s">
        <v>24</v>
      </c>
      <c r="D1321" t="s">
        <v>25</v>
      </c>
      <c r="E1321" t="s">
        <v>99</v>
      </c>
      <c r="F1321" t="s">
        <v>100</v>
      </c>
      <c r="G1321">
        <v>1</v>
      </c>
      <c r="H1321">
        <v>3802.8</v>
      </c>
      <c r="I1321">
        <v>0.03</v>
      </c>
      <c r="J1321">
        <v>3688.72</v>
      </c>
      <c r="K1321">
        <f t="shared" si="60"/>
        <v>3802.8</v>
      </c>
      <c r="L1321">
        <f t="shared" si="61"/>
        <v>114.08000000000038</v>
      </c>
      <c r="M1321">
        <f t="shared" si="62"/>
        <v>3688.72</v>
      </c>
      <c r="N1321" t="s">
        <v>19</v>
      </c>
      <c r="O1321" t="s">
        <v>34</v>
      </c>
      <c r="P1321" t="s">
        <v>30</v>
      </c>
      <c r="Q1321" t="s">
        <v>22</v>
      </c>
    </row>
    <row r="1322" spans="1:17" x14ac:dyDescent="0.3">
      <c r="A1322" t="s">
        <v>1383</v>
      </c>
      <c r="B1322" s="1">
        <v>45765</v>
      </c>
      <c r="C1322" t="s">
        <v>36</v>
      </c>
      <c r="D1322" t="s">
        <v>25</v>
      </c>
      <c r="E1322" t="s">
        <v>61</v>
      </c>
      <c r="F1322" t="s">
        <v>62</v>
      </c>
      <c r="G1322">
        <v>5</v>
      </c>
      <c r="H1322">
        <v>2902.36</v>
      </c>
      <c r="I1322">
        <v>0.11</v>
      </c>
      <c r="J1322">
        <v>12915.5</v>
      </c>
      <c r="K1322">
        <f t="shared" si="60"/>
        <v>14511.800000000001</v>
      </c>
      <c r="L1322">
        <f t="shared" si="61"/>
        <v>1596.3000000000011</v>
      </c>
      <c r="M1322">
        <f t="shared" si="62"/>
        <v>12915.5</v>
      </c>
      <c r="N1322" t="s">
        <v>46</v>
      </c>
      <c r="O1322" t="s">
        <v>34</v>
      </c>
      <c r="P1322" t="s">
        <v>54</v>
      </c>
      <c r="Q1322" t="s">
        <v>37</v>
      </c>
    </row>
    <row r="1323" spans="1:17" x14ac:dyDescent="0.3">
      <c r="A1323" t="s">
        <v>1384</v>
      </c>
      <c r="B1323" s="1">
        <v>45703</v>
      </c>
      <c r="C1323" t="s">
        <v>15</v>
      </c>
      <c r="D1323" t="s">
        <v>25</v>
      </c>
      <c r="E1323" t="s">
        <v>27</v>
      </c>
      <c r="F1323" t="s">
        <v>28</v>
      </c>
      <c r="G1323">
        <v>1</v>
      </c>
      <c r="H1323">
        <v>968.45</v>
      </c>
      <c r="I1323">
        <v>0.16</v>
      </c>
      <c r="J1323">
        <v>813.5</v>
      </c>
      <c r="K1323">
        <f t="shared" si="60"/>
        <v>968.45</v>
      </c>
      <c r="L1323">
        <f t="shared" si="61"/>
        <v>154.95000000000005</v>
      </c>
      <c r="M1323">
        <f t="shared" si="62"/>
        <v>813.5</v>
      </c>
      <c r="N1323" t="s">
        <v>58</v>
      </c>
      <c r="O1323" t="s">
        <v>34</v>
      </c>
      <c r="P1323" t="s">
        <v>21</v>
      </c>
      <c r="Q1323" t="s">
        <v>37</v>
      </c>
    </row>
    <row r="1324" spans="1:17" x14ac:dyDescent="0.3">
      <c r="A1324" t="s">
        <v>1385</v>
      </c>
      <c r="B1324" s="1">
        <v>45785</v>
      </c>
      <c r="C1324" t="s">
        <v>15</v>
      </c>
      <c r="D1324" t="s">
        <v>16</v>
      </c>
      <c r="E1324" t="s">
        <v>17</v>
      </c>
      <c r="F1324" t="s">
        <v>44</v>
      </c>
      <c r="G1324">
        <v>1</v>
      </c>
      <c r="H1324">
        <v>1838.09</v>
      </c>
      <c r="I1324">
        <v>0.25</v>
      </c>
      <c r="J1324">
        <v>1378.57</v>
      </c>
      <c r="K1324">
        <f t="shared" si="60"/>
        <v>1838.09</v>
      </c>
      <c r="L1324">
        <f t="shared" si="61"/>
        <v>459.52</v>
      </c>
      <c r="M1324">
        <f t="shared" si="62"/>
        <v>1378.57</v>
      </c>
      <c r="N1324" t="s">
        <v>46</v>
      </c>
      <c r="O1324" t="s">
        <v>29</v>
      </c>
      <c r="P1324" t="s">
        <v>30</v>
      </c>
      <c r="Q1324" t="s">
        <v>22</v>
      </c>
    </row>
    <row r="1325" spans="1:17" x14ac:dyDescent="0.3">
      <c r="A1325" t="s">
        <v>1386</v>
      </c>
      <c r="B1325" s="1">
        <v>45688</v>
      </c>
      <c r="C1325" t="s">
        <v>52</v>
      </c>
      <c r="D1325" t="s">
        <v>25</v>
      </c>
      <c r="E1325" t="s">
        <v>27</v>
      </c>
      <c r="F1325" t="s">
        <v>87</v>
      </c>
      <c r="G1325">
        <v>2</v>
      </c>
      <c r="H1325">
        <v>2615.77</v>
      </c>
      <c r="I1325">
        <v>0.25</v>
      </c>
      <c r="J1325">
        <v>3923.65</v>
      </c>
      <c r="K1325">
        <f t="shared" si="60"/>
        <v>5231.54</v>
      </c>
      <c r="L1325">
        <f t="shared" si="61"/>
        <v>1307.8899999999999</v>
      </c>
      <c r="M1325">
        <f t="shared" si="62"/>
        <v>3923.65</v>
      </c>
      <c r="N1325" t="s">
        <v>46</v>
      </c>
      <c r="O1325" t="s">
        <v>34</v>
      </c>
      <c r="P1325" t="s">
        <v>54</v>
      </c>
      <c r="Q1325" t="s">
        <v>22</v>
      </c>
    </row>
    <row r="1326" spans="1:17" x14ac:dyDescent="0.3">
      <c r="A1326" t="s">
        <v>1387</v>
      </c>
      <c r="B1326" s="1">
        <v>45836</v>
      </c>
      <c r="C1326" t="s">
        <v>52</v>
      </c>
      <c r="D1326" t="s">
        <v>25</v>
      </c>
      <c r="E1326" t="s">
        <v>61</v>
      </c>
      <c r="F1326" t="s">
        <v>62</v>
      </c>
      <c r="G1326">
        <v>4</v>
      </c>
      <c r="H1326">
        <v>4981.1499999999996</v>
      </c>
      <c r="I1326">
        <v>0.08</v>
      </c>
      <c r="J1326">
        <v>18330.63</v>
      </c>
      <c r="K1326">
        <f t="shared" si="60"/>
        <v>19924.599999999999</v>
      </c>
      <c r="L1326">
        <f t="shared" si="61"/>
        <v>1593.9699999999975</v>
      </c>
      <c r="M1326">
        <f t="shared" si="62"/>
        <v>18330.63</v>
      </c>
      <c r="N1326" t="s">
        <v>46</v>
      </c>
      <c r="O1326" t="s">
        <v>34</v>
      </c>
      <c r="P1326" t="s">
        <v>30</v>
      </c>
      <c r="Q1326" t="s">
        <v>22</v>
      </c>
    </row>
    <row r="1327" spans="1:17" x14ac:dyDescent="0.3">
      <c r="A1327" t="s">
        <v>1388</v>
      </c>
      <c r="B1327" s="1">
        <v>45711</v>
      </c>
      <c r="C1327" t="s">
        <v>52</v>
      </c>
      <c r="D1327" t="s">
        <v>25</v>
      </c>
      <c r="E1327" t="s">
        <v>99</v>
      </c>
      <c r="F1327" t="s">
        <v>120</v>
      </c>
      <c r="G1327">
        <v>5</v>
      </c>
      <c r="H1327">
        <v>194.14</v>
      </c>
      <c r="I1327">
        <v>0.1</v>
      </c>
      <c r="J1327">
        <v>873.63</v>
      </c>
      <c r="K1327">
        <f t="shared" si="60"/>
        <v>970.69999999999993</v>
      </c>
      <c r="L1327">
        <f t="shared" si="61"/>
        <v>97.069999999999936</v>
      </c>
      <c r="M1327">
        <f t="shared" si="62"/>
        <v>873.63</v>
      </c>
      <c r="N1327" t="s">
        <v>33</v>
      </c>
      <c r="O1327" t="s">
        <v>20</v>
      </c>
      <c r="P1327" t="s">
        <v>30</v>
      </c>
      <c r="Q1327" t="s">
        <v>22</v>
      </c>
    </row>
    <row r="1328" spans="1:17" x14ac:dyDescent="0.3">
      <c r="A1328" t="s">
        <v>1389</v>
      </c>
      <c r="B1328" s="1">
        <v>45820</v>
      </c>
      <c r="C1328" t="s">
        <v>15</v>
      </c>
      <c r="D1328" t="s">
        <v>39</v>
      </c>
      <c r="E1328" t="s">
        <v>99</v>
      </c>
      <c r="F1328" t="s">
        <v>115</v>
      </c>
      <c r="G1328">
        <v>4</v>
      </c>
      <c r="H1328">
        <v>2095.2600000000002</v>
      </c>
      <c r="I1328">
        <v>0.09</v>
      </c>
      <c r="J1328">
        <v>7626.75</v>
      </c>
      <c r="K1328">
        <f t="shared" si="60"/>
        <v>8381.0400000000009</v>
      </c>
      <c r="L1328">
        <f t="shared" si="61"/>
        <v>754.29000000000087</v>
      </c>
      <c r="M1328">
        <f t="shared" si="62"/>
        <v>7626.75</v>
      </c>
      <c r="N1328" t="s">
        <v>46</v>
      </c>
      <c r="O1328" t="s">
        <v>29</v>
      </c>
      <c r="P1328" t="s">
        <v>30</v>
      </c>
      <c r="Q1328" t="s">
        <v>22</v>
      </c>
    </row>
    <row r="1329" spans="1:17" x14ac:dyDescent="0.3">
      <c r="A1329" t="s">
        <v>1390</v>
      </c>
      <c r="B1329" s="1">
        <v>45687</v>
      </c>
      <c r="C1329" t="s">
        <v>15</v>
      </c>
      <c r="D1329" t="s">
        <v>16</v>
      </c>
      <c r="E1329" t="s">
        <v>49</v>
      </c>
      <c r="F1329" t="s">
        <v>53</v>
      </c>
      <c r="G1329">
        <v>1</v>
      </c>
      <c r="H1329">
        <v>4046.83</v>
      </c>
      <c r="I1329">
        <v>0.23</v>
      </c>
      <c r="J1329">
        <v>3116.06</v>
      </c>
      <c r="K1329">
        <f t="shared" si="60"/>
        <v>4046.83</v>
      </c>
      <c r="L1329">
        <f t="shared" si="61"/>
        <v>930.77</v>
      </c>
      <c r="M1329">
        <f t="shared" si="62"/>
        <v>3116.06</v>
      </c>
      <c r="N1329" t="s">
        <v>58</v>
      </c>
      <c r="O1329" t="s">
        <v>34</v>
      </c>
      <c r="P1329" t="s">
        <v>21</v>
      </c>
      <c r="Q1329" t="s">
        <v>22</v>
      </c>
    </row>
    <row r="1330" spans="1:17" x14ac:dyDescent="0.3">
      <c r="A1330" t="s">
        <v>1391</v>
      </c>
      <c r="B1330" s="1">
        <v>45673</v>
      </c>
      <c r="C1330" t="s">
        <v>52</v>
      </c>
      <c r="D1330" t="s">
        <v>16</v>
      </c>
      <c r="E1330" t="s">
        <v>61</v>
      </c>
      <c r="F1330" t="s">
        <v>62</v>
      </c>
      <c r="G1330">
        <v>3</v>
      </c>
      <c r="H1330">
        <v>418.3</v>
      </c>
      <c r="I1330">
        <v>0.14000000000000001</v>
      </c>
      <c r="J1330">
        <v>1079.21</v>
      </c>
      <c r="K1330">
        <f t="shared" si="60"/>
        <v>1254.9000000000001</v>
      </c>
      <c r="L1330">
        <f t="shared" si="61"/>
        <v>175.69000000000005</v>
      </c>
      <c r="M1330">
        <f t="shared" si="62"/>
        <v>1079.21</v>
      </c>
      <c r="N1330" t="s">
        <v>58</v>
      </c>
      <c r="O1330" t="s">
        <v>20</v>
      </c>
      <c r="P1330" t="s">
        <v>54</v>
      </c>
      <c r="Q1330" t="s">
        <v>37</v>
      </c>
    </row>
    <row r="1331" spans="1:17" x14ac:dyDescent="0.3">
      <c r="A1331" t="s">
        <v>1392</v>
      </c>
      <c r="B1331" s="1">
        <v>45671</v>
      </c>
      <c r="C1331" t="s">
        <v>15</v>
      </c>
      <c r="D1331" t="s">
        <v>39</v>
      </c>
      <c r="E1331" t="s">
        <v>17</v>
      </c>
      <c r="F1331" t="s">
        <v>18</v>
      </c>
      <c r="G1331">
        <v>2</v>
      </c>
      <c r="H1331">
        <v>2955.5</v>
      </c>
      <c r="I1331">
        <v>0.24</v>
      </c>
      <c r="J1331">
        <v>4492.3599999999997</v>
      </c>
      <c r="K1331">
        <f t="shared" si="60"/>
        <v>5911</v>
      </c>
      <c r="L1331">
        <f t="shared" si="61"/>
        <v>1418.6400000000003</v>
      </c>
      <c r="M1331">
        <f t="shared" si="62"/>
        <v>4492.3599999999997</v>
      </c>
      <c r="N1331" t="s">
        <v>33</v>
      </c>
      <c r="O1331" t="s">
        <v>20</v>
      </c>
      <c r="P1331" t="s">
        <v>30</v>
      </c>
      <c r="Q1331" t="s">
        <v>88</v>
      </c>
    </row>
    <row r="1332" spans="1:17" x14ac:dyDescent="0.3">
      <c r="A1332" t="s">
        <v>1393</v>
      </c>
      <c r="B1332" s="1">
        <v>45692</v>
      </c>
      <c r="C1332" t="s">
        <v>24</v>
      </c>
      <c r="D1332" t="s">
        <v>16</v>
      </c>
      <c r="E1332" t="s">
        <v>17</v>
      </c>
      <c r="F1332" t="s">
        <v>18</v>
      </c>
      <c r="G1332">
        <v>1</v>
      </c>
      <c r="H1332">
        <v>1009.32</v>
      </c>
      <c r="I1332">
        <v>0.18</v>
      </c>
      <c r="J1332">
        <v>827.64</v>
      </c>
      <c r="K1332">
        <f t="shared" si="60"/>
        <v>1009.32</v>
      </c>
      <c r="L1332">
        <f t="shared" si="61"/>
        <v>181.68000000000006</v>
      </c>
      <c r="M1332">
        <f t="shared" si="62"/>
        <v>827.64</v>
      </c>
      <c r="N1332" t="s">
        <v>19</v>
      </c>
      <c r="O1332" t="s">
        <v>20</v>
      </c>
      <c r="P1332" t="s">
        <v>54</v>
      </c>
      <c r="Q1332" t="s">
        <v>22</v>
      </c>
    </row>
    <row r="1333" spans="1:17" x14ac:dyDescent="0.3">
      <c r="A1333" t="s">
        <v>1394</v>
      </c>
      <c r="B1333" s="1">
        <v>45813</v>
      </c>
      <c r="C1333" t="s">
        <v>24</v>
      </c>
      <c r="D1333" t="s">
        <v>25</v>
      </c>
      <c r="E1333" t="s">
        <v>61</v>
      </c>
      <c r="F1333" t="s">
        <v>75</v>
      </c>
      <c r="G1333">
        <v>3</v>
      </c>
      <c r="H1333">
        <v>3164.71</v>
      </c>
      <c r="I1333">
        <v>0.05</v>
      </c>
      <c r="J1333">
        <v>9019.42</v>
      </c>
      <c r="K1333">
        <f t="shared" si="60"/>
        <v>9494.130000000001</v>
      </c>
      <c r="L1333">
        <f t="shared" si="61"/>
        <v>474.71000000000095</v>
      </c>
      <c r="M1333">
        <f t="shared" si="62"/>
        <v>9019.42</v>
      </c>
      <c r="N1333" t="s">
        <v>58</v>
      </c>
      <c r="O1333" t="s">
        <v>34</v>
      </c>
      <c r="P1333" t="s">
        <v>54</v>
      </c>
      <c r="Q1333" t="s">
        <v>22</v>
      </c>
    </row>
    <row r="1334" spans="1:17" x14ac:dyDescent="0.3">
      <c r="A1334" t="s">
        <v>1395</v>
      </c>
      <c r="B1334" s="1">
        <v>45719</v>
      </c>
      <c r="C1334" t="s">
        <v>15</v>
      </c>
      <c r="D1334" t="s">
        <v>43</v>
      </c>
      <c r="E1334" t="s">
        <v>61</v>
      </c>
      <c r="F1334" t="s">
        <v>92</v>
      </c>
      <c r="G1334">
        <v>4</v>
      </c>
      <c r="H1334">
        <v>1006.15</v>
      </c>
      <c r="I1334">
        <v>0</v>
      </c>
      <c r="J1334">
        <v>4024.6</v>
      </c>
      <c r="K1334">
        <f t="shared" si="60"/>
        <v>4024.6</v>
      </c>
      <c r="L1334">
        <f t="shared" si="61"/>
        <v>0</v>
      </c>
      <c r="M1334">
        <f t="shared" si="62"/>
        <v>4024.6</v>
      </c>
      <c r="N1334" t="s">
        <v>33</v>
      </c>
      <c r="O1334" t="s">
        <v>20</v>
      </c>
      <c r="P1334" t="s">
        <v>54</v>
      </c>
      <c r="Q1334" t="s">
        <v>22</v>
      </c>
    </row>
    <row r="1335" spans="1:17" x14ac:dyDescent="0.3">
      <c r="A1335" t="s">
        <v>1396</v>
      </c>
      <c r="B1335" s="1">
        <v>45775</v>
      </c>
      <c r="C1335" t="s">
        <v>24</v>
      </c>
      <c r="D1335" t="s">
        <v>43</v>
      </c>
      <c r="E1335" t="s">
        <v>27</v>
      </c>
      <c r="F1335" t="s">
        <v>68</v>
      </c>
      <c r="G1335">
        <v>2</v>
      </c>
      <c r="H1335">
        <v>4258.22</v>
      </c>
      <c r="I1335">
        <v>0.19</v>
      </c>
      <c r="J1335">
        <v>6898.32</v>
      </c>
      <c r="K1335">
        <f t="shared" si="60"/>
        <v>8516.44</v>
      </c>
      <c r="L1335">
        <f t="shared" si="61"/>
        <v>1618.1200000000008</v>
      </c>
      <c r="M1335">
        <f t="shared" si="62"/>
        <v>6898.32</v>
      </c>
      <c r="N1335" t="s">
        <v>58</v>
      </c>
      <c r="O1335" t="s">
        <v>20</v>
      </c>
      <c r="P1335" t="s">
        <v>54</v>
      </c>
      <c r="Q1335" t="s">
        <v>22</v>
      </c>
    </row>
    <row r="1336" spans="1:17" x14ac:dyDescent="0.3">
      <c r="A1336" t="s">
        <v>1397</v>
      </c>
      <c r="B1336" s="1">
        <v>45805</v>
      </c>
      <c r="C1336" t="s">
        <v>36</v>
      </c>
      <c r="D1336" t="s">
        <v>43</v>
      </c>
      <c r="E1336" t="s">
        <v>27</v>
      </c>
      <c r="F1336" t="s">
        <v>28</v>
      </c>
      <c r="G1336">
        <v>3</v>
      </c>
      <c r="H1336">
        <v>1169.47</v>
      </c>
      <c r="I1336">
        <v>0.06</v>
      </c>
      <c r="J1336">
        <v>3297.91</v>
      </c>
      <c r="K1336">
        <f t="shared" si="60"/>
        <v>3508.41</v>
      </c>
      <c r="L1336">
        <f t="shared" si="61"/>
        <v>210.5</v>
      </c>
      <c r="M1336">
        <f t="shared" si="62"/>
        <v>3297.91</v>
      </c>
      <c r="N1336" t="s">
        <v>41</v>
      </c>
      <c r="O1336" t="s">
        <v>29</v>
      </c>
      <c r="P1336" t="s">
        <v>30</v>
      </c>
      <c r="Q1336" t="s">
        <v>22</v>
      </c>
    </row>
    <row r="1337" spans="1:17" x14ac:dyDescent="0.3">
      <c r="A1337" t="s">
        <v>1398</v>
      </c>
      <c r="B1337" s="1">
        <v>45820</v>
      </c>
      <c r="C1337" t="s">
        <v>52</v>
      </c>
      <c r="D1337" t="s">
        <v>25</v>
      </c>
      <c r="E1337" t="s">
        <v>99</v>
      </c>
      <c r="F1337" t="s">
        <v>111</v>
      </c>
      <c r="G1337">
        <v>1</v>
      </c>
      <c r="H1337">
        <v>2520.2199999999998</v>
      </c>
      <c r="I1337">
        <v>0.23</v>
      </c>
      <c r="J1337">
        <v>1940.57</v>
      </c>
      <c r="K1337">
        <f t="shared" si="60"/>
        <v>2520.2199999999998</v>
      </c>
      <c r="L1337">
        <f t="shared" si="61"/>
        <v>579.64999999999986</v>
      </c>
      <c r="M1337">
        <f t="shared" si="62"/>
        <v>1940.57</v>
      </c>
      <c r="N1337" t="s">
        <v>58</v>
      </c>
      <c r="O1337" t="s">
        <v>20</v>
      </c>
      <c r="P1337" t="s">
        <v>54</v>
      </c>
      <c r="Q1337" t="s">
        <v>22</v>
      </c>
    </row>
    <row r="1338" spans="1:17" x14ac:dyDescent="0.3">
      <c r="A1338" t="s">
        <v>1399</v>
      </c>
      <c r="B1338" s="1">
        <v>45770</v>
      </c>
      <c r="C1338" t="s">
        <v>24</v>
      </c>
      <c r="D1338" t="s">
        <v>39</v>
      </c>
      <c r="E1338" t="s">
        <v>49</v>
      </c>
      <c r="F1338" t="s">
        <v>56</v>
      </c>
      <c r="G1338">
        <v>3</v>
      </c>
      <c r="H1338">
        <v>3520.57</v>
      </c>
      <c r="I1338">
        <v>0.15</v>
      </c>
      <c r="J1338">
        <v>8977.4500000000007</v>
      </c>
      <c r="K1338">
        <f t="shared" si="60"/>
        <v>10561.710000000001</v>
      </c>
      <c r="L1338">
        <f t="shared" si="61"/>
        <v>1584.2600000000002</v>
      </c>
      <c r="M1338">
        <f t="shared" si="62"/>
        <v>8977.4500000000007</v>
      </c>
      <c r="N1338" t="s">
        <v>46</v>
      </c>
      <c r="O1338" t="s">
        <v>29</v>
      </c>
      <c r="P1338" t="s">
        <v>54</v>
      </c>
      <c r="Q1338" t="s">
        <v>22</v>
      </c>
    </row>
    <row r="1339" spans="1:17" x14ac:dyDescent="0.3">
      <c r="A1339" t="s">
        <v>1400</v>
      </c>
      <c r="B1339" s="1">
        <v>45838</v>
      </c>
      <c r="C1339" t="s">
        <v>15</v>
      </c>
      <c r="D1339" t="s">
        <v>43</v>
      </c>
      <c r="E1339" t="s">
        <v>99</v>
      </c>
      <c r="F1339" t="s">
        <v>115</v>
      </c>
      <c r="G1339">
        <v>4</v>
      </c>
      <c r="H1339">
        <v>1571.21</v>
      </c>
      <c r="I1339">
        <v>0.12</v>
      </c>
      <c r="J1339">
        <v>5530.66</v>
      </c>
      <c r="K1339">
        <f t="shared" si="60"/>
        <v>6284.84</v>
      </c>
      <c r="L1339">
        <f t="shared" si="61"/>
        <v>754.18000000000029</v>
      </c>
      <c r="M1339">
        <f t="shared" si="62"/>
        <v>5530.66</v>
      </c>
      <c r="N1339" t="s">
        <v>41</v>
      </c>
      <c r="O1339" t="s">
        <v>34</v>
      </c>
      <c r="P1339" t="s">
        <v>21</v>
      </c>
      <c r="Q1339" t="s">
        <v>22</v>
      </c>
    </row>
    <row r="1340" spans="1:17" x14ac:dyDescent="0.3">
      <c r="A1340" t="s">
        <v>1401</v>
      </c>
      <c r="B1340" s="1">
        <v>45716</v>
      </c>
      <c r="C1340" t="s">
        <v>15</v>
      </c>
      <c r="D1340" t="s">
        <v>25</v>
      </c>
      <c r="E1340" t="s">
        <v>61</v>
      </c>
      <c r="F1340" t="s">
        <v>62</v>
      </c>
      <c r="G1340">
        <v>4</v>
      </c>
      <c r="H1340">
        <v>1689.4</v>
      </c>
      <c r="I1340">
        <v>0.2</v>
      </c>
      <c r="J1340">
        <v>5406.08</v>
      </c>
      <c r="K1340">
        <f t="shared" si="60"/>
        <v>6757.6</v>
      </c>
      <c r="L1340">
        <f t="shared" si="61"/>
        <v>1351.5200000000004</v>
      </c>
      <c r="M1340">
        <f t="shared" si="62"/>
        <v>5406.08</v>
      </c>
      <c r="N1340" t="s">
        <v>41</v>
      </c>
      <c r="O1340" t="s">
        <v>34</v>
      </c>
      <c r="P1340" t="s">
        <v>30</v>
      </c>
      <c r="Q1340" t="s">
        <v>37</v>
      </c>
    </row>
    <row r="1341" spans="1:17" x14ac:dyDescent="0.3">
      <c r="A1341" t="s">
        <v>1402</v>
      </c>
      <c r="B1341" s="1">
        <v>45745</v>
      </c>
      <c r="C1341" t="s">
        <v>52</v>
      </c>
      <c r="D1341" t="s">
        <v>39</v>
      </c>
      <c r="E1341" t="s">
        <v>49</v>
      </c>
      <c r="F1341" t="s">
        <v>50</v>
      </c>
      <c r="G1341">
        <v>4</v>
      </c>
      <c r="H1341">
        <v>2156.0300000000002</v>
      </c>
      <c r="I1341">
        <v>0.01</v>
      </c>
      <c r="J1341">
        <v>8537.8799999999992</v>
      </c>
      <c r="K1341">
        <f t="shared" si="60"/>
        <v>8624.1200000000008</v>
      </c>
      <c r="L1341">
        <f t="shared" si="61"/>
        <v>86.240000000001601</v>
      </c>
      <c r="M1341">
        <f t="shared" si="62"/>
        <v>8537.8799999999992</v>
      </c>
      <c r="N1341" t="s">
        <v>19</v>
      </c>
      <c r="O1341" t="s">
        <v>29</v>
      </c>
      <c r="P1341" t="s">
        <v>54</v>
      </c>
      <c r="Q1341" t="s">
        <v>22</v>
      </c>
    </row>
    <row r="1342" spans="1:17" x14ac:dyDescent="0.3">
      <c r="A1342" t="s">
        <v>1403</v>
      </c>
      <c r="B1342" s="1">
        <v>45684</v>
      </c>
      <c r="C1342" t="s">
        <v>15</v>
      </c>
      <c r="D1342" t="s">
        <v>16</v>
      </c>
      <c r="E1342" t="s">
        <v>61</v>
      </c>
      <c r="F1342" t="s">
        <v>92</v>
      </c>
      <c r="G1342">
        <v>2</v>
      </c>
      <c r="H1342">
        <v>840.09</v>
      </c>
      <c r="I1342">
        <v>0.24</v>
      </c>
      <c r="J1342">
        <v>1276.94</v>
      </c>
      <c r="K1342">
        <f t="shared" si="60"/>
        <v>1680.18</v>
      </c>
      <c r="L1342">
        <f t="shared" si="61"/>
        <v>403.24</v>
      </c>
      <c r="M1342">
        <f t="shared" si="62"/>
        <v>1276.94</v>
      </c>
      <c r="N1342" t="s">
        <v>58</v>
      </c>
      <c r="O1342" t="s">
        <v>34</v>
      </c>
      <c r="P1342" t="s">
        <v>54</v>
      </c>
      <c r="Q1342" t="s">
        <v>22</v>
      </c>
    </row>
    <row r="1343" spans="1:17" x14ac:dyDescent="0.3">
      <c r="A1343" t="s">
        <v>1404</v>
      </c>
      <c r="B1343" s="1">
        <v>45751</v>
      </c>
      <c r="C1343" t="s">
        <v>15</v>
      </c>
      <c r="D1343" t="s">
        <v>39</v>
      </c>
      <c r="E1343" t="s">
        <v>49</v>
      </c>
      <c r="F1343" t="s">
        <v>73</v>
      </c>
      <c r="G1343">
        <v>1</v>
      </c>
      <c r="H1343">
        <v>2536.88</v>
      </c>
      <c r="I1343">
        <v>0.04</v>
      </c>
      <c r="J1343">
        <v>2435.4</v>
      </c>
      <c r="K1343">
        <f t="shared" si="60"/>
        <v>2536.88</v>
      </c>
      <c r="L1343">
        <f t="shared" si="61"/>
        <v>101.48000000000002</v>
      </c>
      <c r="M1343">
        <f t="shared" si="62"/>
        <v>2435.4</v>
      </c>
      <c r="N1343" t="s">
        <v>46</v>
      </c>
      <c r="O1343" t="s">
        <v>20</v>
      </c>
      <c r="P1343" t="s">
        <v>21</v>
      </c>
      <c r="Q1343" t="s">
        <v>22</v>
      </c>
    </row>
    <row r="1344" spans="1:17" x14ac:dyDescent="0.3">
      <c r="A1344" t="s">
        <v>1405</v>
      </c>
      <c r="B1344" s="1">
        <v>45793</v>
      </c>
      <c r="C1344" t="s">
        <v>48</v>
      </c>
      <c r="D1344" t="s">
        <v>16</v>
      </c>
      <c r="E1344" t="s">
        <v>49</v>
      </c>
      <c r="F1344" t="s">
        <v>50</v>
      </c>
      <c r="G1344">
        <v>4</v>
      </c>
      <c r="H1344">
        <v>4848.59</v>
      </c>
      <c r="I1344">
        <v>0.01</v>
      </c>
      <c r="J1344">
        <v>19200.419999999998</v>
      </c>
      <c r="K1344">
        <f t="shared" si="60"/>
        <v>19394.36</v>
      </c>
      <c r="L1344">
        <f t="shared" si="61"/>
        <v>193.94000000000233</v>
      </c>
      <c r="M1344">
        <f t="shared" si="62"/>
        <v>19200.419999999998</v>
      </c>
      <c r="N1344" t="s">
        <v>41</v>
      </c>
      <c r="O1344" t="s">
        <v>20</v>
      </c>
      <c r="P1344" t="s">
        <v>54</v>
      </c>
      <c r="Q1344" t="s">
        <v>59</v>
      </c>
    </row>
    <row r="1345" spans="1:17" x14ac:dyDescent="0.3">
      <c r="A1345" t="s">
        <v>1406</v>
      </c>
      <c r="B1345" s="1">
        <v>45719</v>
      </c>
      <c r="C1345" t="s">
        <v>52</v>
      </c>
      <c r="D1345" t="s">
        <v>39</v>
      </c>
      <c r="E1345" t="s">
        <v>49</v>
      </c>
      <c r="F1345" t="s">
        <v>53</v>
      </c>
      <c r="G1345">
        <v>4</v>
      </c>
      <c r="H1345">
        <v>4037.75</v>
      </c>
      <c r="I1345">
        <v>0.1</v>
      </c>
      <c r="J1345">
        <v>14535.9</v>
      </c>
      <c r="K1345">
        <f t="shared" si="60"/>
        <v>16151</v>
      </c>
      <c r="L1345">
        <f t="shared" si="61"/>
        <v>1615.1000000000004</v>
      </c>
      <c r="M1345">
        <f t="shared" si="62"/>
        <v>14535.9</v>
      </c>
      <c r="N1345" t="s">
        <v>19</v>
      </c>
      <c r="O1345" t="s">
        <v>29</v>
      </c>
      <c r="P1345" t="s">
        <v>54</v>
      </c>
      <c r="Q1345" t="s">
        <v>22</v>
      </c>
    </row>
    <row r="1346" spans="1:17" x14ac:dyDescent="0.3">
      <c r="A1346" t="s">
        <v>1407</v>
      </c>
      <c r="B1346" s="1">
        <v>45795</v>
      </c>
      <c r="C1346" t="s">
        <v>36</v>
      </c>
      <c r="D1346" t="s">
        <v>39</v>
      </c>
      <c r="E1346" t="s">
        <v>99</v>
      </c>
      <c r="F1346" t="s">
        <v>111</v>
      </c>
      <c r="G1346">
        <v>1</v>
      </c>
      <c r="H1346">
        <v>3035.67</v>
      </c>
      <c r="I1346">
        <v>0.13</v>
      </c>
      <c r="J1346">
        <v>2641.03</v>
      </c>
      <c r="K1346">
        <f t="shared" si="60"/>
        <v>3035.67</v>
      </c>
      <c r="L1346">
        <f t="shared" si="61"/>
        <v>394.63999999999987</v>
      </c>
      <c r="M1346">
        <f t="shared" si="62"/>
        <v>2641.03</v>
      </c>
      <c r="N1346" t="s">
        <v>41</v>
      </c>
      <c r="O1346" t="s">
        <v>29</v>
      </c>
      <c r="P1346" t="s">
        <v>30</v>
      </c>
      <c r="Q1346" t="s">
        <v>88</v>
      </c>
    </row>
    <row r="1347" spans="1:17" x14ac:dyDescent="0.3">
      <c r="A1347" t="s">
        <v>1408</v>
      </c>
      <c r="B1347" s="1">
        <v>45738</v>
      </c>
      <c r="C1347" t="s">
        <v>36</v>
      </c>
      <c r="D1347" t="s">
        <v>39</v>
      </c>
      <c r="E1347" t="s">
        <v>61</v>
      </c>
      <c r="F1347" t="s">
        <v>66</v>
      </c>
      <c r="G1347">
        <v>1</v>
      </c>
      <c r="H1347">
        <v>2290.6799999999998</v>
      </c>
      <c r="I1347">
        <v>0.1</v>
      </c>
      <c r="J1347">
        <v>2061.61</v>
      </c>
      <c r="K1347">
        <f t="shared" ref="K1347:K1410" si="63">G1347*H1347</f>
        <v>2290.6799999999998</v>
      </c>
      <c r="L1347">
        <f t="shared" ref="L1347:L1410" si="64">K1347-J1347</f>
        <v>229.06999999999971</v>
      </c>
      <c r="M1347">
        <f t="shared" ref="M1347:M1410" si="65">K1347-L1347</f>
        <v>2061.61</v>
      </c>
      <c r="N1347" t="s">
        <v>41</v>
      </c>
      <c r="O1347" t="s">
        <v>20</v>
      </c>
      <c r="P1347" t="s">
        <v>54</v>
      </c>
      <c r="Q1347" t="s">
        <v>22</v>
      </c>
    </row>
    <row r="1348" spans="1:17" x14ac:dyDescent="0.3">
      <c r="A1348" t="s">
        <v>1409</v>
      </c>
      <c r="B1348" s="1">
        <v>45712</v>
      </c>
      <c r="C1348" t="s">
        <v>15</v>
      </c>
      <c r="D1348" t="s">
        <v>39</v>
      </c>
      <c r="E1348" t="s">
        <v>99</v>
      </c>
      <c r="F1348" t="s">
        <v>115</v>
      </c>
      <c r="G1348">
        <v>5</v>
      </c>
      <c r="H1348">
        <v>3989.71</v>
      </c>
      <c r="I1348">
        <v>0.17</v>
      </c>
      <c r="J1348">
        <v>16557.3</v>
      </c>
      <c r="K1348">
        <f t="shared" si="63"/>
        <v>19948.55</v>
      </c>
      <c r="L1348">
        <f t="shared" si="64"/>
        <v>3391.25</v>
      </c>
      <c r="M1348">
        <f t="shared" si="65"/>
        <v>16557.3</v>
      </c>
      <c r="N1348" t="s">
        <v>33</v>
      </c>
      <c r="O1348" t="s">
        <v>34</v>
      </c>
      <c r="P1348" t="s">
        <v>54</v>
      </c>
      <c r="Q1348" t="s">
        <v>88</v>
      </c>
    </row>
    <row r="1349" spans="1:17" x14ac:dyDescent="0.3">
      <c r="A1349" t="s">
        <v>1410</v>
      </c>
      <c r="B1349" s="1">
        <v>45757</v>
      </c>
      <c r="C1349" t="s">
        <v>36</v>
      </c>
      <c r="D1349" t="s">
        <v>39</v>
      </c>
      <c r="E1349" t="s">
        <v>27</v>
      </c>
      <c r="F1349" t="s">
        <v>68</v>
      </c>
      <c r="G1349">
        <v>2</v>
      </c>
      <c r="H1349">
        <v>2494.08</v>
      </c>
      <c r="I1349">
        <v>0.12</v>
      </c>
      <c r="J1349">
        <v>4389.58</v>
      </c>
      <c r="K1349">
        <f t="shared" si="63"/>
        <v>4988.16</v>
      </c>
      <c r="L1349">
        <f t="shared" si="64"/>
        <v>598.57999999999993</v>
      </c>
      <c r="M1349">
        <f t="shared" si="65"/>
        <v>4389.58</v>
      </c>
      <c r="N1349" t="s">
        <v>33</v>
      </c>
      <c r="O1349" t="s">
        <v>20</v>
      </c>
      <c r="P1349" t="s">
        <v>54</v>
      </c>
      <c r="Q1349" t="s">
        <v>22</v>
      </c>
    </row>
    <row r="1350" spans="1:17" x14ac:dyDescent="0.3">
      <c r="A1350" t="s">
        <v>1411</v>
      </c>
      <c r="B1350" s="1">
        <v>45764</v>
      </c>
      <c r="C1350" t="s">
        <v>52</v>
      </c>
      <c r="D1350" t="s">
        <v>39</v>
      </c>
      <c r="E1350" t="s">
        <v>17</v>
      </c>
      <c r="F1350" t="s">
        <v>40</v>
      </c>
      <c r="G1350">
        <v>1</v>
      </c>
      <c r="H1350">
        <v>2693.25</v>
      </c>
      <c r="I1350">
        <v>0.12</v>
      </c>
      <c r="J1350">
        <v>2370.06</v>
      </c>
      <c r="K1350">
        <f t="shared" si="63"/>
        <v>2693.25</v>
      </c>
      <c r="L1350">
        <f t="shared" si="64"/>
        <v>323.19000000000005</v>
      </c>
      <c r="M1350">
        <f t="shared" si="65"/>
        <v>2370.06</v>
      </c>
      <c r="N1350" t="s">
        <v>33</v>
      </c>
      <c r="O1350" t="s">
        <v>34</v>
      </c>
      <c r="P1350" t="s">
        <v>21</v>
      </c>
      <c r="Q1350" t="s">
        <v>22</v>
      </c>
    </row>
    <row r="1351" spans="1:17" x14ac:dyDescent="0.3">
      <c r="A1351" t="s">
        <v>1412</v>
      </c>
      <c r="B1351" s="1">
        <v>45755</v>
      </c>
      <c r="C1351" t="s">
        <v>15</v>
      </c>
      <c r="D1351" t="s">
        <v>39</v>
      </c>
      <c r="E1351" t="s">
        <v>49</v>
      </c>
      <c r="F1351" t="s">
        <v>73</v>
      </c>
      <c r="G1351">
        <v>1</v>
      </c>
      <c r="H1351">
        <v>2421.36</v>
      </c>
      <c r="I1351">
        <v>0.06</v>
      </c>
      <c r="J1351">
        <v>2276.08</v>
      </c>
      <c r="K1351">
        <f t="shared" si="63"/>
        <v>2421.36</v>
      </c>
      <c r="L1351">
        <f t="shared" si="64"/>
        <v>145.2800000000002</v>
      </c>
      <c r="M1351">
        <f t="shared" si="65"/>
        <v>2276.08</v>
      </c>
      <c r="N1351" t="s">
        <v>19</v>
      </c>
      <c r="O1351" t="s">
        <v>34</v>
      </c>
      <c r="P1351" t="s">
        <v>54</v>
      </c>
      <c r="Q1351" t="s">
        <v>22</v>
      </c>
    </row>
    <row r="1352" spans="1:17" x14ac:dyDescent="0.3">
      <c r="A1352" t="s">
        <v>1413</v>
      </c>
      <c r="B1352" s="1">
        <v>45745</v>
      </c>
      <c r="C1352" t="s">
        <v>36</v>
      </c>
      <c r="D1352" t="s">
        <v>43</v>
      </c>
      <c r="E1352" t="s">
        <v>27</v>
      </c>
      <c r="F1352" t="s">
        <v>87</v>
      </c>
      <c r="G1352">
        <v>3</v>
      </c>
      <c r="H1352">
        <v>2475.02</v>
      </c>
      <c r="I1352">
        <v>0.08</v>
      </c>
      <c r="J1352">
        <v>6831.06</v>
      </c>
      <c r="K1352">
        <f t="shared" si="63"/>
        <v>7425.0599999999995</v>
      </c>
      <c r="L1352">
        <f t="shared" si="64"/>
        <v>593.99999999999909</v>
      </c>
      <c r="M1352">
        <f t="shared" si="65"/>
        <v>6831.06</v>
      </c>
      <c r="N1352" t="s">
        <v>19</v>
      </c>
      <c r="O1352" t="s">
        <v>34</v>
      </c>
      <c r="P1352" t="s">
        <v>21</v>
      </c>
      <c r="Q1352" t="s">
        <v>88</v>
      </c>
    </row>
    <row r="1353" spans="1:17" x14ac:dyDescent="0.3">
      <c r="A1353" t="s">
        <v>1414</v>
      </c>
      <c r="B1353" s="1">
        <v>45675</v>
      </c>
      <c r="C1353" t="s">
        <v>15</v>
      </c>
      <c r="D1353" t="s">
        <v>25</v>
      </c>
      <c r="E1353" t="s">
        <v>61</v>
      </c>
      <c r="F1353" t="s">
        <v>62</v>
      </c>
      <c r="G1353">
        <v>2</v>
      </c>
      <c r="H1353">
        <v>2665.16</v>
      </c>
      <c r="I1353">
        <v>0.13</v>
      </c>
      <c r="J1353">
        <v>4637.38</v>
      </c>
      <c r="K1353">
        <f t="shared" si="63"/>
        <v>5330.32</v>
      </c>
      <c r="L1353">
        <f t="shared" si="64"/>
        <v>692.9399999999996</v>
      </c>
      <c r="M1353">
        <f t="shared" si="65"/>
        <v>4637.38</v>
      </c>
      <c r="N1353" t="s">
        <v>58</v>
      </c>
      <c r="O1353" t="s">
        <v>29</v>
      </c>
      <c r="P1353" t="s">
        <v>54</v>
      </c>
      <c r="Q1353" t="s">
        <v>22</v>
      </c>
    </row>
    <row r="1354" spans="1:17" x14ac:dyDescent="0.3">
      <c r="A1354" t="s">
        <v>1415</v>
      </c>
      <c r="B1354" s="1">
        <v>45776</v>
      </c>
      <c r="C1354" t="s">
        <v>15</v>
      </c>
      <c r="D1354" t="s">
        <v>16</v>
      </c>
      <c r="E1354" t="s">
        <v>17</v>
      </c>
      <c r="F1354" t="s">
        <v>32</v>
      </c>
      <c r="G1354">
        <v>3</v>
      </c>
      <c r="H1354">
        <v>223.89</v>
      </c>
      <c r="I1354">
        <v>0.16</v>
      </c>
      <c r="J1354">
        <v>564.20000000000005</v>
      </c>
      <c r="K1354">
        <f t="shared" si="63"/>
        <v>671.67</v>
      </c>
      <c r="L1354">
        <f t="shared" si="64"/>
        <v>107.46999999999991</v>
      </c>
      <c r="M1354">
        <f t="shared" si="65"/>
        <v>564.20000000000005</v>
      </c>
      <c r="N1354" t="s">
        <v>19</v>
      </c>
      <c r="O1354" t="s">
        <v>20</v>
      </c>
      <c r="P1354" t="s">
        <v>30</v>
      </c>
      <c r="Q1354" t="s">
        <v>22</v>
      </c>
    </row>
    <row r="1355" spans="1:17" x14ac:dyDescent="0.3">
      <c r="A1355" t="s">
        <v>1416</v>
      </c>
      <c r="B1355" s="1">
        <v>45667</v>
      </c>
      <c r="C1355" t="s">
        <v>48</v>
      </c>
      <c r="D1355" t="s">
        <v>25</v>
      </c>
      <c r="E1355" t="s">
        <v>61</v>
      </c>
      <c r="F1355" t="s">
        <v>92</v>
      </c>
      <c r="G1355">
        <v>5</v>
      </c>
      <c r="H1355">
        <v>2276.2800000000002</v>
      </c>
      <c r="I1355">
        <v>0.08</v>
      </c>
      <c r="J1355">
        <v>10470.89</v>
      </c>
      <c r="K1355">
        <f t="shared" si="63"/>
        <v>11381.400000000001</v>
      </c>
      <c r="L1355">
        <f t="shared" si="64"/>
        <v>910.51000000000204</v>
      </c>
      <c r="M1355">
        <f t="shared" si="65"/>
        <v>10470.89</v>
      </c>
      <c r="N1355" t="s">
        <v>33</v>
      </c>
      <c r="O1355" t="s">
        <v>20</v>
      </c>
      <c r="P1355" t="s">
        <v>30</v>
      </c>
      <c r="Q1355" t="s">
        <v>22</v>
      </c>
    </row>
    <row r="1356" spans="1:17" x14ac:dyDescent="0.3">
      <c r="A1356" t="s">
        <v>1417</v>
      </c>
      <c r="B1356" s="1">
        <v>45832</v>
      </c>
      <c r="C1356" t="s">
        <v>15</v>
      </c>
      <c r="D1356" t="s">
        <v>39</v>
      </c>
      <c r="E1356" t="s">
        <v>27</v>
      </c>
      <c r="F1356" t="s">
        <v>87</v>
      </c>
      <c r="G1356">
        <v>2</v>
      </c>
      <c r="H1356">
        <v>1681.74</v>
      </c>
      <c r="I1356">
        <v>0</v>
      </c>
      <c r="J1356">
        <v>3363.48</v>
      </c>
      <c r="K1356">
        <f t="shared" si="63"/>
        <v>3363.48</v>
      </c>
      <c r="L1356">
        <f t="shared" si="64"/>
        <v>0</v>
      </c>
      <c r="M1356">
        <f t="shared" si="65"/>
        <v>3363.48</v>
      </c>
      <c r="N1356" t="s">
        <v>19</v>
      </c>
      <c r="O1356" t="s">
        <v>29</v>
      </c>
      <c r="P1356" t="s">
        <v>54</v>
      </c>
      <c r="Q1356" t="s">
        <v>22</v>
      </c>
    </row>
    <row r="1357" spans="1:17" x14ac:dyDescent="0.3">
      <c r="A1357" t="s">
        <v>1418</v>
      </c>
      <c r="B1357" s="1">
        <v>45743</v>
      </c>
      <c r="C1357" t="s">
        <v>15</v>
      </c>
      <c r="D1357" t="s">
        <v>43</v>
      </c>
      <c r="E1357" t="s">
        <v>99</v>
      </c>
      <c r="F1357" t="s">
        <v>100</v>
      </c>
      <c r="G1357">
        <v>1</v>
      </c>
      <c r="H1357">
        <v>3181.56</v>
      </c>
      <c r="I1357">
        <v>0.16</v>
      </c>
      <c r="J1357">
        <v>2672.51</v>
      </c>
      <c r="K1357">
        <f t="shared" si="63"/>
        <v>3181.56</v>
      </c>
      <c r="L1357">
        <f t="shared" si="64"/>
        <v>509.04999999999973</v>
      </c>
      <c r="M1357">
        <f t="shared" si="65"/>
        <v>2672.51</v>
      </c>
      <c r="N1357" t="s">
        <v>41</v>
      </c>
      <c r="O1357" t="s">
        <v>29</v>
      </c>
      <c r="P1357" t="s">
        <v>30</v>
      </c>
      <c r="Q1357" t="s">
        <v>22</v>
      </c>
    </row>
    <row r="1358" spans="1:17" x14ac:dyDescent="0.3">
      <c r="A1358" t="s">
        <v>1419</v>
      </c>
      <c r="B1358" s="1">
        <v>45802</v>
      </c>
      <c r="C1358" t="s">
        <v>15</v>
      </c>
      <c r="D1358" t="s">
        <v>43</v>
      </c>
      <c r="E1358" t="s">
        <v>17</v>
      </c>
      <c r="F1358" t="s">
        <v>32</v>
      </c>
      <c r="G1358">
        <v>1</v>
      </c>
      <c r="H1358">
        <v>4427.97</v>
      </c>
      <c r="I1358">
        <v>0.01</v>
      </c>
      <c r="J1358">
        <v>4383.6899999999996</v>
      </c>
      <c r="K1358">
        <f t="shared" si="63"/>
        <v>4427.97</v>
      </c>
      <c r="L1358">
        <f t="shared" si="64"/>
        <v>44.280000000000655</v>
      </c>
      <c r="M1358">
        <f t="shared" si="65"/>
        <v>4383.6899999999996</v>
      </c>
      <c r="N1358" t="s">
        <v>33</v>
      </c>
      <c r="O1358" t="s">
        <v>29</v>
      </c>
      <c r="P1358" t="s">
        <v>21</v>
      </c>
      <c r="Q1358" t="s">
        <v>22</v>
      </c>
    </row>
    <row r="1359" spans="1:17" x14ac:dyDescent="0.3">
      <c r="A1359" t="s">
        <v>1420</v>
      </c>
      <c r="B1359" s="1">
        <v>45722</v>
      </c>
      <c r="C1359" t="s">
        <v>52</v>
      </c>
      <c r="D1359" t="s">
        <v>39</v>
      </c>
      <c r="E1359" t="s">
        <v>17</v>
      </c>
      <c r="F1359" t="s">
        <v>44</v>
      </c>
      <c r="G1359">
        <v>2</v>
      </c>
      <c r="H1359">
        <v>4706.6000000000004</v>
      </c>
      <c r="I1359">
        <v>0.06</v>
      </c>
      <c r="J1359">
        <v>8848.41</v>
      </c>
      <c r="K1359">
        <f t="shared" si="63"/>
        <v>9413.2000000000007</v>
      </c>
      <c r="L1359">
        <f t="shared" si="64"/>
        <v>564.79000000000087</v>
      </c>
      <c r="M1359">
        <f t="shared" si="65"/>
        <v>8848.41</v>
      </c>
      <c r="N1359" t="s">
        <v>58</v>
      </c>
      <c r="O1359" t="s">
        <v>29</v>
      </c>
      <c r="P1359" t="s">
        <v>30</v>
      </c>
      <c r="Q1359" t="s">
        <v>22</v>
      </c>
    </row>
    <row r="1360" spans="1:17" x14ac:dyDescent="0.3">
      <c r="A1360" t="s">
        <v>1421</v>
      </c>
      <c r="B1360" s="1">
        <v>45777</v>
      </c>
      <c r="C1360" t="s">
        <v>24</v>
      </c>
      <c r="D1360" t="s">
        <v>43</v>
      </c>
      <c r="E1360" t="s">
        <v>49</v>
      </c>
      <c r="F1360" t="s">
        <v>53</v>
      </c>
      <c r="G1360">
        <v>5</v>
      </c>
      <c r="H1360">
        <v>404.54</v>
      </c>
      <c r="I1360">
        <v>0.1</v>
      </c>
      <c r="J1360">
        <v>1820.43</v>
      </c>
      <c r="K1360">
        <f t="shared" si="63"/>
        <v>2022.7</v>
      </c>
      <c r="L1360">
        <f t="shared" si="64"/>
        <v>202.26999999999998</v>
      </c>
      <c r="M1360">
        <f t="shared" si="65"/>
        <v>1820.43</v>
      </c>
      <c r="N1360" t="s">
        <v>41</v>
      </c>
      <c r="O1360" t="s">
        <v>34</v>
      </c>
      <c r="P1360" t="s">
        <v>30</v>
      </c>
      <c r="Q1360" t="s">
        <v>22</v>
      </c>
    </row>
    <row r="1361" spans="1:17" x14ac:dyDescent="0.3">
      <c r="A1361" t="s">
        <v>1422</v>
      </c>
      <c r="B1361" s="1">
        <v>45708</v>
      </c>
      <c r="C1361" t="s">
        <v>48</v>
      </c>
      <c r="D1361" t="s">
        <v>16</v>
      </c>
      <c r="E1361" t="s">
        <v>17</v>
      </c>
      <c r="F1361" t="s">
        <v>44</v>
      </c>
      <c r="G1361">
        <v>3</v>
      </c>
      <c r="H1361">
        <v>1214.24</v>
      </c>
      <c r="I1361">
        <v>0.01</v>
      </c>
      <c r="J1361">
        <v>3606.29</v>
      </c>
      <c r="K1361">
        <f t="shared" si="63"/>
        <v>3642.7200000000003</v>
      </c>
      <c r="L1361">
        <f t="shared" si="64"/>
        <v>36.430000000000291</v>
      </c>
      <c r="M1361">
        <f t="shared" si="65"/>
        <v>3606.29</v>
      </c>
      <c r="N1361" t="s">
        <v>19</v>
      </c>
      <c r="O1361" t="s">
        <v>20</v>
      </c>
      <c r="P1361" t="s">
        <v>21</v>
      </c>
      <c r="Q1361" t="s">
        <v>22</v>
      </c>
    </row>
    <row r="1362" spans="1:17" x14ac:dyDescent="0.3">
      <c r="A1362" t="s">
        <v>1423</v>
      </c>
      <c r="B1362" s="1">
        <v>45665</v>
      </c>
      <c r="C1362" t="s">
        <v>24</v>
      </c>
      <c r="D1362" t="s">
        <v>39</v>
      </c>
      <c r="E1362" t="s">
        <v>61</v>
      </c>
      <c r="F1362" t="s">
        <v>92</v>
      </c>
      <c r="G1362">
        <v>2</v>
      </c>
      <c r="H1362">
        <v>4754.83</v>
      </c>
      <c r="I1362">
        <v>0.24</v>
      </c>
      <c r="J1362">
        <v>7227.34</v>
      </c>
      <c r="K1362">
        <f t="shared" si="63"/>
        <v>9509.66</v>
      </c>
      <c r="L1362">
        <f t="shared" si="64"/>
        <v>2282.3199999999997</v>
      </c>
      <c r="M1362">
        <f t="shared" si="65"/>
        <v>7227.34</v>
      </c>
      <c r="N1362" t="s">
        <v>58</v>
      </c>
      <c r="O1362" t="s">
        <v>20</v>
      </c>
      <c r="P1362" t="s">
        <v>54</v>
      </c>
      <c r="Q1362" t="s">
        <v>22</v>
      </c>
    </row>
    <row r="1363" spans="1:17" x14ac:dyDescent="0.3">
      <c r="A1363" t="s">
        <v>1424</v>
      </c>
      <c r="B1363" s="1">
        <v>45677</v>
      </c>
      <c r="C1363" t="s">
        <v>36</v>
      </c>
      <c r="D1363" t="s">
        <v>16</v>
      </c>
      <c r="E1363" t="s">
        <v>49</v>
      </c>
      <c r="F1363" t="s">
        <v>56</v>
      </c>
      <c r="G1363">
        <v>1</v>
      </c>
      <c r="H1363">
        <v>3381.25</v>
      </c>
      <c r="I1363">
        <v>0.17</v>
      </c>
      <c r="J1363">
        <v>2806.44</v>
      </c>
      <c r="K1363">
        <f t="shared" si="63"/>
        <v>3381.25</v>
      </c>
      <c r="L1363">
        <f t="shared" si="64"/>
        <v>574.80999999999995</v>
      </c>
      <c r="M1363">
        <f t="shared" si="65"/>
        <v>2806.44</v>
      </c>
      <c r="N1363" t="s">
        <v>46</v>
      </c>
      <c r="O1363" t="s">
        <v>34</v>
      </c>
      <c r="P1363" t="s">
        <v>21</v>
      </c>
      <c r="Q1363" t="s">
        <v>22</v>
      </c>
    </row>
    <row r="1364" spans="1:17" x14ac:dyDescent="0.3">
      <c r="A1364" t="s">
        <v>1425</v>
      </c>
      <c r="B1364" s="1">
        <v>45704</v>
      </c>
      <c r="C1364" t="s">
        <v>52</v>
      </c>
      <c r="D1364" t="s">
        <v>39</v>
      </c>
      <c r="E1364" t="s">
        <v>27</v>
      </c>
      <c r="F1364" t="s">
        <v>79</v>
      </c>
      <c r="G1364">
        <v>4</v>
      </c>
      <c r="H1364">
        <v>135.05000000000001</v>
      </c>
      <c r="I1364">
        <v>0.18</v>
      </c>
      <c r="J1364">
        <v>442.96</v>
      </c>
      <c r="K1364">
        <f t="shared" si="63"/>
        <v>540.20000000000005</v>
      </c>
      <c r="L1364">
        <f t="shared" si="64"/>
        <v>97.240000000000066</v>
      </c>
      <c r="M1364">
        <f t="shared" si="65"/>
        <v>442.96</v>
      </c>
      <c r="N1364" t="s">
        <v>19</v>
      </c>
      <c r="O1364" t="s">
        <v>29</v>
      </c>
      <c r="P1364" t="s">
        <v>21</v>
      </c>
      <c r="Q1364" t="s">
        <v>22</v>
      </c>
    </row>
    <row r="1365" spans="1:17" x14ac:dyDescent="0.3">
      <c r="A1365" t="s">
        <v>1426</v>
      </c>
      <c r="B1365" s="1">
        <v>45790</v>
      </c>
      <c r="C1365" t="s">
        <v>52</v>
      </c>
      <c r="D1365" t="s">
        <v>39</v>
      </c>
      <c r="E1365" t="s">
        <v>61</v>
      </c>
      <c r="F1365" t="s">
        <v>92</v>
      </c>
      <c r="G1365">
        <v>1</v>
      </c>
      <c r="H1365">
        <v>4584.4799999999996</v>
      </c>
      <c r="I1365">
        <v>0.19</v>
      </c>
      <c r="J1365">
        <v>3713.43</v>
      </c>
      <c r="K1365">
        <f t="shared" si="63"/>
        <v>4584.4799999999996</v>
      </c>
      <c r="L1365">
        <f t="shared" si="64"/>
        <v>871.04999999999973</v>
      </c>
      <c r="M1365">
        <f t="shared" si="65"/>
        <v>3713.43</v>
      </c>
      <c r="N1365" t="s">
        <v>19</v>
      </c>
      <c r="O1365" t="s">
        <v>29</v>
      </c>
      <c r="P1365" t="s">
        <v>30</v>
      </c>
      <c r="Q1365" t="s">
        <v>22</v>
      </c>
    </row>
    <row r="1366" spans="1:17" x14ac:dyDescent="0.3">
      <c r="A1366" t="s">
        <v>1427</v>
      </c>
      <c r="B1366" s="1">
        <v>45822</v>
      </c>
      <c r="C1366" t="s">
        <v>52</v>
      </c>
      <c r="D1366" t="s">
        <v>25</v>
      </c>
      <c r="E1366" t="s">
        <v>27</v>
      </c>
      <c r="F1366" t="s">
        <v>87</v>
      </c>
      <c r="G1366">
        <v>3</v>
      </c>
      <c r="H1366">
        <v>1738.98</v>
      </c>
      <c r="I1366">
        <v>0.08</v>
      </c>
      <c r="J1366">
        <v>4799.58</v>
      </c>
      <c r="K1366">
        <f t="shared" si="63"/>
        <v>5216.9400000000005</v>
      </c>
      <c r="L1366">
        <f t="shared" si="64"/>
        <v>417.36000000000058</v>
      </c>
      <c r="M1366">
        <f t="shared" si="65"/>
        <v>4799.58</v>
      </c>
      <c r="N1366" t="s">
        <v>19</v>
      </c>
      <c r="O1366" t="s">
        <v>29</v>
      </c>
      <c r="P1366" t="s">
        <v>30</v>
      </c>
      <c r="Q1366" t="s">
        <v>22</v>
      </c>
    </row>
    <row r="1367" spans="1:17" x14ac:dyDescent="0.3">
      <c r="A1367" t="s">
        <v>1428</v>
      </c>
      <c r="B1367" s="1">
        <v>45827</v>
      </c>
      <c r="C1367" t="s">
        <v>24</v>
      </c>
      <c r="D1367" t="s">
        <v>16</v>
      </c>
      <c r="E1367" t="s">
        <v>99</v>
      </c>
      <c r="F1367" t="s">
        <v>115</v>
      </c>
      <c r="G1367">
        <v>5</v>
      </c>
      <c r="H1367">
        <v>3873.08</v>
      </c>
      <c r="I1367">
        <v>0.05</v>
      </c>
      <c r="J1367">
        <v>18397.13</v>
      </c>
      <c r="K1367">
        <f t="shared" si="63"/>
        <v>19365.400000000001</v>
      </c>
      <c r="L1367">
        <f t="shared" si="64"/>
        <v>968.27000000000044</v>
      </c>
      <c r="M1367">
        <f t="shared" si="65"/>
        <v>18397.13</v>
      </c>
      <c r="N1367" t="s">
        <v>41</v>
      </c>
      <c r="O1367" t="s">
        <v>29</v>
      </c>
      <c r="P1367" t="s">
        <v>54</v>
      </c>
      <c r="Q1367" t="s">
        <v>22</v>
      </c>
    </row>
    <row r="1368" spans="1:17" x14ac:dyDescent="0.3">
      <c r="A1368" t="s">
        <v>1429</v>
      </c>
      <c r="B1368" s="1">
        <v>45771</v>
      </c>
      <c r="C1368" t="s">
        <v>52</v>
      </c>
      <c r="D1368" t="s">
        <v>39</v>
      </c>
      <c r="E1368" t="s">
        <v>17</v>
      </c>
      <c r="F1368" t="s">
        <v>44</v>
      </c>
      <c r="G1368">
        <v>3</v>
      </c>
      <c r="H1368">
        <v>4181.3599999999997</v>
      </c>
      <c r="I1368">
        <v>0.17</v>
      </c>
      <c r="J1368">
        <v>10411.59</v>
      </c>
      <c r="K1368">
        <f t="shared" si="63"/>
        <v>12544.079999999998</v>
      </c>
      <c r="L1368">
        <f t="shared" si="64"/>
        <v>2132.489999999998</v>
      </c>
      <c r="M1368">
        <f t="shared" si="65"/>
        <v>10411.59</v>
      </c>
      <c r="N1368" t="s">
        <v>33</v>
      </c>
      <c r="O1368" t="s">
        <v>29</v>
      </c>
      <c r="P1368" t="s">
        <v>21</v>
      </c>
      <c r="Q1368" t="s">
        <v>22</v>
      </c>
    </row>
    <row r="1369" spans="1:17" x14ac:dyDescent="0.3">
      <c r="A1369" t="s">
        <v>1430</v>
      </c>
      <c r="B1369" s="1">
        <v>45774</v>
      </c>
      <c r="C1369" t="s">
        <v>36</v>
      </c>
      <c r="D1369" t="s">
        <v>39</v>
      </c>
      <c r="E1369" t="s">
        <v>17</v>
      </c>
      <c r="F1369" t="s">
        <v>44</v>
      </c>
      <c r="G1369">
        <v>5</v>
      </c>
      <c r="H1369">
        <v>216.68</v>
      </c>
      <c r="I1369">
        <v>0</v>
      </c>
      <c r="J1369">
        <v>1083.4000000000001</v>
      </c>
      <c r="K1369">
        <f t="shared" si="63"/>
        <v>1083.4000000000001</v>
      </c>
      <c r="L1369">
        <f t="shared" si="64"/>
        <v>0</v>
      </c>
      <c r="M1369">
        <f t="shared" si="65"/>
        <v>1083.4000000000001</v>
      </c>
      <c r="N1369" t="s">
        <v>46</v>
      </c>
      <c r="O1369" t="s">
        <v>20</v>
      </c>
      <c r="P1369" t="s">
        <v>54</v>
      </c>
      <c r="Q1369" t="s">
        <v>22</v>
      </c>
    </row>
    <row r="1370" spans="1:17" x14ac:dyDescent="0.3">
      <c r="A1370" t="s">
        <v>1431</v>
      </c>
      <c r="B1370" s="1">
        <v>45664</v>
      </c>
      <c r="C1370" t="s">
        <v>48</v>
      </c>
      <c r="D1370" t="s">
        <v>39</v>
      </c>
      <c r="E1370" t="s">
        <v>49</v>
      </c>
      <c r="F1370" t="s">
        <v>53</v>
      </c>
      <c r="G1370">
        <v>2</v>
      </c>
      <c r="H1370">
        <v>4612.01</v>
      </c>
      <c r="I1370">
        <v>0.12</v>
      </c>
      <c r="J1370">
        <v>8117.14</v>
      </c>
      <c r="K1370">
        <f t="shared" si="63"/>
        <v>9224.02</v>
      </c>
      <c r="L1370">
        <f t="shared" si="64"/>
        <v>1106.8800000000001</v>
      </c>
      <c r="M1370">
        <f t="shared" si="65"/>
        <v>8117.14</v>
      </c>
      <c r="N1370" t="s">
        <v>41</v>
      </c>
      <c r="O1370" t="s">
        <v>29</v>
      </c>
      <c r="P1370" t="s">
        <v>21</v>
      </c>
      <c r="Q1370" t="s">
        <v>88</v>
      </c>
    </row>
    <row r="1371" spans="1:17" x14ac:dyDescent="0.3">
      <c r="A1371" t="s">
        <v>1432</v>
      </c>
      <c r="B1371" s="1">
        <v>45808</v>
      </c>
      <c r="C1371" t="s">
        <v>36</v>
      </c>
      <c r="D1371" t="s">
        <v>16</v>
      </c>
      <c r="E1371" t="s">
        <v>61</v>
      </c>
      <c r="F1371" t="s">
        <v>62</v>
      </c>
      <c r="G1371">
        <v>1</v>
      </c>
      <c r="H1371">
        <v>3134.46</v>
      </c>
      <c r="I1371">
        <v>0.21</v>
      </c>
      <c r="J1371">
        <v>2476.2199999999998</v>
      </c>
      <c r="K1371">
        <f t="shared" si="63"/>
        <v>3134.46</v>
      </c>
      <c r="L1371">
        <f t="shared" si="64"/>
        <v>658.24000000000024</v>
      </c>
      <c r="M1371">
        <f t="shared" si="65"/>
        <v>2476.2199999999998</v>
      </c>
      <c r="N1371" t="s">
        <v>58</v>
      </c>
      <c r="O1371" t="s">
        <v>20</v>
      </c>
      <c r="P1371" t="s">
        <v>30</v>
      </c>
      <c r="Q1371" t="s">
        <v>22</v>
      </c>
    </row>
    <row r="1372" spans="1:17" x14ac:dyDescent="0.3">
      <c r="A1372" t="s">
        <v>1433</v>
      </c>
      <c r="B1372" s="1">
        <v>45790</v>
      </c>
      <c r="C1372" t="s">
        <v>24</v>
      </c>
      <c r="D1372" t="s">
        <v>39</v>
      </c>
      <c r="E1372" t="s">
        <v>49</v>
      </c>
      <c r="F1372" t="s">
        <v>73</v>
      </c>
      <c r="G1372">
        <v>2</v>
      </c>
      <c r="H1372">
        <v>3264.28</v>
      </c>
      <c r="I1372">
        <v>0.24</v>
      </c>
      <c r="J1372">
        <v>4961.71</v>
      </c>
      <c r="K1372">
        <f t="shared" si="63"/>
        <v>6528.56</v>
      </c>
      <c r="L1372">
        <f t="shared" si="64"/>
        <v>1566.8500000000004</v>
      </c>
      <c r="M1372">
        <f t="shared" si="65"/>
        <v>4961.71</v>
      </c>
      <c r="N1372" t="s">
        <v>58</v>
      </c>
      <c r="O1372" t="s">
        <v>34</v>
      </c>
      <c r="P1372" t="s">
        <v>21</v>
      </c>
      <c r="Q1372" t="s">
        <v>22</v>
      </c>
    </row>
    <row r="1373" spans="1:17" x14ac:dyDescent="0.3">
      <c r="A1373" t="s">
        <v>1434</v>
      </c>
      <c r="B1373" s="1">
        <v>45819</v>
      </c>
      <c r="C1373" t="s">
        <v>15</v>
      </c>
      <c r="D1373" t="s">
        <v>16</v>
      </c>
      <c r="E1373" t="s">
        <v>49</v>
      </c>
      <c r="F1373" t="s">
        <v>56</v>
      </c>
      <c r="G1373">
        <v>3</v>
      </c>
      <c r="H1373">
        <v>795.01</v>
      </c>
      <c r="I1373">
        <v>0.11</v>
      </c>
      <c r="J1373">
        <v>2122.6799999999998</v>
      </c>
      <c r="K1373">
        <f t="shared" si="63"/>
        <v>2385.0299999999997</v>
      </c>
      <c r="L1373">
        <f t="shared" si="64"/>
        <v>262.34999999999991</v>
      </c>
      <c r="M1373">
        <f t="shared" si="65"/>
        <v>2122.6799999999998</v>
      </c>
      <c r="N1373" t="s">
        <v>58</v>
      </c>
      <c r="O1373" t="s">
        <v>20</v>
      </c>
      <c r="P1373" t="s">
        <v>54</v>
      </c>
      <c r="Q1373" t="s">
        <v>37</v>
      </c>
    </row>
    <row r="1374" spans="1:17" x14ac:dyDescent="0.3">
      <c r="A1374" t="s">
        <v>1435</v>
      </c>
      <c r="B1374" s="1">
        <v>45712</v>
      </c>
      <c r="C1374" t="s">
        <v>52</v>
      </c>
      <c r="D1374" t="s">
        <v>39</v>
      </c>
      <c r="E1374" t="s">
        <v>17</v>
      </c>
      <c r="F1374" t="s">
        <v>40</v>
      </c>
      <c r="G1374">
        <v>1</v>
      </c>
      <c r="H1374">
        <v>3651.56</v>
      </c>
      <c r="I1374">
        <v>0.11</v>
      </c>
      <c r="J1374">
        <v>3249.89</v>
      </c>
      <c r="K1374">
        <f t="shared" si="63"/>
        <v>3651.56</v>
      </c>
      <c r="L1374">
        <f t="shared" si="64"/>
        <v>401.67000000000007</v>
      </c>
      <c r="M1374">
        <f t="shared" si="65"/>
        <v>3249.89</v>
      </c>
      <c r="N1374" t="s">
        <v>58</v>
      </c>
      <c r="O1374" t="s">
        <v>20</v>
      </c>
      <c r="P1374" t="s">
        <v>21</v>
      </c>
      <c r="Q1374" t="s">
        <v>22</v>
      </c>
    </row>
    <row r="1375" spans="1:17" x14ac:dyDescent="0.3">
      <c r="A1375" t="s">
        <v>1436</v>
      </c>
      <c r="B1375" s="1">
        <v>45771</v>
      </c>
      <c r="C1375" t="s">
        <v>24</v>
      </c>
      <c r="D1375" t="s">
        <v>25</v>
      </c>
      <c r="E1375" t="s">
        <v>27</v>
      </c>
      <c r="F1375" t="s">
        <v>87</v>
      </c>
      <c r="G1375">
        <v>1</v>
      </c>
      <c r="H1375">
        <v>2047.94</v>
      </c>
      <c r="I1375">
        <v>0.09</v>
      </c>
      <c r="J1375">
        <v>1863.63</v>
      </c>
      <c r="K1375">
        <f t="shared" si="63"/>
        <v>2047.94</v>
      </c>
      <c r="L1375">
        <f t="shared" si="64"/>
        <v>184.30999999999995</v>
      </c>
      <c r="M1375">
        <f t="shared" si="65"/>
        <v>1863.63</v>
      </c>
      <c r="N1375" t="s">
        <v>19</v>
      </c>
      <c r="O1375" t="s">
        <v>20</v>
      </c>
      <c r="P1375" t="s">
        <v>54</v>
      </c>
      <c r="Q1375" t="s">
        <v>22</v>
      </c>
    </row>
    <row r="1376" spans="1:17" x14ac:dyDescent="0.3">
      <c r="A1376" t="s">
        <v>1437</v>
      </c>
      <c r="B1376" s="1">
        <v>45667</v>
      </c>
      <c r="C1376" t="s">
        <v>52</v>
      </c>
      <c r="D1376" t="s">
        <v>39</v>
      </c>
      <c r="E1376" t="s">
        <v>49</v>
      </c>
      <c r="F1376" t="s">
        <v>50</v>
      </c>
      <c r="G1376">
        <v>1</v>
      </c>
      <c r="H1376">
        <v>3317.39</v>
      </c>
      <c r="I1376">
        <v>0.24</v>
      </c>
      <c r="J1376">
        <v>2521.2199999999998</v>
      </c>
      <c r="K1376">
        <f t="shared" si="63"/>
        <v>3317.39</v>
      </c>
      <c r="L1376">
        <f t="shared" si="64"/>
        <v>796.17000000000007</v>
      </c>
      <c r="M1376">
        <f t="shared" si="65"/>
        <v>2521.2199999999998</v>
      </c>
      <c r="N1376" t="s">
        <v>58</v>
      </c>
      <c r="O1376" t="s">
        <v>29</v>
      </c>
      <c r="P1376" t="s">
        <v>30</v>
      </c>
      <c r="Q1376" t="s">
        <v>22</v>
      </c>
    </row>
    <row r="1377" spans="1:17" x14ac:dyDescent="0.3">
      <c r="A1377" t="s">
        <v>1438</v>
      </c>
      <c r="B1377" s="1">
        <v>45808</v>
      </c>
      <c r="C1377" t="s">
        <v>24</v>
      </c>
      <c r="D1377" t="s">
        <v>16</v>
      </c>
      <c r="E1377" t="s">
        <v>61</v>
      </c>
      <c r="F1377" t="s">
        <v>66</v>
      </c>
      <c r="G1377">
        <v>2</v>
      </c>
      <c r="H1377">
        <v>3479.41</v>
      </c>
      <c r="I1377">
        <v>0.2</v>
      </c>
      <c r="J1377">
        <v>5567.06</v>
      </c>
      <c r="K1377">
        <f t="shared" si="63"/>
        <v>6958.82</v>
      </c>
      <c r="L1377">
        <f t="shared" si="64"/>
        <v>1391.7599999999993</v>
      </c>
      <c r="M1377">
        <f t="shared" si="65"/>
        <v>5567.06</v>
      </c>
      <c r="N1377" t="s">
        <v>46</v>
      </c>
      <c r="O1377" t="s">
        <v>20</v>
      </c>
      <c r="P1377" t="s">
        <v>21</v>
      </c>
      <c r="Q1377" t="s">
        <v>37</v>
      </c>
    </row>
    <row r="1378" spans="1:17" x14ac:dyDescent="0.3">
      <c r="A1378" t="s">
        <v>1439</v>
      </c>
      <c r="B1378" s="1">
        <v>45806</v>
      </c>
      <c r="C1378" t="s">
        <v>52</v>
      </c>
      <c r="D1378" t="s">
        <v>43</v>
      </c>
      <c r="E1378" t="s">
        <v>49</v>
      </c>
      <c r="F1378" t="s">
        <v>50</v>
      </c>
      <c r="G1378">
        <v>3</v>
      </c>
      <c r="H1378">
        <v>533.24</v>
      </c>
      <c r="I1378">
        <v>0.09</v>
      </c>
      <c r="J1378">
        <v>1455.75</v>
      </c>
      <c r="K1378">
        <f t="shared" si="63"/>
        <v>1599.72</v>
      </c>
      <c r="L1378">
        <f t="shared" si="64"/>
        <v>143.97000000000003</v>
      </c>
      <c r="M1378">
        <f t="shared" si="65"/>
        <v>1455.75</v>
      </c>
      <c r="N1378" t="s">
        <v>58</v>
      </c>
      <c r="O1378" t="s">
        <v>34</v>
      </c>
      <c r="P1378" t="s">
        <v>30</v>
      </c>
      <c r="Q1378" t="s">
        <v>22</v>
      </c>
    </row>
    <row r="1379" spans="1:17" x14ac:dyDescent="0.3">
      <c r="A1379" t="s">
        <v>1440</v>
      </c>
      <c r="B1379" s="1">
        <v>45694</v>
      </c>
      <c r="C1379" t="s">
        <v>15</v>
      </c>
      <c r="D1379" t="s">
        <v>39</v>
      </c>
      <c r="E1379" t="s">
        <v>99</v>
      </c>
      <c r="F1379" t="s">
        <v>100</v>
      </c>
      <c r="G1379">
        <v>2</v>
      </c>
      <c r="H1379">
        <v>2943.04</v>
      </c>
      <c r="I1379">
        <v>0.09</v>
      </c>
      <c r="J1379">
        <v>5356.33</v>
      </c>
      <c r="K1379">
        <f t="shared" si="63"/>
        <v>5886.08</v>
      </c>
      <c r="L1379">
        <f t="shared" si="64"/>
        <v>529.75</v>
      </c>
      <c r="M1379">
        <f t="shared" si="65"/>
        <v>5356.33</v>
      </c>
      <c r="N1379" t="s">
        <v>46</v>
      </c>
      <c r="O1379" t="s">
        <v>34</v>
      </c>
      <c r="P1379" t="s">
        <v>30</v>
      </c>
      <c r="Q1379" t="s">
        <v>22</v>
      </c>
    </row>
    <row r="1380" spans="1:17" x14ac:dyDescent="0.3">
      <c r="A1380" t="s">
        <v>1441</v>
      </c>
      <c r="B1380" s="1">
        <v>45751</v>
      </c>
      <c r="C1380" t="s">
        <v>15</v>
      </c>
      <c r="D1380" t="s">
        <v>25</v>
      </c>
      <c r="E1380" t="s">
        <v>49</v>
      </c>
      <c r="F1380" t="s">
        <v>50</v>
      </c>
      <c r="G1380">
        <v>5</v>
      </c>
      <c r="H1380">
        <v>1340.68</v>
      </c>
      <c r="I1380">
        <v>0.03</v>
      </c>
      <c r="J1380">
        <v>6502.3</v>
      </c>
      <c r="K1380">
        <f t="shared" si="63"/>
        <v>6703.4000000000005</v>
      </c>
      <c r="L1380">
        <f t="shared" si="64"/>
        <v>201.10000000000036</v>
      </c>
      <c r="M1380">
        <f t="shared" si="65"/>
        <v>6502.3</v>
      </c>
      <c r="N1380" t="s">
        <v>41</v>
      </c>
      <c r="O1380" t="s">
        <v>20</v>
      </c>
      <c r="P1380" t="s">
        <v>30</v>
      </c>
      <c r="Q1380" t="s">
        <v>22</v>
      </c>
    </row>
    <row r="1381" spans="1:17" x14ac:dyDescent="0.3">
      <c r="A1381" t="s">
        <v>1442</v>
      </c>
      <c r="B1381" s="1">
        <v>45760</v>
      </c>
      <c r="C1381" t="s">
        <v>24</v>
      </c>
      <c r="D1381" t="s">
        <v>43</v>
      </c>
      <c r="E1381" t="s">
        <v>27</v>
      </c>
      <c r="F1381" t="s">
        <v>68</v>
      </c>
      <c r="G1381">
        <v>2</v>
      </c>
      <c r="H1381">
        <v>3034.08</v>
      </c>
      <c r="I1381">
        <v>0.14000000000000001</v>
      </c>
      <c r="J1381">
        <v>5218.62</v>
      </c>
      <c r="K1381">
        <f t="shared" si="63"/>
        <v>6068.16</v>
      </c>
      <c r="L1381">
        <f t="shared" si="64"/>
        <v>849.54</v>
      </c>
      <c r="M1381">
        <f t="shared" si="65"/>
        <v>5218.62</v>
      </c>
      <c r="N1381" t="s">
        <v>46</v>
      </c>
      <c r="O1381" t="s">
        <v>29</v>
      </c>
      <c r="P1381" t="s">
        <v>21</v>
      </c>
      <c r="Q1381" t="s">
        <v>37</v>
      </c>
    </row>
    <row r="1382" spans="1:17" x14ac:dyDescent="0.3">
      <c r="A1382" t="s">
        <v>1443</v>
      </c>
      <c r="B1382" s="1">
        <v>45786</v>
      </c>
      <c r="C1382" t="s">
        <v>52</v>
      </c>
      <c r="D1382" t="s">
        <v>16</v>
      </c>
      <c r="E1382" t="s">
        <v>27</v>
      </c>
      <c r="F1382" t="s">
        <v>68</v>
      </c>
      <c r="G1382">
        <v>4</v>
      </c>
      <c r="H1382">
        <v>4415.54</v>
      </c>
      <c r="I1382">
        <v>0.25</v>
      </c>
      <c r="J1382">
        <v>13246.62</v>
      </c>
      <c r="K1382">
        <f t="shared" si="63"/>
        <v>17662.16</v>
      </c>
      <c r="L1382">
        <f t="shared" si="64"/>
        <v>4415.5399999999991</v>
      </c>
      <c r="M1382">
        <f t="shared" si="65"/>
        <v>13246.62</v>
      </c>
      <c r="N1382" t="s">
        <v>41</v>
      </c>
      <c r="O1382" t="s">
        <v>20</v>
      </c>
      <c r="P1382" t="s">
        <v>21</v>
      </c>
      <c r="Q1382" t="s">
        <v>22</v>
      </c>
    </row>
    <row r="1383" spans="1:17" x14ac:dyDescent="0.3">
      <c r="A1383" t="s">
        <v>1444</v>
      </c>
      <c r="B1383" s="1">
        <v>45745</v>
      </c>
      <c r="C1383" t="s">
        <v>15</v>
      </c>
      <c r="D1383" t="s">
        <v>25</v>
      </c>
      <c r="E1383" t="s">
        <v>27</v>
      </c>
      <c r="F1383" t="s">
        <v>79</v>
      </c>
      <c r="G1383">
        <v>2</v>
      </c>
      <c r="H1383">
        <v>3724.59</v>
      </c>
      <c r="I1383">
        <v>0.17</v>
      </c>
      <c r="J1383">
        <v>6182.82</v>
      </c>
      <c r="K1383">
        <f t="shared" si="63"/>
        <v>7449.18</v>
      </c>
      <c r="L1383">
        <f t="shared" si="64"/>
        <v>1266.3600000000006</v>
      </c>
      <c r="M1383">
        <f t="shared" si="65"/>
        <v>6182.82</v>
      </c>
      <c r="N1383" t="s">
        <v>33</v>
      </c>
      <c r="O1383" t="s">
        <v>29</v>
      </c>
      <c r="P1383" t="s">
        <v>30</v>
      </c>
      <c r="Q1383" t="s">
        <v>22</v>
      </c>
    </row>
    <row r="1384" spans="1:17" x14ac:dyDescent="0.3">
      <c r="A1384" t="s">
        <v>1445</v>
      </c>
      <c r="B1384" s="1">
        <v>45837</v>
      </c>
      <c r="C1384" t="s">
        <v>36</v>
      </c>
      <c r="D1384" t="s">
        <v>43</v>
      </c>
      <c r="E1384" t="s">
        <v>99</v>
      </c>
      <c r="F1384" t="s">
        <v>115</v>
      </c>
      <c r="G1384">
        <v>5</v>
      </c>
      <c r="H1384">
        <v>1820.56</v>
      </c>
      <c r="I1384">
        <v>0.1</v>
      </c>
      <c r="J1384">
        <v>8192.52</v>
      </c>
      <c r="K1384">
        <f t="shared" si="63"/>
        <v>9102.7999999999993</v>
      </c>
      <c r="L1384">
        <f t="shared" si="64"/>
        <v>910.27999999999884</v>
      </c>
      <c r="M1384">
        <f t="shared" si="65"/>
        <v>8192.52</v>
      </c>
      <c r="N1384" t="s">
        <v>41</v>
      </c>
      <c r="O1384" t="s">
        <v>20</v>
      </c>
      <c r="P1384" t="s">
        <v>54</v>
      </c>
      <c r="Q1384" t="s">
        <v>22</v>
      </c>
    </row>
    <row r="1385" spans="1:17" x14ac:dyDescent="0.3">
      <c r="A1385" t="s">
        <v>1446</v>
      </c>
      <c r="B1385" s="1">
        <v>45714</v>
      </c>
      <c r="C1385" t="s">
        <v>52</v>
      </c>
      <c r="D1385" t="s">
        <v>39</v>
      </c>
      <c r="E1385" t="s">
        <v>49</v>
      </c>
      <c r="F1385" t="s">
        <v>73</v>
      </c>
      <c r="G1385">
        <v>1</v>
      </c>
      <c r="H1385">
        <v>2526.4899999999998</v>
      </c>
      <c r="I1385">
        <v>0.23</v>
      </c>
      <c r="J1385">
        <v>1945.4</v>
      </c>
      <c r="K1385">
        <f t="shared" si="63"/>
        <v>2526.4899999999998</v>
      </c>
      <c r="L1385">
        <f t="shared" si="64"/>
        <v>581.08999999999969</v>
      </c>
      <c r="M1385">
        <f t="shared" si="65"/>
        <v>1945.4</v>
      </c>
      <c r="N1385" t="s">
        <v>58</v>
      </c>
      <c r="O1385" t="s">
        <v>29</v>
      </c>
      <c r="P1385" t="s">
        <v>21</v>
      </c>
      <c r="Q1385" t="s">
        <v>22</v>
      </c>
    </row>
    <row r="1386" spans="1:17" x14ac:dyDescent="0.3">
      <c r="A1386" t="s">
        <v>1447</v>
      </c>
      <c r="B1386" s="1">
        <v>45695</v>
      </c>
      <c r="C1386" t="s">
        <v>52</v>
      </c>
      <c r="D1386" t="s">
        <v>16</v>
      </c>
      <c r="E1386" t="s">
        <v>49</v>
      </c>
      <c r="F1386" t="s">
        <v>53</v>
      </c>
      <c r="G1386">
        <v>1</v>
      </c>
      <c r="H1386">
        <v>4762.6000000000004</v>
      </c>
      <c r="I1386">
        <v>0.05</v>
      </c>
      <c r="J1386">
        <v>4524.47</v>
      </c>
      <c r="K1386">
        <f t="shared" si="63"/>
        <v>4762.6000000000004</v>
      </c>
      <c r="L1386">
        <f t="shared" si="64"/>
        <v>238.13000000000011</v>
      </c>
      <c r="M1386">
        <f t="shared" si="65"/>
        <v>4524.47</v>
      </c>
      <c r="N1386" t="s">
        <v>33</v>
      </c>
      <c r="O1386" t="s">
        <v>29</v>
      </c>
      <c r="P1386" t="s">
        <v>54</v>
      </c>
      <c r="Q1386" t="s">
        <v>22</v>
      </c>
    </row>
    <row r="1387" spans="1:17" x14ac:dyDescent="0.3">
      <c r="A1387" t="s">
        <v>1448</v>
      </c>
      <c r="B1387" s="1">
        <v>45773</v>
      </c>
      <c r="C1387" t="s">
        <v>24</v>
      </c>
      <c r="D1387" t="s">
        <v>25</v>
      </c>
      <c r="E1387" t="s">
        <v>61</v>
      </c>
      <c r="F1387" t="s">
        <v>75</v>
      </c>
      <c r="G1387">
        <v>4</v>
      </c>
      <c r="H1387">
        <v>4759.96</v>
      </c>
      <c r="I1387">
        <v>0.11</v>
      </c>
      <c r="J1387">
        <v>16945.46</v>
      </c>
      <c r="K1387">
        <f t="shared" si="63"/>
        <v>19039.84</v>
      </c>
      <c r="L1387">
        <f t="shared" si="64"/>
        <v>2094.380000000001</v>
      </c>
      <c r="M1387">
        <f t="shared" si="65"/>
        <v>16945.46</v>
      </c>
      <c r="N1387" t="s">
        <v>58</v>
      </c>
      <c r="O1387" t="s">
        <v>34</v>
      </c>
      <c r="P1387" t="s">
        <v>30</v>
      </c>
      <c r="Q1387" t="s">
        <v>22</v>
      </c>
    </row>
    <row r="1388" spans="1:17" x14ac:dyDescent="0.3">
      <c r="A1388" t="s">
        <v>1449</v>
      </c>
      <c r="B1388" s="1">
        <v>45744</v>
      </c>
      <c r="C1388" t="s">
        <v>15</v>
      </c>
      <c r="D1388" t="s">
        <v>16</v>
      </c>
      <c r="E1388" t="s">
        <v>27</v>
      </c>
      <c r="F1388" t="s">
        <v>28</v>
      </c>
      <c r="G1388">
        <v>2</v>
      </c>
      <c r="H1388">
        <v>1588.55</v>
      </c>
      <c r="I1388">
        <v>0.15</v>
      </c>
      <c r="J1388">
        <v>2700.53</v>
      </c>
      <c r="K1388">
        <f t="shared" si="63"/>
        <v>3177.1</v>
      </c>
      <c r="L1388">
        <f t="shared" si="64"/>
        <v>476.56999999999971</v>
      </c>
      <c r="M1388">
        <f t="shared" si="65"/>
        <v>2700.53</v>
      </c>
      <c r="N1388" t="s">
        <v>41</v>
      </c>
      <c r="O1388" t="s">
        <v>34</v>
      </c>
      <c r="P1388" t="s">
        <v>30</v>
      </c>
      <c r="Q1388" t="s">
        <v>22</v>
      </c>
    </row>
    <row r="1389" spans="1:17" x14ac:dyDescent="0.3">
      <c r="A1389" t="s">
        <v>1450</v>
      </c>
      <c r="B1389" s="1">
        <v>45783</v>
      </c>
      <c r="C1389" t="s">
        <v>15</v>
      </c>
      <c r="D1389" t="s">
        <v>16</v>
      </c>
      <c r="E1389" t="s">
        <v>17</v>
      </c>
      <c r="F1389" t="s">
        <v>40</v>
      </c>
      <c r="G1389">
        <v>3</v>
      </c>
      <c r="H1389">
        <v>3533.09</v>
      </c>
      <c r="I1389">
        <v>0.22</v>
      </c>
      <c r="J1389">
        <v>8267.43</v>
      </c>
      <c r="K1389">
        <f t="shared" si="63"/>
        <v>10599.27</v>
      </c>
      <c r="L1389">
        <f t="shared" si="64"/>
        <v>2331.84</v>
      </c>
      <c r="M1389">
        <f t="shared" si="65"/>
        <v>8267.43</v>
      </c>
      <c r="N1389" t="s">
        <v>46</v>
      </c>
      <c r="O1389" t="s">
        <v>20</v>
      </c>
      <c r="P1389" t="s">
        <v>30</v>
      </c>
      <c r="Q1389" t="s">
        <v>22</v>
      </c>
    </row>
    <row r="1390" spans="1:17" x14ac:dyDescent="0.3">
      <c r="A1390" t="s">
        <v>1451</v>
      </c>
      <c r="B1390" s="1">
        <v>45818</v>
      </c>
      <c r="C1390" t="s">
        <v>48</v>
      </c>
      <c r="D1390" t="s">
        <v>25</v>
      </c>
      <c r="E1390" t="s">
        <v>27</v>
      </c>
      <c r="F1390" t="s">
        <v>28</v>
      </c>
      <c r="G1390">
        <v>1</v>
      </c>
      <c r="H1390">
        <v>4817.5600000000004</v>
      </c>
      <c r="I1390">
        <v>0.19</v>
      </c>
      <c r="J1390">
        <v>3902.22</v>
      </c>
      <c r="K1390">
        <f t="shared" si="63"/>
        <v>4817.5600000000004</v>
      </c>
      <c r="L1390">
        <f t="shared" si="64"/>
        <v>915.3400000000006</v>
      </c>
      <c r="M1390">
        <f t="shared" si="65"/>
        <v>3902.22</v>
      </c>
      <c r="N1390" t="s">
        <v>58</v>
      </c>
      <c r="O1390" t="s">
        <v>34</v>
      </c>
      <c r="P1390" t="s">
        <v>54</v>
      </c>
      <c r="Q1390" t="s">
        <v>22</v>
      </c>
    </row>
    <row r="1391" spans="1:17" x14ac:dyDescent="0.3">
      <c r="A1391" t="s">
        <v>1452</v>
      </c>
      <c r="B1391" s="1">
        <v>45755</v>
      </c>
      <c r="C1391" t="s">
        <v>52</v>
      </c>
      <c r="D1391" t="s">
        <v>16</v>
      </c>
      <c r="E1391" t="s">
        <v>17</v>
      </c>
      <c r="F1391" t="s">
        <v>18</v>
      </c>
      <c r="G1391">
        <v>4</v>
      </c>
      <c r="H1391">
        <v>3770.36</v>
      </c>
      <c r="I1391">
        <v>0.06</v>
      </c>
      <c r="J1391">
        <v>14176.55</v>
      </c>
      <c r="K1391">
        <f t="shared" si="63"/>
        <v>15081.44</v>
      </c>
      <c r="L1391">
        <f t="shared" si="64"/>
        <v>904.89000000000124</v>
      </c>
      <c r="M1391">
        <f t="shared" si="65"/>
        <v>14176.55</v>
      </c>
      <c r="N1391" t="s">
        <v>58</v>
      </c>
      <c r="O1391" t="s">
        <v>34</v>
      </c>
      <c r="P1391" t="s">
        <v>30</v>
      </c>
      <c r="Q1391" t="s">
        <v>22</v>
      </c>
    </row>
    <row r="1392" spans="1:17" x14ac:dyDescent="0.3">
      <c r="A1392" t="s">
        <v>1453</v>
      </c>
      <c r="B1392" s="1">
        <v>45677</v>
      </c>
      <c r="C1392" t="s">
        <v>52</v>
      </c>
      <c r="D1392" t="s">
        <v>16</v>
      </c>
      <c r="E1392" t="s">
        <v>27</v>
      </c>
      <c r="F1392" t="s">
        <v>87</v>
      </c>
      <c r="G1392">
        <v>1</v>
      </c>
      <c r="H1392">
        <v>150.44</v>
      </c>
      <c r="I1392">
        <v>0.03</v>
      </c>
      <c r="J1392">
        <v>145.93</v>
      </c>
      <c r="K1392">
        <f t="shared" si="63"/>
        <v>150.44</v>
      </c>
      <c r="L1392">
        <f t="shared" si="64"/>
        <v>4.5099999999999909</v>
      </c>
      <c r="M1392">
        <f t="shared" si="65"/>
        <v>145.93</v>
      </c>
      <c r="N1392" t="s">
        <v>33</v>
      </c>
      <c r="O1392" t="s">
        <v>34</v>
      </c>
      <c r="P1392" t="s">
        <v>21</v>
      </c>
      <c r="Q1392" t="s">
        <v>37</v>
      </c>
    </row>
    <row r="1393" spans="1:17" x14ac:dyDescent="0.3">
      <c r="A1393" t="s">
        <v>1454</v>
      </c>
      <c r="B1393" s="1">
        <v>45751</v>
      </c>
      <c r="C1393" t="s">
        <v>36</v>
      </c>
      <c r="D1393" t="s">
        <v>16</v>
      </c>
      <c r="E1393" t="s">
        <v>49</v>
      </c>
      <c r="F1393" t="s">
        <v>56</v>
      </c>
      <c r="G1393">
        <v>3</v>
      </c>
      <c r="H1393">
        <v>3515.94</v>
      </c>
      <c r="I1393">
        <v>0.1</v>
      </c>
      <c r="J1393">
        <v>9493.0400000000009</v>
      </c>
      <c r="K1393">
        <f t="shared" si="63"/>
        <v>10547.82</v>
      </c>
      <c r="L1393">
        <f t="shared" si="64"/>
        <v>1054.7799999999988</v>
      </c>
      <c r="M1393">
        <f t="shared" si="65"/>
        <v>9493.0400000000009</v>
      </c>
      <c r="N1393" t="s">
        <v>19</v>
      </c>
      <c r="O1393" t="s">
        <v>34</v>
      </c>
      <c r="P1393" t="s">
        <v>21</v>
      </c>
      <c r="Q1393" t="s">
        <v>22</v>
      </c>
    </row>
    <row r="1394" spans="1:17" x14ac:dyDescent="0.3">
      <c r="A1394" t="s">
        <v>1455</v>
      </c>
      <c r="B1394" s="1">
        <v>45727</v>
      </c>
      <c r="C1394" t="s">
        <v>52</v>
      </c>
      <c r="D1394" t="s">
        <v>16</v>
      </c>
      <c r="E1394" t="s">
        <v>17</v>
      </c>
      <c r="F1394" t="s">
        <v>40</v>
      </c>
      <c r="G1394">
        <v>2</v>
      </c>
      <c r="H1394">
        <v>295.10000000000002</v>
      </c>
      <c r="I1394">
        <v>0.15</v>
      </c>
      <c r="J1394">
        <v>501.67</v>
      </c>
      <c r="K1394">
        <f t="shared" si="63"/>
        <v>590.20000000000005</v>
      </c>
      <c r="L1394">
        <f t="shared" si="64"/>
        <v>88.53000000000003</v>
      </c>
      <c r="M1394">
        <f t="shared" si="65"/>
        <v>501.67</v>
      </c>
      <c r="N1394" t="s">
        <v>41</v>
      </c>
      <c r="O1394" t="s">
        <v>34</v>
      </c>
      <c r="P1394" t="s">
        <v>30</v>
      </c>
      <c r="Q1394" t="s">
        <v>22</v>
      </c>
    </row>
    <row r="1395" spans="1:17" x14ac:dyDescent="0.3">
      <c r="A1395" t="s">
        <v>1456</v>
      </c>
      <c r="B1395" s="1">
        <v>45739</v>
      </c>
      <c r="C1395" t="s">
        <v>48</v>
      </c>
      <c r="D1395" t="s">
        <v>43</v>
      </c>
      <c r="E1395" t="s">
        <v>17</v>
      </c>
      <c r="F1395" t="s">
        <v>44</v>
      </c>
      <c r="G1395">
        <v>1</v>
      </c>
      <c r="H1395">
        <v>1997.79</v>
      </c>
      <c r="I1395">
        <v>0.19</v>
      </c>
      <c r="J1395">
        <v>1618.21</v>
      </c>
      <c r="K1395">
        <f t="shared" si="63"/>
        <v>1997.79</v>
      </c>
      <c r="L1395">
        <f t="shared" si="64"/>
        <v>379.57999999999993</v>
      </c>
      <c r="M1395">
        <f t="shared" si="65"/>
        <v>1618.21</v>
      </c>
      <c r="N1395" t="s">
        <v>41</v>
      </c>
      <c r="O1395" t="s">
        <v>20</v>
      </c>
      <c r="P1395" t="s">
        <v>21</v>
      </c>
      <c r="Q1395" t="s">
        <v>88</v>
      </c>
    </row>
    <row r="1396" spans="1:17" x14ac:dyDescent="0.3">
      <c r="A1396" t="s">
        <v>1457</v>
      </c>
      <c r="B1396" s="1">
        <v>45724</v>
      </c>
      <c r="C1396" t="s">
        <v>52</v>
      </c>
      <c r="D1396" t="s">
        <v>16</v>
      </c>
      <c r="E1396" t="s">
        <v>17</v>
      </c>
      <c r="F1396" t="s">
        <v>32</v>
      </c>
      <c r="G1396">
        <v>5</v>
      </c>
      <c r="H1396">
        <v>4243.1400000000003</v>
      </c>
      <c r="I1396">
        <v>0.06</v>
      </c>
      <c r="J1396">
        <v>19942.759999999998</v>
      </c>
      <c r="K1396">
        <f t="shared" si="63"/>
        <v>21215.7</v>
      </c>
      <c r="L1396">
        <f t="shared" si="64"/>
        <v>1272.9400000000023</v>
      </c>
      <c r="M1396">
        <f t="shared" si="65"/>
        <v>19942.759999999998</v>
      </c>
      <c r="N1396" t="s">
        <v>19</v>
      </c>
      <c r="O1396" t="s">
        <v>34</v>
      </c>
      <c r="P1396" t="s">
        <v>30</v>
      </c>
      <c r="Q1396" t="s">
        <v>22</v>
      </c>
    </row>
    <row r="1397" spans="1:17" x14ac:dyDescent="0.3">
      <c r="A1397" t="s">
        <v>1458</v>
      </c>
      <c r="B1397" s="1">
        <v>45722</v>
      </c>
      <c r="C1397" t="s">
        <v>36</v>
      </c>
      <c r="D1397" t="s">
        <v>16</v>
      </c>
      <c r="E1397" t="s">
        <v>61</v>
      </c>
      <c r="F1397" t="s">
        <v>75</v>
      </c>
      <c r="G1397">
        <v>4</v>
      </c>
      <c r="H1397">
        <v>2531.11</v>
      </c>
      <c r="I1397">
        <v>0.2</v>
      </c>
      <c r="J1397">
        <v>8099.55</v>
      </c>
      <c r="K1397">
        <f t="shared" si="63"/>
        <v>10124.44</v>
      </c>
      <c r="L1397">
        <f t="shared" si="64"/>
        <v>2024.8900000000003</v>
      </c>
      <c r="M1397">
        <f t="shared" si="65"/>
        <v>8099.55</v>
      </c>
      <c r="N1397" t="s">
        <v>33</v>
      </c>
      <c r="O1397" t="s">
        <v>20</v>
      </c>
      <c r="P1397" t="s">
        <v>30</v>
      </c>
      <c r="Q1397" t="s">
        <v>22</v>
      </c>
    </row>
    <row r="1398" spans="1:17" x14ac:dyDescent="0.3">
      <c r="A1398" t="s">
        <v>1459</v>
      </c>
      <c r="B1398" s="1">
        <v>45790</v>
      </c>
      <c r="C1398" t="s">
        <v>48</v>
      </c>
      <c r="D1398" t="s">
        <v>16</v>
      </c>
      <c r="E1398" t="s">
        <v>99</v>
      </c>
      <c r="F1398" t="s">
        <v>120</v>
      </c>
      <c r="G1398">
        <v>3</v>
      </c>
      <c r="H1398">
        <v>2237.83</v>
      </c>
      <c r="I1398">
        <v>0.18</v>
      </c>
      <c r="J1398">
        <v>5505.06</v>
      </c>
      <c r="K1398">
        <f t="shared" si="63"/>
        <v>6713.49</v>
      </c>
      <c r="L1398">
        <f t="shared" si="64"/>
        <v>1208.4299999999994</v>
      </c>
      <c r="M1398">
        <f t="shared" si="65"/>
        <v>5505.06</v>
      </c>
      <c r="N1398" t="s">
        <v>41</v>
      </c>
      <c r="O1398" t="s">
        <v>20</v>
      </c>
      <c r="P1398" t="s">
        <v>54</v>
      </c>
      <c r="Q1398" t="s">
        <v>22</v>
      </c>
    </row>
    <row r="1399" spans="1:17" x14ac:dyDescent="0.3">
      <c r="A1399" t="s">
        <v>1460</v>
      </c>
      <c r="B1399" s="1">
        <v>45680</v>
      </c>
      <c r="C1399" t="s">
        <v>48</v>
      </c>
      <c r="D1399" t="s">
        <v>43</v>
      </c>
      <c r="E1399" t="s">
        <v>99</v>
      </c>
      <c r="F1399" t="s">
        <v>115</v>
      </c>
      <c r="G1399">
        <v>2</v>
      </c>
      <c r="H1399">
        <v>692.95</v>
      </c>
      <c r="I1399">
        <v>0.04</v>
      </c>
      <c r="J1399">
        <v>1330.46</v>
      </c>
      <c r="K1399">
        <f t="shared" si="63"/>
        <v>1385.9</v>
      </c>
      <c r="L1399">
        <f t="shared" si="64"/>
        <v>55.440000000000055</v>
      </c>
      <c r="M1399">
        <f t="shared" si="65"/>
        <v>1330.46</v>
      </c>
      <c r="N1399" t="s">
        <v>33</v>
      </c>
      <c r="O1399" t="s">
        <v>20</v>
      </c>
      <c r="P1399" t="s">
        <v>21</v>
      </c>
      <c r="Q1399" t="s">
        <v>22</v>
      </c>
    </row>
    <row r="1400" spans="1:17" x14ac:dyDescent="0.3">
      <c r="A1400" t="s">
        <v>1461</v>
      </c>
      <c r="B1400" s="1">
        <v>45826</v>
      </c>
      <c r="C1400" t="s">
        <v>36</v>
      </c>
      <c r="D1400" t="s">
        <v>25</v>
      </c>
      <c r="E1400" t="s">
        <v>49</v>
      </c>
      <c r="F1400" t="s">
        <v>53</v>
      </c>
      <c r="G1400">
        <v>1</v>
      </c>
      <c r="H1400">
        <v>4857.24</v>
      </c>
      <c r="I1400">
        <v>0.16</v>
      </c>
      <c r="J1400">
        <v>4080.08</v>
      </c>
      <c r="K1400">
        <f t="shared" si="63"/>
        <v>4857.24</v>
      </c>
      <c r="L1400">
        <f t="shared" si="64"/>
        <v>777.15999999999985</v>
      </c>
      <c r="M1400">
        <f t="shared" si="65"/>
        <v>4080.08</v>
      </c>
      <c r="N1400" t="s">
        <v>46</v>
      </c>
      <c r="O1400" t="s">
        <v>34</v>
      </c>
      <c r="P1400" t="s">
        <v>21</v>
      </c>
      <c r="Q1400" t="s">
        <v>22</v>
      </c>
    </row>
    <row r="1401" spans="1:17" x14ac:dyDescent="0.3">
      <c r="A1401" t="s">
        <v>1462</v>
      </c>
      <c r="B1401" s="1">
        <v>45691</v>
      </c>
      <c r="C1401" t="s">
        <v>52</v>
      </c>
      <c r="D1401" t="s">
        <v>16</v>
      </c>
      <c r="E1401" t="s">
        <v>17</v>
      </c>
      <c r="F1401" t="s">
        <v>44</v>
      </c>
      <c r="G1401">
        <v>2</v>
      </c>
      <c r="H1401">
        <v>3758.55</v>
      </c>
      <c r="I1401">
        <v>0.1</v>
      </c>
      <c r="J1401">
        <v>6765.39</v>
      </c>
      <c r="K1401">
        <f t="shared" si="63"/>
        <v>7517.1</v>
      </c>
      <c r="L1401">
        <f t="shared" si="64"/>
        <v>751.71</v>
      </c>
      <c r="M1401">
        <f t="shared" si="65"/>
        <v>6765.39</v>
      </c>
      <c r="N1401" t="s">
        <v>19</v>
      </c>
      <c r="O1401" t="s">
        <v>34</v>
      </c>
      <c r="P1401" t="s">
        <v>30</v>
      </c>
      <c r="Q1401" t="s">
        <v>22</v>
      </c>
    </row>
    <row r="1402" spans="1:17" x14ac:dyDescent="0.3">
      <c r="A1402" t="s">
        <v>1463</v>
      </c>
      <c r="B1402" s="1">
        <v>45724</v>
      </c>
      <c r="C1402" t="s">
        <v>36</v>
      </c>
      <c r="D1402" t="s">
        <v>39</v>
      </c>
      <c r="E1402" t="s">
        <v>17</v>
      </c>
      <c r="F1402" t="s">
        <v>18</v>
      </c>
      <c r="G1402">
        <v>5</v>
      </c>
      <c r="H1402">
        <v>143.4</v>
      </c>
      <c r="I1402">
        <v>0.22</v>
      </c>
      <c r="J1402">
        <v>559.26</v>
      </c>
      <c r="K1402">
        <f t="shared" si="63"/>
        <v>717</v>
      </c>
      <c r="L1402">
        <f t="shared" si="64"/>
        <v>157.74</v>
      </c>
      <c r="M1402">
        <f t="shared" si="65"/>
        <v>559.26</v>
      </c>
      <c r="N1402" t="s">
        <v>46</v>
      </c>
      <c r="O1402" t="s">
        <v>29</v>
      </c>
      <c r="P1402" t="s">
        <v>54</v>
      </c>
      <c r="Q1402" t="s">
        <v>37</v>
      </c>
    </row>
    <row r="1403" spans="1:17" x14ac:dyDescent="0.3">
      <c r="A1403" t="s">
        <v>1464</v>
      </c>
      <c r="B1403" s="1">
        <v>45739</v>
      </c>
      <c r="C1403" t="s">
        <v>52</v>
      </c>
      <c r="D1403" t="s">
        <v>16</v>
      </c>
      <c r="E1403" t="s">
        <v>49</v>
      </c>
      <c r="F1403" t="s">
        <v>73</v>
      </c>
      <c r="G1403">
        <v>4</v>
      </c>
      <c r="H1403">
        <v>1149.2</v>
      </c>
      <c r="I1403">
        <v>0.04</v>
      </c>
      <c r="J1403">
        <v>4412.93</v>
      </c>
      <c r="K1403">
        <f t="shared" si="63"/>
        <v>4596.8</v>
      </c>
      <c r="L1403">
        <f t="shared" si="64"/>
        <v>183.86999999999989</v>
      </c>
      <c r="M1403">
        <f t="shared" si="65"/>
        <v>4412.93</v>
      </c>
      <c r="N1403" t="s">
        <v>41</v>
      </c>
      <c r="O1403" t="s">
        <v>34</v>
      </c>
      <c r="P1403" t="s">
        <v>21</v>
      </c>
      <c r="Q1403" t="s">
        <v>22</v>
      </c>
    </row>
    <row r="1404" spans="1:17" x14ac:dyDescent="0.3">
      <c r="A1404" t="s">
        <v>1465</v>
      </c>
      <c r="B1404" s="1">
        <v>45794</v>
      </c>
      <c r="C1404" t="s">
        <v>24</v>
      </c>
      <c r="D1404" t="s">
        <v>39</v>
      </c>
      <c r="E1404" t="s">
        <v>61</v>
      </c>
      <c r="F1404" t="s">
        <v>75</v>
      </c>
      <c r="G1404">
        <v>1</v>
      </c>
      <c r="H1404">
        <v>2874.17</v>
      </c>
      <c r="I1404">
        <v>0.06</v>
      </c>
      <c r="J1404">
        <v>2701.72</v>
      </c>
      <c r="K1404">
        <f t="shared" si="63"/>
        <v>2874.17</v>
      </c>
      <c r="L1404">
        <f t="shared" si="64"/>
        <v>172.45000000000027</v>
      </c>
      <c r="M1404">
        <f t="shared" si="65"/>
        <v>2701.72</v>
      </c>
      <c r="N1404" t="s">
        <v>41</v>
      </c>
      <c r="O1404" t="s">
        <v>29</v>
      </c>
      <c r="P1404" t="s">
        <v>30</v>
      </c>
      <c r="Q1404" t="s">
        <v>37</v>
      </c>
    </row>
    <row r="1405" spans="1:17" x14ac:dyDescent="0.3">
      <c r="A1405" t="s">
        <v>1466</v>
      </c>
      <c r="B1405" s="1">
        <v>45756</v>
      </c>
      <c r="C1405" t="s">
        <v>24</v>
      </c>
      <c r="D1405" t="s">
        <v>39</v>
      </c>
      <c r="E1405" t="s">
        <v>99</v>
      </c>
      <c r="F1405" t="s">
        <v>115</v>
      </c>
      <c r="G1405">
        <v>3</v>
      </c>
      <c r="H1405">
        <v>3925.1</v>
      </c>
      <c r="I1405">
        <v>0.01</v>
      </c>
      <c r="J1405">
        <v>11657.55</v>
      </c>
      <c r="K1405">
        <f t="shared" si="63"/>
        <v>11775.3</v>
      </c>
      <c r="L1405">
        <f t="shared" si="64"/>
        <v>117.75</v>
      </c>
      <c r="M1405">
        <f t="shared" si="65"/>
        <v>11657.55</v>
      </c>
      <c r="N1405" t="s">
        <v>41</v>
      </c>
      <c r="O1405" t="s">
        <v>20</v>
      </c>
      <c r="P1405" t="s">
        <v>21</v>
      </c>
      <c r="Q1405" t="s">
        <v>22</v>
      </c>
    </row>
    <row r="1406" spans="1:17" x14ac:dyDescent="0.3">
      <c r="A1406" t="s">
        <v>1467</v>
      </c>
      <c r="B1406" s="1">
        <v>45715</v>
      </c>
      <c r="C1406" t="s">
        <v>52</v>
      </c>
      <c r="D1406" t="s">
        <v>43</v>
      </c>
      <c r="E1406" t="s">
        <v>27</v>
      </c>
      <c r="F1406" t="s">
        <v>68</v>
      </c>
      <c r="G1406">
        <v>5</v>
      </c>
      <c r="H1406">
        <v>4454.8500000000004</v>
      </c>
      <c r="I1406">
        <v>0.16</v>
      </c>
      <c r="J1406">
        <v>18710.37</v>
      </c>
      <c r="K1406">
        <f t="shared" si="63"/>
        <v>22274.25</v>
      </c>
      <c r="L1406">
        <f t="shared" si="64"/>
        <v>3563.880000000001</v>
      </c>
      <c r="M1406">
        <f t="shared" si="65"/>
        <v>18710.37</v>
      </c>
      <c r="N1406" t="s">
        <v>41</v>
      </c>
      <c r="O1406" t="s">
        <v>29</v>
      </c>
      <c r="P1406" t="s">
        <v>21</v>
      </c>
      <c r="Q1406" t="s">
        <v>22</v>
      </c>
    </row>
    <row r="1407" spans="1:17" x14ac:dyDescent="0.3">
      <c r="A1407" t="s">
        <v>1468</v>
      </c>
      <c r="B1407" s="1">
        <v>45788</v>
      </c>
      <c r="C1407" t="s">
        <v>48</v>
      </c>
      <c r="D1407" t="s">
        <v>43</v>
      </c>
      <c r="E1407" t="s">
        <v>27</v>
      </c>
      <c r="F1407" t="s">
        <v>28</v>
      </c>
      <c r="G1407">
        <v>5</v>
      </c>
      <c r="H1407">
        <v>251.48</v>
      </c>
      <c r="I1407">
        <v>0.02</v>
      </c>
      <c r="J1407">
        <v>1232.25</v>
      </c>
      <c r="K1407">
        <f t="shared" si="63"/>
        <v>1257.3999999999999</v>
      </c>
      <c r="L1407">
        <f t="shared" si="64"/>
        <v>25.149999999999864</v>
      </c>
      <c r="M1407">
        <f t="shared" si="65"/>
        <v>1232.25</v>
      </c>
      <c r="N1407" t="s">
        <v>58</v>
      </c>
      <c r="O1407" t="s">
        <v>34</v>
      </c>
      <c r="P1407" t="s">
        <v>54</v>
      </c>
      <c r="Q1407" t="s">
        <v>88</v>
      </c>
    </row>
    <row r="1408" spans="1:17" x14ac:dyDescent="0.3">
      <c r="A1408" t="s">
        <v>1469</v>
      </c>
      <c r="B1408" s="1">
        <v>45737</v>
      </c>
      <c r="C1408" t="s">
        <v>15</v>
      </c>
      <c r="D1408" t="s">
        <v>39</v>
      </c>
      <c r="E1408" t="s">
        <v>17</v>
      </c>
      <c r="F1408" t="s">
        <v>32</v>
      </c>
      <c r="G1408">
        <v>4</v>
      </c>
      <c r="H1408">
        <v>3285.82</v>
      </c>
      <c r="I1408">
        <v>0.25</v>
      </c>
      <c r="J1408">
        <v>9857.4599999999991</v>
      </c>
      <c r="K1408">
        <f t="shared" si="63"/>
        <v>13143.28</v>
      </c>
      <c r="L1408">
        <f t="shared" si="64"/>
        <v>3285.8200000000015</v>
      </c>
      <c r="M1408">
        <f t="shared" si="65"/>
        <v>9857.4599999999991</v>
      </c>
      <c r="N1408" t="s">
        <v>41</v>
      </c>
      <c r="O1408" t="s">
        <v>34</v>
      </c>
      <c r="P1408" t="s">
        <v>30</v>
      </c>
      <c r="Q1408" t="s">
        <v>88</v>
      </c>
    </row>
    <row r="1409" spans="1:17" x14ac:dyDescent="0.3">
      <c r="A1409" t="s">
        <v>1470</v>
      </c>
      <c r="B1409" s="1">
        <v>45817</v>
      </c>
      <c r="C1409" t="s">
        <v>15</v>
      </c>
      <c r="D1409" t="s">
        <v>43</v>
      </c>
      <c r="E1409" t="s">
        <v>27</v>
      </c>
      <c r="F1409" t="s">
        <v>28</v>
      </c>
      <c r="G1409">
        <v>4</v>
      </c>
      <c r="H1409">
        <v>1991.86</v>
      </c>
      <c r="I1409">
        <v>0.22</v>
      </c>
      <c r="J1409">
        <v>6214.6</v>
      </c>
      <c r="K1409">
        <f t="shared" si="63"/>
        <v>7967.44</v>
      </c>
      <c r="L1409">
        <f t="shared" si="64"/>
        <v>1752.8399999999992</v>
      </c>
      <c r="M1409">
        <f t="shared" si="65"/>
        <v>6214.6</v>
      </c>
      <c r="N1409" t="s">
        <v>41</v>
      </c>
      <c r="O1409" t="s">
        <v>29</v>
      </c>
      <c r="P1409" t="s">
        <v>21</v>
      </c>
      <c r="Q1409" t="s">
        <v>22</v>
      </c>
    </row>
    <row r="1410" spans="1:17" x14ac:dyDescent="0.3">
      <c r="A1410" t="s">
        <v>1471</v>
      </c>
      <c r="B1410" s="1">
        <v>45807</v>
      </c>
      <c r="C1410" t="s">
        <v>15</v>
      </c>
      <c r="D1410" t="s">
        <v>39</v>
      </c>
      <c r="E1410" t="s">
        <v>17</v>
      </c>
      <c r="F1410" t="s">
        <v>40</v>
      </c>
      <c r="G1410">
        <v>5</v>
      </c>
      <c r="H1410">
        <v>3193.69</v>
      </c>
      <c r="I1410">
        <v>0.06</v>
      </c>
      <c r="J1410">
        <v>15010.34</v>
      </c>
      <c r="K1410">
        <f t="shared" si="63"/>
        <v>15968.45</v>
      </c>
      <c r="L1410">
        <f t="shared" si="64"/>
        <v>958.11000000000058</v>
      </c>
      <c r="M1410">
        <f t="shared" si="65"/>
        <v>15010.34</v>
      </c>
      <c r="N1410" t="s">
        <v>33</v>
      </c>
      <c r="O1410" t="s">
        <v>29</v>
      </c>
      <c r="P1410" t="s">
        <v>30</v>
      </c>
      <c r="Q1410" t="s">
        <v>37</v>
      </c>
    </row>
    <row r="1411" spans="1:17" x14ac:dyDescent="0.3">
      <c r="A1411" t="s">
        <v>1472</v>
      </c>
      <c r="B1411" s="1">
        <v>45766</v>
      </c>
      <c r="C1411" t="s">
        <v>15</v>
      </c>
      <c r="D1411" t="s">
        <v>39</v>
      </c>
      <c r="E1411" t="s">
        <v>27</v>
      </c>
      <c r="F1411" t="s">
        <v>68</v>
      </c>
      <c r="G1411">
        <v>5</v>
      </c>
      <c r="H1411">
        <v>1037.21</v>
      </c>
      <c r="I1411">
        <v>0.24</v>
      </c>
      <c r="J1411">
        <v>3941.4</v>
      </c>
      <c r="K1411">
        <f t="shared" ref="K1411:K1474" si="66">G1411*H1411</f>
        <v>5186.05</v>
      </c>
      <c r="L1411">
        <f t="shared" ref="L1411:L1474" si="67">K1411-J1411</f>
        <v>1244.6500000000001</v>
      </c>
      <c r="M1411">
        <f t="shared" ref="M1411:M1474" si="68">K1411-L1411</f>
        <v>3941.4</v>
      </c>
      <c r="N1411" t="s">
        <v>46</v>
      </c>
      <c r="O1411" t="s">
        <v>20</v>
      </c>
      <c r="P1411" t="s">
        <v>54</v>
      </c>
      <c r="Q1411" t="s">
        <v>22</v>
      </c>
    </row>
    <row r="1412" spans="1:17" x14ac:dyDescent="0.3">
      <c r="A1412" t="s">
        <v>1473</v>
      </c>
      <c r="B1412" s="1">
        <v>45667</v>
      </c>
      <c r="C1412" t="s">
        <v>15</v>
      </c>
      <c r="D1412" t="s">
        <v>39</v>
      </c>
      <c r="E1412" t="s">
        <v>49</v>
      </c>
      <c r="F1412" t="s">
        <v>53</v>
      </c>
      <c r="G1412">
        <v>2</v>
      </c>
      <c r="H1412">
        <v>3864.74</v>
      </c>
      <c r="I1412">
        <v>0.22</v>
      </c>
      <c r="J1412">
        <v>6028.99</v>
      </c>
      <c r="K1412">
        <f t="shared" si="66"/>
        <v>7729.48</v>
      </c>
      <c r="L1412">
        <f t="shared" si="67"/>
        <v>1700.4899999999998</v>
      </c>
      <c r="M1412">
        <f t="shared" si="68"/>
        <v>6028.99</v>
      </c>
      <c r="N1412" t="s">
        <v>33</v>
      </c>
      <c r="O1412" t="s">
        <v>34</v>
      </c>
      <c r="P1412" t="s">
        <v>54</v>
      </c>
      <c r="Q1412" t="s">
        <v>22</v>
      </c>
    </row>
    <row r="1413" spans="1:17" x14ac:dyDescent="0.3">
      <c r="A1413" t="s">
        <v>1474</v>
      </c>
      <c r="B1413" s="1">
        <v>45748</v>
      </c>
      <c r="C1413" t="s">
        <v>52</v>
      </c>
      <c r="D1413" t="s">
        <v>43</v>
      </c>
      <c r="E1413" t="s">
        <v>99</v>
      </c>
      <c r="F1413" t="s">
        <v>111</v>
      </c>
      <c r="G1413">
        <v>5</v>
      </c>
      <c r="H1413">
        <v>949.74</v>
      </c>
      <c r="I1413">
        <v>0.18</v>
      </c>
      <c r="J1413">
        <v>3893.93</v>
      </c>
      <c r="K1413">
        <f t="shared" si="66"/>
        <v>4748.7</v>
      </c>
      <c r="L1413">
        <f t="shared" si="67"/>
        <v>854.77</v>
      </c>
      <c r="M1413">
        <f t="shared" si="68"/>
        <v>3893.93</v>
      </c>
      <c r="N1413" t="s">
        <v>41</v>
      </c>
      <c r="O1413" t="s">
        <v>29</v>
      </c>
      <c r="P1413" t="s">
        <v>30</v>
      </c>
      <c r="Q1413" t="s">
        <v>22</v>
      </c>
    </row>
    <row r="1414" spans="1:17" x14ac:dyDescent="0.3">
      <c r="A1414" t="s">
        <v>1475</v>
      </c>
      <c r="B1414" s="1">
        <v>45677</v>
      </c>
      <c r="C1414" t="s">
        <v>48</v>
      </c>
      <c r="D1414" t="s">
        <v>25</v>
      </c>
      <c r="E1414" t="s">
        <v>99</v>
      </c>
      <c r="F1414" t="s">
        <v>100</v>
      </c>
      <c r="G1414">
        <v>4</v>
      </c>
      <c r="H1414">
        <v>2473.2800000000002</v>
      </c>
      <c r="I1414">
        <v>7.0000000000000007E-2</v>
      </c>
      <c r="J1414">
        <v>9200.6</v>
      </c>
      <c r="K1414">
        <f t="shared" si="66"/>
        <v>9893.1200000000008</v>
      </c>
      <c r="L1414">
        <f t="shared" si="67"/>
        <v>692.52000000000044</v>
      </c>
      <c r="M1414">
        <f t="shared" si="68"/>
        <v>9200.6</v>
      </c>
      <c r="N1414" t="s">
        <v>46</v>
      </c>
      <c r="O1414" t="s">
        <v>20</v>
      </c>
      <c r="P1414" t="s">
        <v>21</v>
      </c>
      <c r="Q1414" t="s">
        <v>22</v>
      </c>
    </row>
    <row r="1415" spans="1:17" x14ac:dyDescent="0.3">
      <c r="A1415" t="s">
        <v>1476</v>
      </c>
      <c r="B1415" s="1">
        <v>45721</v>
      </c>
      <c r="C1415" t="s">
        <v>36</v>
      </c>
      <c r="D1415" t="s">
        <v>16</v>
      </c>
      <c r="E1415" t="s">
        <v>61</v>
      </c>
      <c r="F1415" t="s">
        <v>66</v>
      </c>
      <c r="G1415">
        <v>1</v>
      </c>
      <c r="H1415">
        <v>4835.92</v>
      </c>
      <c r="I1415">
        <v>0.2</v>
      </c>
      <c r="J1415">
        <v>3868.74</v>
      </c>
      <c r="K1415">
        <f t="shared" si="66"/>
        <v>4835.92</v>
      </c>
      <c r="L1415">
        <f t="shared" si="67"/>
        <v>967.18000000000029</v>
      </c>
      <c r="M1415">
        <f t="shared" si="68"/>
        <v>3868.74</v>
      </c>
      <c r="N1415" t="s">
        <v>58</v>
      </c>
      <c r="O1415" t="s">
        <v>34</v>
      </c>
      <c r="P1415" t="s">
        <v>30</v>
      </c>
      <c r="Q1415" t="s">
        <v>22</v>
      </c>
    </row>
    <row r="1416" spans="1:17" x14ac:dyDescent="0.3">
      <c r="A1416" t="s">
        <v>1477</v>
      </c>
      <c r="B1416" s="1">
        <v>45709</v>
      </c>
      <c r="C1416" t="s">
        <v>48</v>
      </c>
      <c r="D1416" t="s">
        <v>16</v>
      </c>
      <c r="E1416" t="s">
        <v>99</v>
      </c>
      <c r="F1416" t="s">
        <v>115</v>
      </c>
      <c r="G1416">
        <v>3</v>
      </c>
      <c r="H1416">
        <v>2604.48</v>
      </c>
      <c r="I1416">
        <v>0.11</v>
      </c>
      <c r="J1416">
        <v>6953.96</v>
      </c>
      <c r="K1416">
        <f t="shared" si="66"/>
        <v>7813.4400000000005</v>
      </c>
      <c r="L1416">
        <f t="shared" si="67"/>
        <v>859.48000000000047</v>
      </c>
      <c r="M1416">
        <f t="shared" si="68"/>
        <v>6953.96</v>
      </c>
      <c r="N1416" t="s">
        <v>33</v>
      </c>
      <c r="O1416" t="s">
        <v>29</v>
      </c>
      <c r="P1416" t="s">
        <v>30</v>
      </c>
      <c r="Q1416" t="s">
        <v>59</v>
      </c>
    </row>
    <row r="1417" spans="1:17" x14ac:dyDescent="0.3">
      <c r="A1417" t="s">
        <v>1478</v>
      </c>
      <c r="B1417" s="1">
        <v>45722</v>
      </c>
      <c r="C1417" t="s">
        <v>48</v>
      </c>
      <c r="D1417" t="s">
        <v>16</v>
      </c>
      <c r="E1417" t="s">
        <v>49</v>
      </c>
      <c r="F1417" t="s">
        <v>56</v>
      </c>
      <c r="G1417">
        <v>3</v>
      </c>
      <c r="H1417">
        <v>685.28</v>
      </c>
      <c r="I1417">
        <v>0.05</v>
      </c>
      <c r="J1417">
        <v>1953.05</v>
      </c>
      <c r="K1417">
        <f t="shared" si="66"/>
        <v>2055.84</v>
      </c>
      <c r="L1417">
        <f t="shared" si="67"/>
        <v>102.79000000000019</v>
      </c>
      <c r="M1417">
        <f t="shared" si="68"/>
        <v>1953.05</v>
      </c>
      <c r="N1417" t="s">
        <v>41</v>
      </c>
      <c r="O1417" t="s">
        <v>34</v>
      </c>
      <c r="P1417" t="s">
        <v>30</v>
      </c>
      <c r="Q1417" t="s">
        <v>22</v>
      </c>
    </row>
    <row r="1418" spans="1:17" x14ac:dyDescent="0.3">
      <c r="A1418" t="s">
        <v>1479</v>
      </c>
      <c r="B1418" s="1">
        <v>45682</v>
      </c>
      <c r="C1418" t="s">
        <v>24</v>
      </c>
      <c r="D1418" t="s">
        <v>25</v>
      </c>
      <c r="E1418" t="s">
        <v>17</v>
      </c>
      <c r="F1418" t="s">
        <v>32</v>
      </c>
      <c r="G1418">
        <v>3</v>
      </c>
      <c r="H1418">
        <v>724.37</v>
      </c>
      <c r="I1418">
        <v>0.02</v>
      </c>
      <c r="J1418">
        <v>2129.65</v>
      </c>
      <c r="K1418">
        <f t="shared" si="66"/>
        <v>2173.11</v>
      </c>
      <c r="L1418">
        <f t="shared" si="67"/>
        <v>43.460000000000036</v>
      </c>
      <c r="M1418">
        <f t="shared" si="68"/>
        <v>2129.65</v>
      </c>
      <c r="N1418" t="s">
        <v>33</v>
      </c>
      <c r="O1418" t="s">
        <v>29</v>
      </c>
      <c r="P1418" t="s">
        <v>21</v>
      </c>
      <c r="Q1418" t="s">
        <v>22</v>
      </c>
    </row>
    <row r="1419" spans="1:17" x14ac:dyDescent="0.3">
      <c r="A1419" t="s">
        <v>1480</v>
      </c>
      <c r="B1419" s="1">
        <v>45810</v>
      </c>
      <c r="C1419" t="s">
        <v>24</v>
      </c>
      <c r="D1419" t="s">
        <v>43</v>
      </c>
      <c r="E1419" t="s">
        <v>27</v>
      </c>
      <c r="F1419" t="s">
        <v>79</v>
      </c>
      <c r="G1419">
        <v>5</v>
      </c>
      <c r="H1419">
        <v>3625.9</v>
      </c>
      <c r="I1419">
        <v>7.0000000000000007E-2</v>
      </c>
      <c r="J1419">
        <v>16860.43</v>
      </c>
      <c r="K1419">
        <f t="shared" si="66"/>
        <v>18129.5</v>
      </c>
      <c r="L1419">
        <f t="shared" si="67"/>
        <v>1269.0699999999997</v>
      </c>
      <c r="M1419">
        <f t="shared" si="68"/>
        <v>16860.43</v>
      </c>
      <c r="N1419" t="s">
        <v>58</v>
      </c>
      <c r="O1419" t="s">
        <v>34</v>
      </c>
      <c r="P1419" t="s">
        <v>54</v>
      </c>
      <c r="Q1419" t="s">
        <v>22</v>
      </c>
    </row>
    <row r="1420" spans="1:17" x14ac:dyDescent="0.3">
      <c r="A1420" t="s">
        <v>1481</v>
      </c>
      <c r="B1420" s="1">
        <v>45738</v>
      </c>
      <c r="C1420" t="s">
        <v>36</v>
      </c>
      <c r="D1420" t="s">
        <v>43</v>
      </c>
      <c r="E1420" t="s">
        <v>27</v>
      </c>
      <c r="F1420" t="s">
        <v>28</v>
      </c>
      <c r="G1420">
        <v>2</v>
      </c>
      <c r="H1420">
        <v>212.47</v>
      </c>
      <c r="I1420">
        <v>0.15</v>
      </c>
      <c r="J1420">
        <v>361.2</v>
      </c>
      <c r="K1420">
        <f t="shared" si="66"/>
        <v>424.94</v>
      </c>
      <c r="L1420">
        <f t="shared" si="67"/>
        <v>63.740000000000009</v>
      </c>
      <c r="M1420">
        <f t="shared" si="68"/>
        <v>361.2</v>
      </c>
      <c r="N1420" t="s">
        <v>46</v>
      </c>
      <c r="O1420" t="s">
        <v>20</v>
      </c>
      <c r="P1420" t="s">
        <v>54</v>
      </c>
      <c r="Q1420" t="s">
        <v>88</v>
      </c>
    </row>
    <row r="1421" spans="1:17" x14ac:dyDescent="0.3">
      <c r="A1421" t="s">
        <v>1482</v>
      </c>
      <c r="B1421" s="1">
        <v>45827</v>
      </c>
      <c r="C1421" t="s">
        <v>36</v>
      </c>
      <c r="D1421" t="s">
        <v>25</v>
      </c>
      <c r="E1421" t="s">
        <v>49</v>
      </c>
      <c r="F1421" t="s">
        <v>73</v>
      </c>
      <c r="G1421">
        <v>2</v>
      </c>
      <c r="H1421">
        <v>546.77</v>
      </c>
      <c r="I1421">
        <v>0.19</v>
      </c>
      <c r="J1421">
        <v>885.77</v>
      </c>
      <c r="K1421">
        <f t="shared" si="66"/>
        <v>1093.54</v>
      </c>
      <c r="L1421">
        <f t="shared" si="67"/>
        <v>207.76999999999998</v>
      </c>
      <c r="M1421">
        <f t="shared" si="68"/>
        <v>885.77</v>
      </c>
      <c r="N1421" t="s">
        <v>33</v>
      </c>
      <c r="O1421" t="s">
        <v>20</v>
      </c>
      <c r="P1421" t="s">
        <v>30</v>
      </c>
      <c r="Q1421" t="s">
        <v>22</v>
      </c>
    </row>
    <row r="1422" spans="1:17" x14ac:dyDescent="0.3">
      <c r="A1422" t="s">
        <v>1483</v>
      </c>
      <c r="B1422" s="1">
        <v>45759</v>
      </c>
      <c r="C1422" t="s">
        <v>52</v>
      </c>
      <c r="D1422" t="s">
        <v>39</v>
      </c>
      <c r="E1422" t="s">
        <v>61</v>
      </c>
      <c r="F1422" t="s">
        <v>92</v>
      </c>
      <c r="G1422">
        <v>5</v>
      </c>
      <c r="H1422">
        <v>911.65</v>
      </c>
      <c r="I1422">
        <v>0.04</v>
      </c>
      <c r="J1422">
        <v>4375.92</v>
      </c>
      <c r="K1422">
        <f t="shared" si="66"/>
        <v>4558.25</v>
      </c>
      <c r="L1422">
        <f t="shared" si="67"/>
        <v>182.32999999999993</v>
      </c>
      <c r="M1422">
        <f t="shared" si="68"/>
        <v>4375.92</v>
      </c>
      <c r="N1422" t="s">
        <v>19</v>
      </c>
      <c r="O1422" t="s">
        <v>34</v>
      </c>
      <c r="P1422" t="s">
        <v>54</v>
      </c>
      <c r="Q1422" t="s">
        <v>22</v>
      </c>
    </row>
    <row r="1423" spans="1:17" x14ac:dyDescent="0.3">
      <c r="A1423" t="s">
        <v>1484</v>
      </c>
      <c r="B1423" s="1">
        <v>45820</v>
      </c>
      <c r="C1423" t="s">
        <v>48</v>
      </c>
      <c r="D1423" t="s">
        <v>25</v>
      </c>
      <c r="E1423" t="s">
        <v>61</v>
      </c>
      <c r="F1423" t="s">
        <v>66</v>
      </c>
      <c r="G1423">
        <v>4</v>
      </c>
      <c r="H1423">
        <v>2286.21</v>
      </c>
      <c r="I1423">
        <v>0.06</v>
      </c>
      <c r="J1423">
        <v>8596.15</v>
      </c>
      <c r="K1423">
        <f t="shared" si="66"/>
        <v>9144.84</v>
      </c>
      <c r="L1423">
        <f t="shared" si="67"/>
        <v>548.69000000000051</v>
      </c>
      <c r="M1423">
        <f t="shared" si="68"/>
        <v>8596.15</v>
      </c>
      <c r="N1423" t="s">
        <v>33</v>
      </c>
      <c r="O1423" t="s">
        <v>29</v>
      </c>
      <c r="P1423" t="s">
        <v>54</v>
      </c>
      <c r="Q1423" t="s">
        <v>22</v>
      </c>
    </row>
    <row r="1424" spans="1:17" x14ac:dyDescent="0.3">
      <c r="A1424" t="s">
        <v>1485</v>
      </c>
      <c r="B1424" s="1">
        <v>45660</v>
      </c>
      <c r="C1424" t="s">
        <v>48</v>
      </c>
      <c r="D1424" t="s">
        <v>25</v>
      </c>
      <c r="E1424" t="s">
        <v>49</v>
      </c>
      <c r="F1424" t="s">
        <v>73</v>
      </c>
      <c r="G1424">
        <v>1</v>
      </c>
      <c r="H1424">
        <v>2752.2</v>
      </c>
      <c r="I1424">
        <v>7.0000000000000007E-2</v>
      </c>
      <c r="J1424">
        <v>2559.5500000000002</v>
      </c>
      <c r="K1424">
        <f t="shared" si="66"/>
        <v>2752.2</v>
      </c>
      <c r="L1424">
        <f t="shared" si="67"/>
        <v>192.64999999999964</v>
      </c>
      <c r="M1424">
        <f t="shared" si="68"/>
        <v>2559.5500000000002</v>
      </c>
      <c r="N1424" t="s">
        <v>33</v>
      </c>
      <c r="O1424" t="s">
        <v>34</v>
      </c>
      <c r="P1424" t="s">
        <v>21</v>
      </c>
      <c r="Q1424" t="s">
        <v>22</v>
      </c>
    </row>
    <row r="1425" spans="1:17" x14ac:dyDescent="0.3">
      <c r="A1425" t="s">
        <v>1486</v>
      </c>
      <c r="B1425" s="1">
        <v>45787</v>
      </c>
      <c r="C1425" t="s">
        <v>15</v>
      </c>
      <c r="D1425" t="s">
        <v>43</v>
      </c>
      <c r="E1425" t="s">
        <v>27</v>
      </c>
      <c r="F1425" t="s">
        <v>28</v>
      </c>
      <c r="G1425">
        <v>5</v>
      </c>
      <c r="H1425">
        <v>3116.63</v>
      </c>
      <c r="I1425">
        <v>0.21</v>
      </c>
      <c r="J1425">
        <v>12310.69</v>
      </c>
      <c r="K1425">
        <f t="shared" si="66"/>
        <v>15583.150000000001</v>
      </c>
      <c r="L1425">
        <f t="shared" si="67"/>
        <v>3272.4600000000009</v>
      </c>
      <c r="M1425">
        <f t="shared" si="68"/>
        <v>12310.69</v>
      </c>
      <c r="N1425" t="s">
        <v>58</v>
      </c>
      <c r="O1425" t="s">
        <v>34</v>
      </c>
      <c r="P1425" t="s">
        <v>21</v>
      </c>
      <c r="Q1425" t="s">
        <v>22</v>
      </c>
    </row>
    <row r="1426" spans="1:17" x14ac:dyDescent="0.3">
      <c r="A1426" t="s">
        <v>1487</v>
      </c>
      <c r="B1426" s="1">
        <v>45828</v>
      </c>
      <c r="C1426" t="s">
        <v>52</v>
      </c>
      <c r="D1426" t="s">
        <v>39</v>
      </c>
      <c r="E1426" t="s">
        <v>17</v>
      </c>
      <c r="F1426" t="s">
        <v>40</v>
      </c>
      <c r="G1426">
        <v>2</v>
      </c>
      <c r="H1426">
        <v>1639.64</v>
      </c>
      <c r="I1426">
        <v>0.1</v>
      </c>
      <c r="J1426">
        <v>2951.35</v>
      </c>
      <c r="K1426">
        <f t="shared" si="66"/>
        <v>3279.28</v>
      </c>
      <c r="L1426">
        <f t="shared" si="67"/>
        <v>327.93000000000029</v>
      </c>
      <c r="M1426">
        <f t="shared" si="68"/>
        <v>2951.35</v>
      </c>
      <c r="N1426" t="s">
        <v>41</v>
      </c>
      <c r="O1426" t="s">
        <v>20</v>
      </c>
      <c r="P1426" t="s">
        <v>54</v>
      </c>
      <c r="Q1426" t="s">
        <v>37</v>
      </c>
    </row>
    <row r="1427" spans="1:17" x14ac:dyDescent="0.3">
      <c r="A1427" t="s">
        <v>1488</v>
      </c>
      <c r="B1427" s="1">
        <v>45765</v>
      </c>
      <c r="C1427" t="s">
        <v>24</v>
      </c>
      <c r="D1427" t="s">
        <v>39</v>
      </c>
      <c r="E1427" t="s">
        <v>49</v>
      </c>
      <c r="F1427" t="s">
        <v>50</v>
      </c>
      <c r="G1427">
        <v>1</v>
      </c>
      <c r="H1427">
        <v>2316</v>
      </c>
      <c r="I1427">
        <v>0.2</v>
      </c>
      <c r="J1427">
        <v>1852.8</v>
      </c>
      <c r="K1427">
        <f t="shared" si="66"/>
        <v>2316</v>
      </c>
      <c r="L1427">
        <f t="shared" si="67"/>
        <v>463.20000000000005</v>
      </c>
      <c r="M1427">
        <f t="shared" si="68"/>
        <v>1852.8</v>
      </c>
      <c r="N1427" t="s">
        <v>33</v>
      </c>
      <c r="O1427" t="s">
        <v>20</v>
      </c>
      <c r="P1427" t="s">
        <v>30</v>
      </c>
      <c r="Q1427" t="s">
        <v>22</v>
      </c>
    </row>
    <row r="1428" spans="1:17" x14ac:dyDescent="0.3">
      <c r="A1428" t="s">
        <v>1489</v>
      </c>
      <c r="B1428" s="1">
        <v>45749</v>
      </c>
      <c r="C1428" t="s">
        <v>48</v>
      </c>
      <c r="D1428" t="s">
        <v>39</v>
      </c>
      <c r="E1428" t="s">
        <v>17</v>
      </c>
      <c r="F1428" t="s">
        <v>40</v>
      </c>
      <c r="G1428">
        <v>1</v>
      </c>
      <c r="H1428">
        <v>2243.08</v>
      </c>
      <c r="I1428">
        <v>0.09</v>
      </c>
      <c r="J1428">
        <v>2041.2</v>
      </c>
      <c r="K1428">
        <f t="shared" si="66"/>
        <v>2243.08</v>
      </c>
      <c r="L1428">
        <f t="shared" si="67"/>
        <v>201.87999999999988</v>
      </c>
      <c r="M1428">
        <f t="shared" si="68"/>
        <v>2041.2</v>
      </c>
      <c r="N1428" t="s">
        <v>41</v>
      </c>
      <c r="O1428" t="s">
        <v>34</v>
      </c>
      <c r="P1428" t="s">
        <v>30</v>
      </c>
      <c r="Q1428" t="s">
        <v>37</v>
      </c>
    </row>
    <row r="1429" spans="1:17" x14ac:dyDescent="0.3">
      <c r="A1429" t="s">
        <v>1490</v>
      </c>
      <c r="B1429" s="1">
        <v>45740</v>
      </c>
      <c r="C1429" t="s">
        <v>52</v>
      </c>
      <c r="D1429" t="s">
        <v>16</v>
      </c>
      <c r="E1429" t="s">
        <v>99</v>
      </c>
      <c r="F1429" t="s">
        <v>115</v>
      </c>
      <c r="G1429">
        <v>5</v>
      </c>
      <c r="H1429">
        <v>3260.54</v>
      </c>
      <c r="I1429">
        <v>0.15</v>
      </c>
      <c r="J1429">
        <v>13857.3</v>
      </c>
      <c r="K1429">
        <f t="shared" si="66"/>
        <v>16302.7</v>
      </c>
      <c r="L1429">
        <f t="shared" si="67"/>
        <v>2445.4000000000015</v>
      </c>
      <c r="M1429">
        <f t="shared" si="68"/>
        <v>13857.3</v>
      </c>
      <c r="N1429" t="s">
        <v>19</v>
      </c>
      <c r="O1429" t="s">
        <v>20</v>
      </c>
      <c r="P1429" t="s">
        <v>54</v>
      </c>
      <c r="Q1429" t="s">
        <v>59</v>
      </c>
    </row>
    <row r="1430" spans="1:17" x14ac:dyDescent="0.3">
      <c r="A1430" t="s">
        <v>1491</v>
      </c>
      <c r="B1430" s="1">
        <v>45670</v>
      </c>
      <c r="C1430" t="s">
        <v>52</v>
      </c>
      <c r="D1430" t="s">
        <v>39</v>
      </c>
      <c r="E1430" t="s">
        <v>99</v>
      </c>
      <c r="F1430" t="s">
        <v>120</v>
      </c>
      <c r="G1430">
        <v>2</v>
      </c>
      <c r="H1430">
        <v>552.65</v>
      </c>
      <c r="I1430">
        <v>0.17</v>
      </c>
      <c r="J1430">
        <v>917.4</v>
      </c>
      <c r="K1430">
        <f t="shared" si="66"/>
        <v>1105.3</v>
      </c>
      <c r="L1430">
        <f t="shared" si="67"/>
        <v>187.89999999999998</v>
      </c>
      <c r="M1430">
        <f t="shared" si="68"/>
        <v>917.4</v>
      </c>
      <c r="N1430" t="s">
        <v>58</v>
      </c>
      <c r="O1430" t="s">
        <v>29</v>
      </c>
      <c r="P1430" t="s">
        <v>54</v>
      </c>
      <c r="Q1430" t="s">
        <v>22</v>
      </c>
    </row>
    <row r="1431" spans="1:17" x14ac:dyDescent="0.3">
      <c r="A1431" t="s">
        <v>1492</v>
      </c>
      <c r="B1431" s="1">
        <v>45696</v>
      </c>
      <c r="C1431" t="s">
        <v>52</v>
      </c>
      <c r="D1431" t="s">
        <v>25</v>
      </c>
      <c r="E1431" t="s">
        <v>99</v>
      </c>
      <c r="F1431" t="s">
        <v>115</v>
      </c>
      <c r="G1431">
        <v>4</v>
      </c>
      <c r="H1431">
        <v>1464.72</v>
      </c>
      <c r="I1431">
        <v>0.23</v>
      </c>
      <c r="J1431">
        <v>4511.34</v>
      </c>
      <c r="K1431">
        <f t="shared" si="66"/>
        <v>5858.88</v>
      </c>
      <c r="L1431">
        <f t="shared" si="67"/>
        <v>1347.54</v>
      </c>
      <c r="M1431">
        <f t="shared" si="68"/>
        <v>4511.34</v>
      </c>
      <c r="N1431" t="s">
        <v>46</v>
      </c>
      <c r="O1431" t="s">
        <v>20</v>
      </c>
      <c r="P1431" t="s">
        <v>54</v>
      </c>
      <c r="Q1431" t="s">
        <v>22</v>
      </c>
    </row>
    <row r="1432" spans="1:17" x14ac:dyDescent="0.3">
      <c r="A1432" t="s">
        <v>1493</v>
      </c>
      <c r="B1432" s="1">
        <v>45760</v>
      </c>
      <c r="C1432" t="s">
        <v>52</v>
      </c>
      <c r="D1432" t="s">
        <v>43</v>
      </c>
      <c r="E1432" t="s">
        <v>27</v>
      </c>
      <c r="F1432" t="s">
        <v>79</v>
      </c>
      <c r="G1432">
        <v>1</v>
      </c>
      <c r="H1432">
        <v>2905.78</v>
      </c>
      <c r="I1432">
        <v>0.2</v>
      </c>
      <c r="J1432">
        <v>2324.62</v>
      </c>
      <c r="K1432">
        <f t="shared" si="66"/>
        <v>2905.78</v>
      </c>
      <c r="L1432">
        <f t="shared" si="67"/>
        <v>581.16000000000031</v>
      </c>
      <c r="M1432">
        <f t="shared" si="68"/>
        <v>2324.62</v>
      </c>
      <c r="N1432" t="s">
        <v>58</v>
      </c>
      <c r="O1432" t="s">
        <v>29</v>
      </c>
      <c r="P1432" t="s">
        <v>21</v>
      </c>
      <c r="Q1432" t="s">
        <v>22</v>
      </c>
    </row>
    <row r="1433" spans="1:17" x14ac:dyDescent="0.3">
      <c r="A1433" t="s">
        <v>1494</v>
      </c>
      <c r="B1433" s="1">
        <v>45730</v>
      </c>
      <c r="C1433" t="s">
        <v>52</v>
      </c>
      <c r="D1433" t="s">
        <v>39</v>
      </c>
      <c r="E1433" t="s">
        <v>49</v>
      </c>
      <c r="F1433" t="s">
        <v>50</v>
      </c>
      <c r="G1433">
        <v>2</v>
      </c>
      <c r="H1433">
        <v>3052.91</v>
      </c>
      <c r="I1433">
        <v>0.02</v>
      </c>
      <c r="J1433">
        <v>5983.7</v>
      </c>
      <c r="K1433">
        <f t="shared" si="66"/>
        <v>6105.82</v>
      </c>
      <c r="L1433">
        <f t="shared" si="67"/>
        <v>122.11999999999989</v>
      </c>
      <c r="M1433">
        <f t="shared" si="68"/>
        <v>5983.7</v>
      </c>
      <c r="N1433" t="s">
        <v>19</v>
      </c>
      <c r="O1433" t="s">
        <v>20</v>
      </c>
      <c r="P1433" t="s">
        <v>54</v>
      </c>
      <c r="Q1433" t="s">
        <v>88</v>
      </c>
    </row>
    <row r="1434" spans="1:17" x14ac:dyDescent="0.3">
      <c r="A1434" t="s">
        <v>1495</v>
      </c>
      <c r="B1434" s="1">
        <v>45780</v>
      </c>
      <c r="C1434" t="s">
        <v>48</v>
      </c>
      <c r="D1434" t="s">
        <v>16</v>
      </c>
      <c r="E1434" t="s">
        <v>61</v>
      </c>
      <c r="F1434" t="s">
        <v>62</v>
      </c>
      <c r="G1434">
        <v>2</v>
      </c>
      <c r="H1434">
        <v>848.32</v>
      </c>
      <c r="I1434">
        <v>0.23</v>
      </c>
      <c r="J1434">
        <v>1306.4100000000001</v>
      </c>
      <c r="K1434">
        <f t="shared" si="66"/>
        <v>1696.64</v>
      </c>
      <c r="L1434">
        <f t="shared" si="67"/>
        <v>390.23</v>
      </c>
      <c r="M1434">
        <f t="shared" si="68"/>
        <v>1306.4100000000001</v>
      </c>
      <c r="N1434" t="s">
        <v>33</v>
      </c>
      <c r="O1434" t="s">
        <v>34</v>
      </c>
      <c r="P1434" t="s">
        <v>54</v>
      </c>
      <c r="Q1434" t="s">
        <v>22</v>
      </c>
    </row>
    <row r="1435" spans="1:17" x14ac:dyDescent="0.3">
      <c r="A1435" t="s">
        <v>1496</v>
      </c>
      <c r="B1435" s="1">
        <v>45806</v>
      </c>
      <c r="C1435" t="s">
        <v>36</v>
      </c>
      <c r="D1435" t="s">
        <v>16</v>
      </c>
      <c r="E1435" t="s">
        <v>61</v>
      </c>
      <c r="F1435" t="s">
        <v>66</v>
      </c>
      <c r="G1435">
        <v>5</v>
      </c>
      <c r="H1435">
        <v>4484.71</v>
      </c>
      <c r="I1435">
        <v>0.1</v>
      </c>
      <c r="J1435">
        <v>20181.189999999999</v>
      </c>
      <c r="K1435">
        <f t="shared" si="66"/>
        <v>22423.55</v>
      </c>
      <c r="L1435">
        <f t="shared" si="67"/>
        <v>2242.3600000000006</v>
      </c>
      <c r="M1435">
        <f t="shared" si="68"/>
        <v>20181.189999999999</v>
      </c>
      <c r="N1435" t="s">
        <v>58</v>
      </c>
      <c r="O1435" t="s">
        <v>29</v>
      </c>
      <c r="P1435" t="s">
        <v>54</v>
      </c>
      <c r="Q1435" t="s">
        <v>22</v>
      </c>
    </row>
    <row r="1436" spans="1:17" x14ac:dyDescent="0.3">
      <c r="A1436" t="s">
        <v>1497</v>
      </c>
      <c r="B1436" s="1">
        <v>45756</v>
      </c>
      <c r="C1436" t="s">
        <v>36</v>
      </c>
      <c r="D1436" t="s">
        <v>16</v>
      </c>
      <c r="E1436" t="s">
        <v>61</v>
      </c>
      <c r="F1436" t="s">
        <v>75</v>
      </c>
      <c r="G1436">
        <v>3</v>
      </c>
      <c r="H1436">
        <v>2365.79</v>
      </c>
      <c r="I1436">
        <v>0.11</v>
      </c>
      <c r="J1436">
        <v>6316.66</v>
      </c>
      <c r="K1436">
        <f t="shared" si="66"/>
        <v>7097.37</v>
      </c>
      <c r="L1436">
        <f t="shared" si="67"/>
        <v>780.71</v>
      </c>
      <c r="M1436">
        <f t="shared" si="68"/>
        <v>6316.66</v>
      </c>
      <c r="N1436" t="s">
        <v>46</v>
      </c>
      <c r="O1436" t="s">
        <v>29</v>
      </c>
      <c r="P1436" t="s">
        <v>21</v>
      </c>
      <c r="Q1436" t="s">
        <v>22</v>
      </c>
    </row>
    <row r="1437" spans="1:17" x14ac:dyDescent="0.3">
      <c r="A1437" t="s">
        <v>1498</v>
      </c>
      <c r="B1437" s="1">
        <v>45781</v>
      </c>
      <c r="C1437" t="s">
        <v>24</v>
      </c>
      <c r="D1437" t="s">
        <v>25</v>
      </c>
      <c r="E1437" t="s">
        <v>61</v>
      </c>
      <c r="F1437" t="s">
        <v>62</v>
      </c>
      <c r="G1437">
        <v>1</v>
      </c>
      <c r="H1437">
        <v>1507.29</v>
      </c>
      <c r="I1437">
        <v>0.13</v>
      </c>
      <c r="J1437">
        <v>1311.34</v>
      </c>
      <c r="K1437">
        <f t="shared" si="66"/>
        <v>1507.29</v>
      </c>
      <c r="L1437">
        <f t="shared" si="67"/>
        <v>195.95000000000005</v>
      </c>
      <c r="M1437">
        <f t="shared" si="68"/>
        <v>1311.34</v>
      </c>
      <c r="N1437" t="s">
        <v>41</v>
      </c>
      <c r="O1437" t="s">
        <v>20</v>
      </c>
      <c r="P1437" t="s">
        <v>30</v>
      </c>
      <c r="Q1437" t="s">
        <v>22</v>
      </c>
    </row>
    <row r="1438" spans="1:17" x14ac:dyDescent="0.3">
      <c r="A1438" t="s">
        <v>1499</v>
      </c>
      <c r="B1438" s="1">
        <v>45745</v>
      </c>
      <c r="C1438" t="s">
        <v>36</v>
      </c>
      <c r="D1438" t="s">
        <v>25</v>
      </c>
      <c r="E1438" t="s">
        <v>49</v>
      </c>
      <c r="F1438" t="s">
        <v>50</v>
      </c>
      <c r="G1438">
        <v>5</v>
      </c>
      <c r="H1438">
        <v>3619.94</v>
      </c>
      <c r="I1438">
        <v>0.19</v>
      </c>
      <c r="J1438">
        <v>14660.76</v>
      </c>
      <c r="K1438">
        <f t="shared" si="66"/>
        <v>18099.7</v>
      </c>
      <c r="L1438">
        <f t="shared" si="67"/>
        <v>3438.9400000000005</v>
      </c>
      <c r="M1438">
        <f t="shared" si="68"/>
        <v>14660.76</v>
      </c>
      <c r="N1438" t="s">
        <v>46</v>
      </c>
      <c r="O1438" t="s">
        <v>29</v>
      </c>
      <c r="P1438" t="s">
        <v>30</v>
      </c>
      <c r="Q1438" t="s">
        <v>22</v>
      </c>
    </row>
    <row r="1439" spans="1:17" x14ac:dyDescent="0.3">
      <c r="A1439" t="s">
        <v>1500</v>
      </c>
      <c r="B1439" s="1">
        <v>45807</v>
      </c>
      <c r="C1439" t="s">
        <v>24</v>
      </c>
      <c r="D1439" t="s">
        <v>25</v>
      </c>
      <c r="E1439" t="s">
        <v>49</v>
      </c>
      <c r="F1439" t="s">
        <v>73</v>
      </c>
      <c r="G1439">
        <v>5</v>
      </c>
      <c r="H1439">
        <v>4974.1000000000004</v>
      </c>
      <c r="I1439">
        <v>0.21</v>
      </c>
      <c r="J1439">
        <v>19647.689999999999</v>
      </c>
      <c r="K1439">
        <f t="shared" si="66"/>
        <v>24870.5</v>
      </c>
      <c r="L1439">
        <f t="shared" si="67"/>
        <v>5222.8100000000013</v>
      </c>
      <c r="M1439">
        <f t="shared" si="68"/>
        <v>19647.689999999999</v>
      </c>
      <c r="N1439" t="s">
        <v>19</v>
      </c>
      <c r="O1439" t="s">
        <v>20</v>
      </c>
      <c r="P1439" t="s">
        <v>54</v>
      </c>
      <c r="Q1439" t="s">
        <v>22</v>
      </c>
    </row>
    <row r="1440" spans="1:17" x14ac:dyDescent="0.3">
      <c r="A1440" t="s">
        <v>1501</v>
      </c>
      <c r="B1440" s="1">
        <v>45670</v>
      </c>
      <c r="C1440" t="s">
        <v>24</v>
      </c>
      <c r="D1440" t="s">
        <v>43</v>
      </c>
      <c r="E1440" t="s">
        <v>99</v>
      </c>
      <c r="F1440" t="s">
        <v>111</v>
      </c>
      <c r="G1440">
        <v>2</v>
      </c>
      <c r="H1440">
        <v>3776.53</v>
      </c>
      <c r="I1440">
        <v>0.05</v>
      </c>
      <c r="J1440">
        <v>7175.41</v>
      </c>
      <c r="K1440">
        <f t="shared" si="66"/>
        <v>7553.06</v>
      </c>
      <c r="L1440">
        <f t="shared" si="67"/>
        <v>377.65000000000055</v>
      </c>
      <c r="M1440">
        <f t="shared" si="68"/>
        <v>7175.41</v>
      </c>
      <c r="N1440" t="s">
        <v>46</v>
      </c>
      <c r="O1440" t="s">
        <v>34</v>
      </c>
      <c r="P1440" t="s">
        <v>21</v>
      </c>
      <c r="Q1440" t="s">
        <v>22</v>
      </c>
    </row>
    <row r="1441" spans="1:17" x14ac:dyDescent="0.3">
      <c r="A1441" t="s">
        <v>1502</v>
      </c>
      <c r="B1441" s="1">
        <v>45699</v>
      </c>
      <c r="C1441" t="s">
        <v>15</v>
      </c>
      <c r="D1441" t="s">
        <v>39</v>
      </c>
      <c r="E1441" t="s">
        <v>27</v>
      </c>
      <c r="F1441" t="s">
        <v>68</v>
      </c>
      <c r="G1441">
        <v>2</v>
      </c>
      <c r="H1441">
        <v>180.25</v>
      </c>
      <c r="I1441">
        <v>0.06</v>
      </c>
      <c r="J1441">
        <v>338.87</v>
      </c>
      <c r="K1441">
        <f t="shared" si="66"/>
        <v>360.5</v>
      </c>
      <c r="L1441">
        <f t="shared" si="67"/>
        <v>21.629999999999995</v>
      </c>
      <c r="M1441">
        <f t="shared" si="68"/>
        <v>338.87</v>
      </c>
      <c r="N1441" t="s">
        <v>41</v>
      </c>
      <c r="O1441" t="s">
        <v>20</v>
      </c>
      <c r="P1441" t="s">
        <v>30</v>
      </c>
      <c r="Q1441" t="s">
        <v>22</v>
      </c>
    </row>
    <row r="1442" spans="1:17" x14ac:dyDescent="0.3">
      <c r="A1442" t="s">
        <v>1503</v>
      </c>
      <c r="B1442" s="1">
        <v>45711</v>
      </c>
      <c r="C1442" t="s">
        <v>15</v>
      </c>
      <c r="D1442" t="s">
        <v>16</v>
      </c>
      <c r="E1442" t="s">
        <v>49</v>
      </c>
      <c r="F1442" t="s">
        <v>50</v>
      </c>
      <c r="G1442">
        <v>2</v>
      </c>
      <c r="H1442">
        <v>2137.42</v>
      </c>
      <c r="I1442">
        <v>0.01</v>
      </c>
      <c r="J1442">
        <v>4232.09</v>
      </c>
      <c r="K1442">
        <f t="shared" si="66"/>
        <v>4274.84</v>
      </c>
      <c r="L1442">
        <f t="shared" si="67"/>
        <v>42.75</v>
      </c>
      <c r="M1442">
        <f t="shared" si="68"/>
        <v>4232.09</v>
      </c>
      <c r="N1442" t="s">
        <v>19</v>
      </c>
      <c r="O1442" t="s">
        <v>34</v>
      </c>
      <c r="P1442" t="s">
        <v>54</v>
      </c>
      <c r="Q1442" t="s">
        <v>22</v>
      </c>
    </row>
    <row r="1443" spans="1:17" x14ac:dyDescent="0.3">
      <c r="A1443" t="s">
        <v>1504</v>
      </c>
      <c r="B1443" s="1">
        <v>45766</v>
      </c>
      <c r="C1443" t="s">
        <v>48</v>
      </c>
      <c r="D1443" t="s">
        <v>25</v>
      </c>
      <c r="E1443" t="s">
        <v>17</v>
      </c>
      <c r="F1443" t="s">
        <v>32</v>
      </c>
      <c r="G1443">
        <v>4</v>
      </c>
      <c r="H1443">
        <v>482.81</v>
      </c>
      <c r="I1443">
        <v>7.0000000000000007E-2</v>
      </c>
      <c r="J1443">
        <v>1796.05</v>
      </c>
      <c r="K1443">
        <f t="shared" si="66"/>
        <v>1931.24</v>
      </c>
      <c r="L1443">
        <f t="shared" si="67"/>
        <v>135.19000000000005</v>
      </c>
      <c r="M1443">
        <f t="shared" si="68"/>
        <v>1796.05</v>
      </c>
      <c r="N1443" t="s">
        <v>41</v>
      </c>
      <c r="O1443" t="s">
        <v>29</v>
      </c>
      <c r="P1443" t="s">
        <v>21</v>
      </c>
      <c r="Q1443" t="s">
        <v>22</v>
      </c>
    </row>
    <row r="1444" spans="1:17" x14ac:dyDescent="0.3">
      <c r="A1444" t="s">
        <v>1505</v>
      </c>
      <c r="B1444" s="1">
        <v>45685</v>
      </c>
      <c r="C1444" t="s">
        <v>15</v>
      </c>
      <c r="D1444" t="s">
        <v>43</v>
      </c>
      <c r="E1444" t="s">
        <v>49</v>
      </c>
      <c r="F1444" t="s">
        <v>56</v>
      </c>
      <c r="G1444">
        <v>3</v>
      </c>
      <c r="H1444">
        <v>4617.7299999999996</v>
      </c>
      <c r="I1444">
        <v>0.04</v>
      </c>
      <c r="J1444">
        <v>13299.06</v>
      </c>
      <c r="K1444">
        <f t="shared" si="66"/>
        <v>13853.189999999999</v>
      </c>
      <c r="L1444">
        <f t="shared" si="67"/>
        <v>554.1299999999992</v>
      </c>
      <c r="M1444">
        <f t="shared" si="68"/>
        <v>13299.06</v>
      </c>
      <c r="N1444" t="s">
        <v>46</v>
      </c>
      <c r="O1444" t="s">
        <v>20</v>
      </c>
      <c r="P1444" t="s">
        <v>54</v>
      </c>
      <c r="Q1444" t="s">
        <v>22</v>
      </c>
    </row>
    <row r="1445" spans="1:17" x14ac:dyDescent="0.3">
      <c r="A1445" t="s">
        <v>1506</v>
      </c>
      <c r="B1445" s="1">
        <v>45840</v>
      </c>
      <c r="C1445" t="s">
        <v>24</v>
      </c>
      <c r="D1445" t="s">
        <v>25</v>
      </c>
      <c r="E1445" t="s">
        <v>27</v>
      </c>
      <c r="F1445" t="s">
        <v>28</v>
      </c>
      <c r="G1445">
        <v>2</v>
      </c>
      <c r="H1445">
        <v>3190.31</v>
      </c>
      <c r="I1445">
        <v>0.09</v>
      </c>
      <c r="J1445">
        <v>5806.36</v>
      </c>
      <c r="K1445">
        <f t="shared" si="66"/>
        <v>6380.62</v>
      </c>
      <c r="L1445">
        <f t="shared" si="67"/>
        <v>574.26000000000022</v>
      </c>
      <c r="M1445">
        <f t="shared" si="68"/>
        <v>5806.36</v>
      </c>
      <c r="N1445" t="s">
        <v>58</v>
      </c>
      <c r="O1445" t="s">
        <v>29</v>
      </c>
      <c r="P1445" t="s">
        <v>30</v>
      </c>
      <c r="Q1445" t="s">
        <v>22</v>
      </c>
    </row>
    <row r="1446" spans="1:17" x14ac:dyDescent="0.3">
      <c r="A1446" t="s">
        <v>1507</v>
      </c>
      <c r="B1446" s="1">
        <v>45715</v>
      </c>
      <c r="C1446" t="s">
        <v>15</v>
      </c>
      <c r="D1446" t="s">
        <v>16</v>
      </c>
      <c r="E1446" t="s">
        <v>27</v>
      </c>
      <c r="F1446" t="s">
        <v>87</v>
      </c>
      <c r="G1446">
        <v>3</v>
      </c>
      <c r="H1446">
        <v>1903.04</v>
      </c>
      <c r="I1446">
        <v>0.2</v>
      </c>
      <c r="J1446">
        <v>4567.3</v>
      </c>
      <c r="K1446">
        <f t="shared" si="66"/>
        <v>5709.12</v>
      </c>
      <c r="L1446">
        <f t="shared" si="67"/>
        <v>1141.8199999999997</v>
      </c>
      <c r="M1446">
        <f t="shared" si="68"/>
        <v>4567.3</v>
      </c>
      <c r="N1446" t="s">
        <v>33</v>
      </c>
      <c r="O1446" t="s">
        <v>34</v>
      </c>
      <c r="P1446" t="s">
        <v>21</v>
      </c>
      <c r="Q1446" t="s">
        <v>37</v>
      </c>
    </row>
    <row r="1447" spans="1:17" x14ac:dyDescent="0.3">
      <c r="A1447" t="s">
        <v>1508</v>
      </c>
      <c r="B1447" s="1">
        <v>45745</v>
      </c>
      <c r="C1447" t="s">
        <v>36</v>
      </c>
      <c r="D1447" t="s">
        <v>43</v>
      </c>
      <c r="E1447" t="s">
        <v>49</v>
      </c>
      <c r="F1447" t="s">
        <v>50</v>
      </c>
      <c r="G1447">
        <v>5</v>
      </c>
      <c r="H1447">
        <v>3670.46</v>
      </c>
      <c r="I1447">
        <v>0.14000000000000001</v>
      </c>
      <c r="J1447">
        <v>15782.98</v>
      </c>
      <c r="K1447">
        <f t="shared" si="66"/>
        <v>18352.3</v>
      </c>
      <c r="L1447">
        <f t="shared" si="67"/>
        <v>2569.3199999999997</v>
      </c>
      <c r="M1447">
        <f t="shared" si="68"/>
        <v>15782.98</v>
      </c>
      <c r="N1447" t="s">
        <v>58</v>
      </c>
      <c r="O1447" t="s">
        <v>29</v>
      </c>
      <c r="P1447" t="s">
        <v>54</v>
      </c>
      <c r="Q1447" t="s">
        <v>37</v>
      </c>
    </row>
    <row r="1448" spans="1:17" x14ac:dyDescent="0.3">
      <c r="A1448" t="s">
        <v>1509</v>
      </c>
      <c r="B1448" s="1">
        <v>45831</v>
      </c>
      <c r="C1448" t="s">
        <v>48</v>
      </c>
      <c r="D1448" t="s">
        <v>25</v>
      </c>
      <c r="E1448" t="s">
        <v>49</v>
      </c>
      <c r="F1448" t="s">
        <v>53</v>
      </c>
      <c r="G1448">
        <v>2</v>
      </c>
      <c r="H1448">
        <v>3834.33</v>
      </c>
      <c r="I1448">
        <v>0.05</v>
      </c>
      <c r="J1448">
        <v>7285.23</v>
      </c>
      <c r="K1448">
        <f t="shared" si="66"/>
        <v>7668.66</v>
      </c>
      <c r="L1448">
        <f t="shared" si="67"/>
        <v>383.43000000000029</v>
      </c>
      <c r="M1448">
        <f t="shared" si="68"/>
        <v>7285.23</v>
      </c>
      <c r="N1448" t="s">
        <v>46</v>
      </c>
      <c r="O1448" t="s">
        <v>20</v>
      </c>
      <c r="P1448" t="s">
        <v>21</v>
      </c>
      <c r="Q1448" t="s">
        <v>22</v>
      </c>
    </row>
    <row r="1449" spans="1:17" x14ac:dyDescent="0.3">
      <c r="A1449" t="s">
        <v>1510</v>
      </c>
      <c r="B1449" s="1">
        <v>45795</v>
      </c>
      <c r="C1449" t="s">
        <v>24</v>
      </c>
      <c r="D1449" t="s">
        <v>43</v>
      </c>
      <c r="E1449" t="s">
        <v>61</v>
      </c>
      <c r="F1449" t="s">
        <v>62</v>
      </c>
      <c r="G1449">
        <v>2</v>
      </c>
      <c r="H1449">
        <v>1053.02</v>
      </c>
      <c r="I1449">
        <v>0.14000000000000001</v>
      </c>
      <c r="J1449">
        <v>1811.19</v>
      </c>
      <c r="K1449">
        <f t="shared" si="66"/>
        <v>2106.04</v>
      </c>
      <c r="L1449">
        <f t="shared" si="67"/>
        <v>294.84999999999991</v>
      </c>
      <c r="M1449">
        <f t="shared" si="68"/>
        <v>1811.19</v>
      </c>
      <c r="N1449" t="s">
        <v>46</v>
      </c>
      <c r="O1449" t="s">
        <v>20</v>
      </c>
      <c r="P1449" t="s">
        <v>30</v>
      </c>
      <c r="Q1449" t="s">
        <v>22</v>
      </c>
    </row>
    <row r="1450" spans="1:17" x14ac:dyDescent="0.3">
      <c r="A1450" t="s">
        <v>1511</v>
      </c>
      <c r="B1450" s="1">
        <v>45754</v>
      </c>
      <c r="C1450" t="s">
        <v>52</v>
      </c>
      <c r="D1450" t="s">
        <v>16</v>
      </c>
      <c r="E1450" t="s">
        <v>27</v>
      </c>
      <c r="F1450" t="s">
        <v>28</v>
      </c>
      <c r="G1450">
        <v>2</v>
      </c>
      <c r="H1450">
        <v>4308.32</v>
      </c>
      <c r="I1450">
        <v>7.0000000000000007E-2</v>
      </c>
      <c r="J1450">
        <v>8013.48</v>
      </c>
      <c r="K1450">
        <f t="shared" si="66"/>
        <v>8616.64</v>
      </c>
      <c r="L1450">
        <f t="shared" si="67"/>
        <v>603.15999999999985</v>
      </c>
      <c r="M1450">
        <f t="shared" si="68"/>
        <v>8013.48</v>
      </c>
      <c r="N1450" t="s">
        <v>58</v>
      </c>
      <c r="O1450" t="s">
        <v>20</v>
      </c>
      <c r="P1450" t="s">
        <v>30</v>
      </c>
      <c r="Q1450" t="s">
        <v>22</v>
      </c>
    </row>
    <row r="1451" spans="1:17" x14ac:dyDescent="0.3">
      <c r="A1451" t="s">
        <v>1512</v>
      </c>
      <c r="B1451" s="1">
        <v>45683</v>
      </c>
      <c r="C1451" t="s">
        <v>24</v>
      </c>
      <c r="D1451" t="s">
        <v>39</v>
      </c>
      <c r="E1451" t="s">
        <v>61</v>
      </c>
      <c r="F1451" t="s">
        <v>92</v>
      </c>
      <c r="G1451">
        <v>4</v>
      </c>
      <c r="H1451">
        <v>4077.28</v>
      </c>
      <c r="I1451">
        <v>0.09</v>
      </c>
      <c r="J1451">
        <v>14841.3</v>
      </c>
      <c r="K1451">
        <f t="shared" si="66"/>
        <v>16309.12</v>
      </c>
      <c r="L1451">
        <f t="shared" si="67"/>
        <v>1467.8200000000015</v>
      </c>
      <c r="M1451">
        <f t="shared" si="68"/>
        <v>14841.3</v>
      </c>
      <c r="N1451" t="s">
        <v>58</v>
      </c>
      <c r="O1451" t="s">
        <v>29</v>
      </c>
      <c r="P1451" t="s">
        <v>21</v>
      </c>
      <c r="Q1451" t="s">
        <v>37</v>
      </c>
    </row>
    <row r="1452" spans="1:17" x14ac:dyDescent="0.3">
      <c r="A1452" t="s">
        <v>1513</v>
      </c>
      <c r="B1452" s="1">
        <v>45665</v>
      </c>
      <c r="C1452" t="s">
        <v>15</v>
      </c>
      <c r="D1452" t="s">
        <v>43</v>
      </c>
      <c r="E1452" t="s">
        <v>99</v>
      </c>
      <c r="F1452" t="s">
        <v>111</v>
      </c>
      <c r="G1452">
        <v>5</v>
      </c>
      <c r="H1452">
        <v>2648.24</v>
      </c>
      <c r="I1452">
        <v>7.0000000000000007E-2</v>
      </c>
      <c r="J1452">
        <v>12314.32</v>
      </c>
      <c r="K1452">
        <f t="shared" si="66"/>
        <v>13241.199999999999</v>
      </c>
      <c r="L1452">
        <f t="shared" si="67"/>
        <v>926.8799999999992</v>
      </c>
      <c r="M1452">
        <f t="shared" si="68"/>
        <v>12314.32</v>
      </c>
      <c r="N1452" t="s">
        <v>33</v>
      </c>
      <c r="O1452" t="s">
        <v>20</v>
      </c>
      <c r="P1452" t="s">
        <v>21</v>
      </c>
      <c r="Q1452" t="s">
        <v>22</v>
      </c>
    </row>
    <row r="1453" spans="1:17" x14ac:dyDescent="0.3">
      <c r="A1453" t="s">
        <v>1514</v>
      </c>
      <c r="B1453" s="1">
        <v>45782</v>
      </c>
      <c r="C1453" t="s">
        <v>48</v>
      </c>
      <c r="D1453" t="s">
        <v>16</v>
      </c>
      <c r="E1453" t="s">
        <v>17</v>
      </c>
      <c r="F1453" t="s">
        <v>40</v>
      </c>
      <c r="G1453">
        <v>5</v>
      </c>
      <c r="H1453">
        <v>1572.79</v>
      </c>
      <c r="I1453">
        <v>0.24</v>
      </c>
      <c r="J1453">
        <v>5976.6</v>
      </c>
      <c r="K1453">
        <f t="shared" si="66"/>
        <v>7863.95</v>
      </c>
      <c r="L1453">
        <f t="shared" si="67"/>
        <v>1887.3499999999995</v>
      </c>
      <c r="M1453">
        <f t="shared" si="68"/>
        <v>5976.6</v>
      </c>
      <c r="N1453" t="s">
        <v>46</v>
      </c>
      <c r="O1453" t="s">
        <v>34</v>
      </c>
      <c r="P1453" t="s">
        <v>30</v>
      </c>
      <c r="Q1453" t="s">
        <v>59</v>
      </c>
    </row>
    <row r="1454" spans="1:17" x14ac:dyDescent="0.3">
      <c r="A1454" t="s">
        <v>1515</v>
      </c>
      <c r="B1454" s="1">
        <v>45778</v>
      </c>
      <c r="C1454" t="s">
        <v>24</v>
      </c>
      <c r="D1454" t="s">
        <v>25</v>
      </c>
      <c r="E1454" t="s">
        <v>99</v>
      </c>
      <c r="F1454" t="s">
        <v>111</v>
      </c>
      <c r="G1454">
        <v>2</v>
      </c>
      <c r="H1454">
        <v>4237.99</v>
      </c>
      <c r="I1454">
        <v>0.05</v>
      </c>
      <c r="J1454">
        <v>8052.18</v>
      </c>
      <c r="K1454">
        <f t="shared" si="66"/>
        <v>8475.98</v>
      </c>
      <c r="L1454">
        <f t="shared" si="67"/>
        <v>423.79999999999927</v>
      </c>
      <c r="M1454">
        <f t="shared" si="68"/>
        <v>8052.18</v>
      </c>
      <c r="N1454" t="s">
        <v>19</v>
      </c>
      <c r="O1454" t="s">
        <v>29</v>
      </c>
      <c r="P1454" t="s">
        <v>54</v>
      </c>
      <c r="Q1454" t="s">
        <v>37</v>
      </c>
    </row>
    <row r="1455" spans="1:17" x14ac:dyDescent="0.3">
      <c r="A1455" t="s">
        <v>1516</v>
      </c>
      <c r="B1455" s="1">
        <v>45815</v>
      </c>
      <c r="C1455" t="s">
        <v>48</v>
      </c>
      <c r="D1455" t="s">
        <v>25</v>
      </c>
      <c r="E1455" t="s">
        <v>17</v>
      </c>
      <c r="F1455" t="s">
        <v>32</v>
      </c>
      <c r="G1455">
        <v>5</v>
      </c>
      <c r="H1455">
        <v>1722.94</v>
      </c>
      <c r="I1455">
        <v>0.02</v>
      </c>
      <c r="J1455">
        <v>8442.41</v>
      </c>
      <c r="K1455">
        <f t="shared" si="66"/>
        <v>8614.7000000000007</v>
      </c>
      <c r="L1455">
        <f t="shared" si="67"/>
        <v>172.29000000000087</v>
      </c>
      <c r="M1455">
        <f t="shared" si="68"/>
        <v>8442.41</v>
      </c>
      <c r="N1455" t="s">
        <v>41</v>
      </c>
      <c r="O1455" t="s">
        <v>34</v>
      </c>
      <c r="P1455" t="s">
        <v>54</v>
      </c>
      <c r="Q1455" t="s">
        <v>37</v>
      </c>
    </row>
    <row r="1456" spans="1:17" x14ac:dyDescent="0.3">
      <c r="A1456" t="s">
        <v>1517</v>
      </c>
      <c r="B1456" s="1">
        <v>45706</v>
      </c>
      <c r="C1456" t="s">
        <v>24</v>
      </c>
      <c r="D1456" t="s">
        <v>39</v>
      </c>
      <c r="E1456" t="s">
        <v>17</v>
      </c>
      <c r="F1456" t="s">
        <v>32</v>
      </c>
      <c r="G1456">
        <v>4</v>
      </c>
      <c r="H1456">
        <v>854.83</v>
      </c>
      <c r="I1456">
        <v>0.12</v>
      </c>
      <c r="J1456">
        <v>3009</v>
      </c>
      <c r="K1456">
        <f t="shared" si="66"/>
        <v>3419.32</v>
      </c>
      <c r="L1456">
        <f t="shared" si="67"/>
        <v>410.32000000000016</v>
      </c>
      <c r="M1456">
        <f t="shared" si="68"/>
        <v>3009</v>
      </c>
      <c r="N1456" t="s">
        <v>41</v>
      </c>
      <c r="O1456" t="s">
        <v>34</v>
      </c>
      <c r="P1456" t="s">
        <v>54</v>
      </c>
      <c r="Q1456" t="s">
        <v>37</v>
      </c>
    </row>
    <row r="1457" spans="1:17" x14ac:dyDescent="0.3">
      <c r="A1457" t="s">
        <v>1518</v>
      </c>
      <c r="B1457" s="1">
        <v>45797</v>
      </c>
      <c r="C1457" t="s">
        <v>52</v>
      </c>
      <c r="D1457" t="s">
        <v>39</v>
      </c>
      <c r="E1457" t="s">
        <v>17</v>
      </c>
      <c r="F1457" t="s">
        <v>32</v>
      </c>
      <c r="G1457">
        <v>4</v>
      </c>
      <c r="H1457">
        <v>2983.27</v>
      </c>
      <c r="I1457">
        <v>0.1</v>
      </c>
      <c r="J1457">
        <v>10739.77</v>
      </c>
      <c r="K1457">
        <f t="shared" si="66"/>
        <v>11933.08</v>
      </c>
      <c r="L1457">
        <f t="shared" si="67"/>
        <v>1193.3099999999995</v>
      </c>
      <c r="M1457">
        <f t="shared" si="68"/>
        <v>10739.77</v>
      </c>
      <c r="N1457" t="s">
        <v>41</v>
      </c>
      <c r="O1457" t="s">
        <v>34</v>
      </c>
      <c r="P1457" t="s">
        <v>54</v>
      </c>
      <c r="Q1457" t="s">
        <v>22</v>
      </c>
    </row>
    <row r="1458" spans="1:17" x14ac:dyDescent="0.3">
      <c r="A1458" t="s">
        <v>1519</v>
      </c>
      <c r="B1458" s="1">
        <v>45690</v>
      </c>
      <c r="C1458" t="s">
        <v>52</v>
      </c>
      <c r="D1458" t="s">
        <v>16</v>
      </c>
      <c r="E1458" t="s">
        <v>61</v>
      </c>
      <c r="F1458" t="s">
        <v>66</v>
      </c>
      <c r="G1458">
        <v>5</v>
      </c>
      <c r="H1458">
        <v>1946.55</v>
      </c>
      <c r="I1458">
        <v>0.02</v>
      </c>
      <c r="J1458">
        <v>9538.09</v>
      </c>
      <c r="K1458">
        <f t="shared" si="66"/>
        <v>9732.75</v>
      </c>
      <c r="L1458">
        <f t="shared" si="67"/>
        <v>194.65999999999985</v>
      </c>
      <c r="M1458">
        <f t="shared" si="68"/>
        <v>9538.09</v>
      </c>
      <c r="N1458" t="s">
        <v>33</v>
      </c>
      <c r="O1458" t="s">
        <v>34</v>
      </c>
      <c r="P1458" t="s">
        <v>54</v>
      </c>
      <c r="Q1458" t="s">
        <v>88</v>
      </c>
    </row>
    <row r="1459" spans="1:17" x14ac:dyDescent="0.3">
      <c r="A1459" t="s">
        <v>1520</v>
      </c>
      <c r="B1459" s="1">
        <v>45720</v>
      </c>
      <c r="C1459" t="s">
        <v>36</v>
      </c>
      <c r="D1459" t="s">
        <v>43</v>
      </c>
      <c r="E1459" t="s">
        <v>17</v>
      </c>
      <c r="F1459" t="s">
        <v>44</v>
      </c>
      <c r="G1459">
        <v>1</v>
      </c>
      <c r="H1459">
        <v>4678.43</v>
      </c>
      <c r="I1459">
        <v>0.2</v>
      </c>
      <c r="J1459">
        <v>3742.74</v>
      </c>
      <c r="K1459">
        <f t="shared" si="66"/>
        <v>4678.43</v>
      </c>
      <c r="L1459">
        <f t="shared" si="67"/>
        <v>935.69000000000051</v>
      </c>
      <c r="M1459">
        <f t="shared" si="68"/>
        <v>3742.74</v>
      </c>
      <c r="N1459" t="s">
        <v>41</v>
      </c>
      <c r="O1459" t="s">
        <v>34</v>
      </c>
      <c r="P1459" t="s">
        <v>21</v>
      </c>
      <c r="Q1459" t="s">
        <v>59</v>
      </c>
    </row>
    <row r="1460" spans="1:17" x14ac:dyDescent="0.3">
      <c r="A1460" t="s">
        <v>1521</v>
      </c>
      <c r="B1460" s="1">
        <v>45766</v>
      </c>
      <c r="C1460" t="s">
        <v>52</v>
      </c>
      <c r="D1460" t="s">
        <v>39</v>
      </c>
      <c r="E1460" t="s">
        <v>17</v>
      </c>
      <c r="F1460" t="s">
        <v>40</v>
      </c>
      <c r="G1460">
        <v>3</v>
      </c>
      <c r="H1460">
        <v>4920.1400000000003</v>
      </c>
      <c r="I1460">
        <v>0.09</v>
      </c>
      <c r="J1460">
        <v>13431.98</v>
      </c>
      <c r="K1460">
        <f t="shared" si="66"/>
        <v>14760.420000000002</v>
      </c>
      <c r="L1460">
        <f t="shared" si="67"/>
        <v>1328.4400000000023</v>
      </c>
      <c r="M1460">
        <f t="shared" si="68"/>
        <v>13431.98</v>
      </c>
      <c r="N1460" t="s">
        <v>58</v>
      </c>
      <c r="O1460" t="s">
        <v>20</v>
      </c>
      <c r="P1460" t="s">
        <v>21</v>
      </c>
      <c r="Q1460" t="s">
        <v>22</v>
      </c>
    </row>
    <row r="1461" spans="1:17" x14ac:dyDescent="0.3">
      <c r="A1461" t="s">
        <v>1522</v>
      </c>
      <c r="B1461" s="1">
        <v>45662</v>
      </c>
      <c r="C1461" t="s">
        <v>52</v>
      </c>
      <c r="D1461" t="s">
        <v>16</v>
      </c>
      <c r="E1461" t="s">
        <v>17</v>
      </c>
      <c r="F1461" t="s">
        <v>18</v>
      </c>
      <c r="G1461">
        <v>1</v>
      </c>
      <c r="H1461">
        <v>290.82</v>
      </c>
      <c r="I1461">
        <v>0.15</v>
      </c>
      <c r="J1461">
        <v>247.2</v>
      </c>
      <c r="K1461">
        <f t="shared" si="66"/>
        <v>290.82</v>
      </c>
      <c r="L1461">
        <f t="shared" si="67"/>
        <v>43.620000000000005</v>
      </c>
      <c r="M1461">
        <f t="shared" si="68"/>
        <v>247.2</v>
      </c>
      <c r="N1461" t="s">
        <v>46</v>
      </c>
      <c r="O1461" t="s">
        <v>34</v>
      </c>
      <c r="P1461" t="s">
        <v>54</v>
      </c>
      <c r="Q1461" t="s">
        <v>88</v>
      </c>
    </row>
    <row r="1462" spans="1:17" x14ac:dyDescent="0.3">
      <c r="A1462" t="s">
        <v>1523</v>
      </c>
      <c r="B1462" s="1">
        <v>45767</v>
      </c>
      <c r="C1462" t="s">
        <v>48</v>
      </c>
      <c r="D1462" t="s">
        <v>16</v>
      </c>
      <c r="E1462" t="s">
        <v>61</v>
      </c>
      <c r="F1462" t="s">
        <v>75</v>
      </c>
      <c r="G1462">
        <v>3</v>
      </c>
      <c r="H1462">
        <v>3007.51</v>
      </c>
      <c r="I1462">
        <v>0.15</v>
      </c>
      <c r="J1462">
        <v>7669.15</v>
      </c>
      <c r="K1462">
        <f t="shared" si="66"/>
        <v>9022.5300000000007</v>
      </c>
      <c r="L1462">
        <f t="shared" si="67"/>
        <v>1353.380000000001</v>
      </c>
      <c r="M1462">
        <f t="shared" si="68"/>
        <v>7669.15</v>
      </c>
      <c r="N1462" t="s">
        <v>41</v>
      </c>
      <c r="O1462" t="s">
        <v>20</v>
      </c>
      <c r="P1462" t="s">
        <v>21</v>
      </c>
      <c r="Q1462" t="s">
        <v>88</v>
      </c>
    </row>
    <row r="1463" spans="1:17" x14ac:dyDescent="0.3">
      <c r="A1463" t="s">
        <v>1524</v>
      </c>
      <c r="B1463" s="1">
        <v>45739</v>
      </c>
      <c r="C1463" t="s">
        <v>24</v>
      </c>
      <c r="D1463" t="s">
        <v>16</v>
      </c>
      <c r="E1463" t="s">
        <v>99</v>
      </c>
      <c r="F1463" t="s">
        <v>100</v>
      </c>
      <c r="G1463">
        <v>3</v>
      </c>
      <c r="H1463">
        <v>871.23</v>
      </c>
      <c r="I1463">
        <v>0.19</v>
      </c>
      <c r="J1463">
        <v>2117.09</v>
      </c>
      <c r="K1463">
        <f t="shared" si="66"/>
        <v>2613.69</v>
      </c>
      <c r="L1463">
        <f t="shared" si="67"/>
        <v>496.59999999999991</v>
      </c>
      <c r="M1463">
        <f t="shared" si="68"/>
        <v>2117.09</v>
      </c>
      <c r="N1463" t="s">
        <v>41</v>
      </c>
      <c r="O1463" t="s">
        <v>29</v>
      </c>
      <c r="P1463" t="s">
        <v>21</v>
      </c>
      <c r="Q1463" t="s">
        <v>22</v>
      </c>
    </row>
    <row r="1464" spans="1:17" x14ac:dyDescent="0.3">
      <c r="A1464" t="s">
        <v>1525</v>
      </c>
      <c r="B1464" s="1">
        <v>45678</v>
      </c>
      <c r="C1464" t="s">
        <v>24</v>
      </c>
      <c r="D1464" t="s">
        <v>39</v>
      </c>
      <c r="E1464" t="s">
        <v>61</v>
      </c>
      <c r="F1464" t="s">
        <v>66</v>
      </c>
      <c r="G1464">
        <v>2</v>
      </c>
      <c r="H1464">
        <v>3505.05</v>
      </c>
      <c r="I1464">
        <v>0.2</v>
      </c>
      <c r="J1464">
        <v>5608.08</v>
      </c>
      <c r="K1464">
        <f t="shared" si="66"/>
        <v>7010.1</v>
      </c>
      <c r="L1464">
        <f t="shared" si="67"/>
        <v>1402.0200000000004</v>
      </c>
      <c r="M1464">
        <f t="shared" si="68"/>
        <v>5608.08</v>
      </c>
      <c r="N1464" t="s">
        <v>41</v>
      </c>
      <c r="O1464" t="s">
        <v>34</v>
      </c>
      <c r="P1464" t="s">
        <v>30</v>
      </c>
      <c r="Q1464" t="s">
        <v>22</v>
      </c>
    </row>
    <row r="1465" spans="1:17" x14ac:dyDescent="0.3">
      <c r="A1465" t="s">
        <v>1526</v>
      </c>
      <c r="B1465" s="1">
        <v>45703</v>
      </c>
      <c r="C1465" t="s">
        <v>52</v>
      </c>
      <c r="D1465" t="s">
        <v>43</v>
      </c>
      <c r="E1465" t="s">
        <v>49</v>
      </c>
      <c r="F1465" t="s">
        <v>50</v>
      </c>
      <c r="G1465">
        <v>3</v>
      </c>
      <c r="H1465">
        <v>1131.68</v>
      </c>
      <c r="I1465">
        <v>0.12</v>
      </c>
      <c r="J1465">
        <v>2987.64</v>
      </c>
      <c r="K1465">
        <f t="shared" si="66"/>
        <v>3395.04</v>
      </c>
      <c r="L1465">
        <f t="shared" si="67"/>
        <v>407.40000000000009</v>
      </c>
      <c r="M1465">
        <f t="shared" si="68"/>
        <v>2987.64</v>
      </c>
      <c r="N1465" t="s">
        <v>46</v>
      </c>
      <c r="O1465" t="s">
        <v>29</v>
      </c>
      <c r="P1465" t="s">
        <v>21</v>
      </c>
      <c r="Q1465" t="s">
        <v>22</v>
      </c>
    </row>
    <row r="1466" spans="1:17" x14ac:dyDescent="0.3">
      <c r="A1466" t="s">
        <v>1527</v>
      </c>
      <c r="B1466" s="1">
        <v>45823</v>
      </c>
      <c r="C1466" t="s">
        <v>52</v>
      </c>
      <c r="D1466" t="s">
        <v>39</v>
      </c>
      <c r="E1466" t="s">
        <v>17</v>
      </c>
      <c r="F1466" t="s">
        <v>18</v>
      </c>
      <c r="G1466">
        <v>2</v>
      </c>
      <c r="H1466">
        <v>831.7</v>
      </c>
      <c r="I1466">
        <v>0.02</v>
      </c>
      <c r="J1466">
        <v>1630.13</v>
      </c>
      <c r="K1466">
        <f t="shared" si="66"/>
        <v>1663.4</v>
      </c>
      <c r="L1466">
        <f t="shared" si="67"/>
        <v>33.269999999999982</v>
      </c>
      <c r="M1466">
        <f t="shared" si="68"/>
        <v>1630.13</v>
      </c>
      <c r="N1466" t="s">
        <v>58</v>
      </c>
      <c r="O1466" t="s">
        <v>34</v>
      </c>
      <c r="P1466" t="s">
        <v>30</v>
      </c>
      <c r="Q1466" t="s">
        <v>22</v>
      </c>
    </row>
    <row r="1467" spans="1:17" x14ac:dyDescent="0.3">
      <c r="A1467" t="s">
        <v>1528</v>
      </c>
      <c r="B1467" s="1">
        <v>45837</v>
      </c>
      <c r="C1467" t="s">
        <v>48</v>
      </c>
      <c r="D1467" t="s">
        <v>43</v>
      </c>
      <c r="E1467" t="s">
        <v>49</v>
      </c>
      <c r="F1467" t="s">
        <v>50</v>
      </c>
      <c r="G1467">
        <v>5</v>
      </c>
      <c r="H1467">
        <v>3673.96</v>
      </c>
      <c r="I1467">
        <v>0.08</v>
      </c>
      <c r="J1467">
        <v>16900.22</v>
      </c>
      <c r="K1467">
        <f t="shared" si="66"/>
        <v>18369.8</v>
      </c>
      <c r="L1467">
        <f t="shared" si="67"/>
        <v>1469.5799999999981</v>
      </c>
      <c r="M1467">
        <f t="shared" si="68"/>
        <v>16900.22</v>
      </c>
      <c r="N1467" t="s">
        <v>58</v>
      </c>
      <c r="O1467" t="s">
        <v>29</v>
      </c>
      <c r="P1467" t="s">
        <v>21</v>
      </c>
      <c r="Q1467" t="s">
        <v>37</v>
      </c>
    </row>
    <row r="1468" spans="1:17" x14ac:dyDescent="0.3">
      <c r="A1468" t="s">
        <v>1529</v>
      </c>
      <c r="B1468" s="1">
        <v>45682</v>
      </c>
      <c r="C1468" t="s">
        <v>52</v>
      </c>
      <c r="D1468" t="s">
        <v>25</v>
      </c>
      <c r="E1468" t="s">
        <v>17</v>
      </c>
      <c r="F1468" t="s">
        <v>32</v>
      </c>
      <c r="G1468">
        <v>3</v>
      </c>
      <c r="H1468">
        <v>423.67</v>
      </c>
      <c r="I1468">
        <v>0.01</v>
      </c>
      <c r="J1468">
        <v>1258.3</v>
      </c>
      <c r="K1468">
        <f t="shared" si="66"/>
        <v>1271.01</v>
      </c>
      <c r="L1468">
        <f t="shared" si="67"/>
        <v>12.710000000000036</v>
      </c>
      <c r="M1468">
        <f t="shared" si="68"/>
        <v>1258.3</v>
      </c>
      <c r="N1468" t="s">
        <v>41</v>
      </c>
      <c r="O1468" t="s">
        <v>20</v>
      </c>
      <c r="P1468" t="s">
        <v>30</v>
      </c>
      <c r="Q1468" t="s">
        <v>22</v>
      </c>
    </row>
    <row r="1469" spans="1:17" x14ac:dyDescent="0.3">
      <c r="A1469" t="s">
        <v>1530</v>
      </c>
      <c r="B1469" s="1">
        <v>45749</v>
      </c>
      <c r="C1469" t="s">
        <v>48</v>
      </c>
      <c r="D1469" t="s">
        <v>25</v>
      </c>
      <c r="E1469" t="s">
        <v>49</v>
      </c>
      <c r="F1469" t="s">
        <v>50</v>
      </c>
      <c r="G1469">
        <v>2</v>
      </c>
      <c r="H1469">
        <v>4097.33</v>
      </c>
      <c r="I1469">
        <v>0.19</v>
      </c>
      <c r="J1469">
        <v>6637.67</v>
      </c>
      <c r="K1469">
        <f t="shared" si="66"/>
        <v>8194.66</v>
      </c>
      <c r="L1469">
        <f t="shared" si="67"/>
        <v>1556.9899999999998</v>
      </c>
      <c r="M1469">
        <f t="shared" si="68"/>
        <v>6637.67</v>
      </c>
      <c r="N1469" t="s">
        <v>46</v>
      </c>
      <c r="O1469" t="s">
        <v>34</v>
      </c>
      <c r="P1469" t="s">
        <v>21</v>
      </c>
      <c r="Q1469" t="s">
        <v>22</v>
      </c>
    </row>
    <row r="1470" spans="1:17" x14ac:dyDescent="0.3">
      <c r="A1470" t="s">
        <v>1531</v>
      </c>
      <c r="B1470" s="1">
        <v>45682</v>
      </c>
      <c r="C1470" t="s">
        <v>24</v>
      </c>
      <c r="D1470" t="s">
        <v>43</v>
      </c>
      <c r="E1470" t="s">
        <v>27</v>
      </c>
      <c r="F1470" t="s">
        <v>68</v>
      </c>
      <c r="G1470">
        <v>4</v>
      </c>
      <c r="H1470">
        <v>556.76</v>
      </c>
      <c r="I1470">
        <v>0.22</v>
      </c>
      <c r="J1470">
        <v>1737.09</v>
      </c>
      <c r="K1470">
        <f t="shared" si="66"/>
        <v>2227.04</v>
      </c>
      <c r="L1470">
        <f t="shared" si="67"/>
        <v>489.95000000000005</v>
      </c>
      <c r="M1470">
        <f t="shared" si="68"/>
        <v>1737.09</v>
      </c>
      <c r="N1470" t="s">
        <v>19</v>
      </c>
      <c r="O1470" t="s">
        <v>34</v>
      </c>
      <c r="P1470" t="s">
        <v>30</v>
      </c>
      <c r="Q1470" t="s">
        <v>22</v>
      </c>
    </row>
    <row r="1471" spans="1:17" x14ac:dyDescent="0.3">
      <c r="A1471" t="s">
        <v>1532</v>
      </c>
      <c r="B1471" s="1">
        <v>45785</v>
      </c>
      <c r="C1471" t="s">
        <v>36</v>
      </c>
      <c r="D1471" t="s">
        <v>16</v>
      </c>
      <c r="E1471" t="s">
        <v>61</v>
      </c>
      <c r="F1471" t="s">
        <v>75</v>
      </c>
      <c r="G1471">
        <v>3</v>
      </c>
      <c r="H1471">
        <v>4545.8</v>
      </c>
      <c r="I1471">
        <v>0.18</v>
      </c>
      <c r="J1471">
        <v>11182.67</v>
      </c>
      <c r="K1471">
        <f t="shared" si="66"/>
        <v>13637.400000000001</v>
      </c>
      <c r="L1471">
        <f t="shared" si="67"/>
        <v>2454.7300000000014</v>
      </c>
      <c r="M1471">
        <f t="shared" si="68"/>
        <v>11182.67</v>
      </c>
      <c r="N1471" t="s">
        <v>33</v>
      </c>
      <c r="O1471" t="s">
        <v>34</v>
      </c>
      <c r="P1471" t="s">
        <v>30</v>
      </c>
      <c r="Q1471" t="s">
        <v>88</v>
      </c>
    </row>
    <row r="1472" spans="1:17" x14ac:dyDescent="0.3">
      <c r="A1472" t="s">
        <v>1533</v>
      </c>
      <c r="B1472" s="1">
        <v>45821</v>
      </c>
      <c r="C1472" t="s">
        <v>36</v>
      </c>
      <c r="D1472" t="s">
        <v>43</v>
      </c>
      <c r="E1472" t="s">
        <v>99</v>
      </c>
      <c r="F1472" t="s">
        <v>111</v>
      </c>
      <c r="G1472">
        <v>1</v>
      </c>
      <c r="H1472">
        <v>612.53</v>
      </c>
      <c r="I1472">
        <v>0.19</v>
      </c>
      <c r="J1472">
        <v>496.15</v>
      </c>
      <c r="K1472">
        <f t="shared" si="66"/>
        <v>612.53</v>
      </c>
      <c r="L1472">
        <f t="shared" si="67"/>
        <v>116.38</v>
      </c>
      <c r="M1472">
        <f t="shared" si="68"/>
        <v>496.15</v>
      </c>
      <c r="N1472" t="s">
        <v>46</v>
      </c>
      <c r="O1472" t="s">
        <v>34</v>
      </c>
      <c r="P1472" t="s">
        <v>21</v>
      </c>
      <c r="Q1472" t="s">
        <v>22</v>
      </c>
    </row>
    <row r="1473" spans="1:17" x14ac:dyDescent="0.3">
      <c r="A1473" t="s">
        <v>1534</v>
      </c>
      <c r="B1473" s="1">
        <v>45689</v>
      </c>
      <c r="C1473" t="s">
        <v>36</v>
      </c>
      <c r="D1473" t="s">
        <v>16</v>
      </c>
      <c r="E1473" t="s">
        <v>99</v>
      </c>
      <c r="F1473" t="s">
        <v>111</v>
      </c>
      <c r="G1473">
        <v>5</v>
      </c>
      <c r="H1473">
        <v>3101.07</v>
      </c>
      <c r="I1473">
        <v>0.15</v>
      </c>
      <c r="J1473">
        <v>13179.55</v>
      </c>
      <c r="K1473">
        <f t="shared" si="66"/>
        <v>15505.35</v>
      </c>
      <c r="L1473">
        <f t="shared" si="67"/>
        <v>2325.8000000000011</v>
      </c>
      <c r="M1473">
        <f t="shared" si="68"/>
        <v>13179.55</v>
      </c>
      <c r="N1473" t="s">
        <v>41</v>
      </c>
      <c r="O1473" t="s">
        <v>29</v>
      </c>
      <c r="P1473" t="s">
        <v>30</v>
      </c>
      <c r="Q1473" t="s">
        <v>22</v>
      </c>
    </row>
    <row r="1474" spans="1:17" x14ac:dyDescent="0.3">
      <c r="A1474" t="s">
        <v>1535</v>
      </c>
      <c r="B1474" s="1">
        <v>45756</v>
      </c>
      <c r="C1474" t="s">
        <v>36</v>
      </c>
      <c r="D1474" t="s">
        <v>16</v>
      </c>
      <c r="E1474" t="s">
        <v>27</v>
      </c>
      <c r="F1474" t="s">
        <v>28</v>
      </c>
      <c r="G1474">
        <v>3</v>
      </c>
      <c r="H1474">
        <v>1729.77</v>
      </c>
      <c r="I1474">
        <v>0.1</v>
      </c>
      <c r="J1474">
        <v>4670.38</v>
      </c>
      <c r="K1474">
        <f t="shared" si="66"/>
        <v>5189.3099999999995</v>
      </c>
      <c r="L1474">
        <f t="shared" si="67"/>
        <v>518.92999999999938</v>
      </c>
      <c r="M1474">
        <f t="shared" si="68"/>
        <v>4670.38</v>
      </c>
      <c r="N1474" t="s">
        <v>41</v>
      </c>
      <c r="O1474" t="s">
        <v>20</v>
      </c>
      <c r="P1474" t="s">
        <v>21</v>
      </c>
      <c r="Q1474" t="s">
        <v>22</v>
      </c>
    </row>
    <row r="1475" spans="1:17" x14ac:dyDescent="0.3">
      <c r="A1475" t="s">
        <v>1536</v>
      </c>
      <c r="B1475" s="1">
        <v>45841</v>
      </c>
      <c r="C1475" t="s">
        <v>36</v>
      </c>
      <c r="D1475" t="s">
        <v>39</v>
      </c>
      <c r="E1475" t="s">
        <v>49</v>
      </c>
      <c r="F1475" t="s">
        <v>50</v>
      </c>
      <c r="G1475">
        <v>3</v>
      </c>
      <c r="H1475">
        <v>4190.53</v>
      </c>
      <c r="I1475">
        <v>0.06</v>
      </c>
      <c r="J1475">
        <v>11817.29</v>
      </c>
      <c r="K1475">
        <f t="shared" ref="K1475:K1501" si="69">G1475*H1475</f>
        <v>12571.59</v>
      </c>
      <c r="L1475">
        <f t="shared" ref="L1475:L1501" si="70">K1475-J1475</f>
        <v>754.29999999999927</v>
      </c>
      <c r="M1475">
        <f t="shared" ref="M1475:M1501" si="71">K1475-L1475</f>
        <v>11817.29</v>
      </c>
      <c r="N1475" t="s">
        <v>33</v>
      </c>
      <c r="O1475" t="s">
        <v>20</v>
      </c>
      <c r="P1475" t="s">
        <v>30</v>
      </c>
      <c r="Q1475" t="s">
        <v>37</v>
      </c>
    </row>
    <row r="1476" spans="1:17" x14ac:dyDescent="0.3">
      <c r="A1476" t="s">
        <v>1537</v>
      </c>
      <c r="B1476" s="1">
        <v>45799</v>
      </c>
      <c r="C1476" t="s">
        <v>36</v>
      </c>
      <c r="D1476" t="s">
        <v>25</v>
      </c>
      <c r="E1476" t="s">
        <v>17</v>
      </c>
      <c r="F1476" t="s">
        <v>44</v>
      </c>
      <c r="G1476">
        <v>3</v>
      </c>
      <c r="H1476">
        <v>121</v>
      </c>
      <c r="I1476">
        <v>0.06</v>
      </c>
      <c r="J1476">
        <v>341.22</v>
      </c>
      <c r="K1476">
        <f t="shared" si="69"/>
        <v>363</v>
      </c>
      <c r="L1476">
        <f t="shared" si="70"/>
        <v>21.779999999999973</v>
      </c>
      <c r="M1476">
        <f t="shared" si="71"/>
        <v>341.22</v>
      </c>
      <c r="N1476" t="s">
        <v>46</v>
      </c>
      <c r="O1476" t="s">
        <v>34</v>
      </c>
      <c r="P1476" t="s">
        <v>54</v>
      </c>
      <c r="Q1476" t="s">
        <v>22</v>
      </c>
    </row>
    <row r="1477" spans="1:17" x14ac:dyDescent="0.3">
      <c r="A1477" t="s">
        <v>1538</v>
      </c>
      <c r="B1477" s="1">
        <v>45716</v>
      </c>
      <c r="C1477" t="s">
        <v>24</v>
      </c>
      <c r="D1477" t="s">
        <v>16</v>
      </c>
      <c r="E1477" t="s">
        <v>17</v>
      </c>
      <c r="F1477" t="s">
        <v>40</v>
      </c>
      <c r="G1477">
        <v>5</v>
      </c>
      <c r="H1477">
        <v>4090.68</v>
      </c>
      <c r="I1477">
        <v>0.14000000000000001</v>
      </c>
      <c r="J1477">
        <v>17589.919999999998</v>
      </c>
      <c r="K1477">
        <f t="shared" si="69"/>
        <v>20453.399999999998</v>
      </c>
      <c r="L1477">
        <f t="shared" si="70"/>
        <v>2863.4799999999996</v>
      </c>
      <c r="M1477">
        <f t="shared" si="71"/>
        <v>17589.919999999998</v>
      </c>
      <c r="N1477" t="s">
        <v>58</v>
      </c>
      <c r="O1477" t="s">
        <v>34</v>
      </c>
      <c r="P1477" t="s">
        <v>30</v>
      </c>
      <c r="Q1477" t="s">
        <v>22</v>
      </c>
    </row>
    <row r="1478" spans="1:17" x14ac:dyDescent="0.3">
      <c r="A1478" t="s">
        <v>1539</v>
      </c>
      <c r="B1478" s="1">
        <v>45758</v>
      </c>
      <c r="C1478" t="s">
        <v>48</v>
      </c>
      <c r="D1478" t="s">
        <v>43</v>
      </c>
      <c r="E1478" t="s">
        <v>99</v>
      </c>
      <c r="F1478" t="s">
        <v>120</v>
      </c>
      <c r="G1478">
        <v>5</v>
      </c>
      <c r="H1478">
        <v>3340.31</v>
      </c>
      <c r="I1478">
        <v>7.0000000000000007E-2</v>
      </c>
      <c r="J1478">
        <v>15532.44</v>
      </c>
      <c r="K1478">
        <f t="shared" si="69"/>
        <v>16701.55</v>
      </c>
      <c r="L1478">
        <f t="shared" si="70"/>
        <v>1169.1099999999988</v>
      </c>
      <c r="M1478">
        <f t="shared" si="71"/>
        <v>15532.44</v>
      </c>
      <c r="N1478" t="s">
        <v>33</v>
      </c>
      <c r="O1478" t="s">
        <v>20</v>
      </c>
      <c r="P1478" t="s">
        <v>54</v>
      </c>
      <c r="Q1478" t="s">
        <v>37</v>
      </c>
    </row>
    <row r="1479" spans="1:17" x14ac:dyDescent="0.3">
      <c r="A1479" t="s">
        <v>1540</v>
      </c>
      <c r="B1479" s="1">
        <v>45796</v>
      </c>
      <c r="C1479" t="s">
        <v>52</v>
      </c>
      <c r="D1479" t="s">
        <v>43</v>
      </c>
      <c r="E1479" t="s">
        <v>49</v>
      </c>
      <c r="F1479" t="s">
        <v>53</v>
      </c>
      <c r="G1479">
        <v>2</v>
      </c>
      <c r="H1479">
        <v>169.64</v>
      </c>
      <c r="I1479">
        <v>0.11</v>
      </c>
      <c r="J1479">
        <v>301.95999999999998</v>
      </c>
      <c r="K1479">
        <f t="shared" si="69"/>
        <v>339.28</v>
      </c>
      <c r="L1479">
        <f t="shared" si="70"/>
        <v>37.319999999999993</v>
      </c>
      <c r="M1479">
        <f t="shared" si="71"/>
        <v>301.95999999999998</v>
      </c>
      <c r="N1479" t="s">
        <v>33</v>
      </c>
      <c r="O1479" t="s">
        <v>29</v>
      </c>
      <c r="P1479" t="s">
        <v>30</v>
      </c>
      <c r="Q1479" t="s">
        <v>37</v>
      </c>
    </row>
    <row r="1480" spans="1:17" x14ac:dyDescent="0.3">
      <c r="A1480" t="s">
        <v>1541</v>
      </c>
      <c r="B1480" s="1">
        <v>45713</v>
      </c>
      <c r="C1480" t="s">
        <v>52</v>
      </c>
      <c r="D1480" t="s">
        <v>43</v>
      </c>
      <c r="E1480" t="s">
        <v>17</v>
      </c>
      <c r="F1480" t="s">
        <v>18</v>
      </c>
      <c r="G1480">
        <v>3</v>
      </c>
      <c r="H1480">
        <v>3391.87</v>
      </c>
      <c r="I1480">
        <v>0.1</v>
      </c>
      <c r="J1480">
        <v>9158.0499999999993</v>
      </c>
      <c r="K1480">
        <f t="shared" si="69"/>
        <v>10175.61</v>
      </c>
      <c r="L1480">
        <f t="shared" si="70"/>
        <v>1017.5600000000013</v>
      </c>
      <c r="M1480">
        <f t="shared" si="71"/>
        <v>9158.0499999999993</v>
      </c>
      <c r="N1480" t="s">
        <v>46</v>
      </c>
      <c r="O1480" t="s">
        <v>20</v>
      </c>
      <c r="P1480" t="s">
        <v>30</v>
      </c>
      <c r="Q1480" t="s">
        <v>22</v>
      </c>
    </row>
    <row r="1481" spans="1:17" x14ac:dyDescent="0.3">
      <c r="A1481" t="s">
        <v>1542</v>
      </c>
      <c r="B1481" s="1">
        <v>45740</v>
      </c>
      <c r="C1481" t="s">
        <v>15</v>
      </c>
      <c r="D1481" t="s">
        <v>16</v>
      </c>
      <c r="E1481" t="s">
        <v>99</v>
      </c>
      <c r="F1481" t="s">
        <v>120</v>
      </c>
      <c r="G1481">
        <v>5</v>
      </c>
      <c r="H1481">
        <v>3231.21</v>
      </c>
      <c r="I1481">
        <v>0.02</v>
      </c>
      <c r="J1481">
        <v>15832.93</v>
      </c>
      <c r="K1481">
        <f t="shared" si="69"/>
        <v>16156.05</v>
      </c>
      <c r="L1481">
        <f t="shared" si="70"/>
        <v>323.11999999999898</v>
      </c>
      <c r="M1481">
        <f t="shared" si="71"/>
        <v>15832.93</v>
      </c>
      <c r="N1481" t="s">
        <v>46</v>
      </c>
      <c r="O1481" t="s">
        <v>29</v>
      </c>
      <c r="P1481" t="s">
        <v>54</v>
      </c>
      <c r="Q1481" t="s">
        <v>37</v>
      </c>
    </row>
    <row r="1482" spans="1:17" x14ac:dyDescent="0.3">
      <c r="A1482" t="s">
        <v>1543</v>
      </c>
      <c r="B1482" s="1">
        <v>45822</v>
      </c>
      <c r="C1482" t="s">
        <v>24</v>
      </c>
      <c r="D1482" t="s">
        <v>25</v>
      </c>
      <c r="E1482" t="s">
        <v>17</v>
      </c>
      <c r="F1482" t="s">
        <v>44</v>
      </c>
      <c r="G1482">
        <v>1</v>
      </c>
      <c r="H1482">
        <v>3848.01</v>
      </c>
      <c r="I1482">
        <v>0.08</v>
      </c>
      <c r="J1482">
        <v>3540.17</v>
      </c>
      <c r="K1482">
        <f t="shared" si="69"/>
        <v>3848.01</v>
      </c>
      <c r="L1482">
        <f t="shared" si="70"/>
        <v>307.84000000000015</v>
      </c>
      <c r="M1482">
        <f t="shared" si="71"/>
        <v>3540.17</v>
      </c>
      <c r="N1482" t="s">
        <v>46</v>
      </c>
      <c r="O1482" t="s">
        <v>20</v>
      </c>
      <c r="P1482" t="s">
        <v>21</v>
      </c>
      <c r="Q1482" t="s">
        <v>22</v>
      </c>
    </row>
    <row r="1483" spans="1:17" x14ac:dyDescent="0.3">
      <c r="A1483" t="s">
        <v>1544</v>
      </c>
      <c r="B1483" s="1">
        <v>45753</v>
      </c>
      <c r="C1483" t="s">
        <v>24</v>
      </c>
      <c r="D1483" t="s">
        <v>39</v>
      </c>
      <c r="E1483" t="s">
        <v>49</v>
      </c>
      <c r="F1483" t="s">
        <v>53</v>
      </c>
      <c r="G1483">
        <v>3</v>
      </c>
      <c r="H1483">
        <v>964.35</v>
      </c>
      <c r="I1483">
        <v>0.2</v>
      </c>
      <c r="J1483">
        <v>2314.44</v>
      </c>
      <c r="K1483">
        <f t="shared" si="69"/>
        <v>2893.05</v>
      </c>
      <c r="L1483">
        <f t="shared" si="70"/>
        <v>578.61000000000013</v>
      </c>
      <c r="M1483">
        <f t="shared" si="71"/>
        <v>2314.44</v>
      </c>
      <c r="N1483" t="s">
        <v>46</v>
      </c>
      <c r="O1483" t="s">
        <v>20</v>
      </c>
      <c r="P1483" t="s">
        <v>21</v>
      </c>
      <c r="Q1483" t="s">
        <v>22</v>
      </c>
    </row>
    <row r="1484" spans="1:17" x14ac:dyDescent="0.3">
      <c r="A1484" t="s">
        <v>1545</v>
      </c>
      <c r="B1484" s="1">
        <v>45751</v>
      </c>
      <c r="C1484" t="s">
        <v>24</v>
      </c>
      <c r="D1484" t="s">
        <v>43</v>
      </c>
      <c r="E1484" t="s">
        <v>27</v>
      </c>
      <c r="F1484" t="s">
        <v>79</v>
      </c>
      <c r="G1484">
        <v>3</v>
      </c>
      <c r="H1484">
        <v>885.67</v>
      </c>
      <c r="I1484">
        <v>0.2</v>
      </c>
      <c r="J1484">
        <v>2125.61</v>
      </c>
      <c r="K1484">
        <f t="shared" si="69"/>
        <v>2657.0099999999998</v>
      </c>
      <c r="L1484">
        <f t="shared" si="70"/>
        <v>531.39999999999964</v>
      </c>
      <c r="M1484">
        <f t="shared" si="71"/>
        <v>2125.61</v>
      </c>
      <c r="N1484" t="s">
        <v>19</v>
      </c>
      <c r="O1484" t="s">
        <v>20</v>
      </c>
      <c r="P1484" t="s">
        <v>21</v>
      </c>
      <c r="Q1484" t="s">
        <v>22</v>
      </c>
    </row>
    <row r="1485" spans="1:17" x14ac:dyDescent="0.3">
      <c r="A1485" t="s">
        <v>1546</v>
      </c>
      <c r="B1485" s="1">
        <v>45707</v>
      </c>
      <c r="C1485" t="s">
        <v>15</v>
      </c>
      <c r="D1485" t="s">
        <v>43</v>
      </c>
      <c r="E1485" t="s">
        <v>99</v>
      </c>
      <c r="F1485" t="s">
        <v>120</v>
      </c>
      <c r="G1485">
        <v>1</v>
      </c>
      <c r="H1485">
        <v>4055.65</v>
      </c>
      <c r="I1485">
        <v>0.19</v>
      </c>
      <c r="J1485">
        <v>3285.08</v>
      </c>
      <c r="K1485">
        <f t="shared" si="69"/>
        <v>4055.65</v>
      </c>
      <c r="L1485">
        <f t="shared" si="70"/>
        <v>770.57000000000016</v>
      </c>
      <c r="M1485">
        <f t="shared" si="71"/>
        <v>3285.08</v>
      </c>
      <c r="N1485" t="s">
        <v>41</v>
      </c>
      <c r="O1485" t="s">
        <v>34</v>
      </c>
      <c r="P1485" t="s">
        <v>30</v>
      </c>
      <c r="Q1485" t="s">
        <v>22</v>
      </c>
    </row>
    <row r="1486" spans="1:17" x14ac:dyDescent="0.3">
      <c r="A1486" t="s">
        <v>1547</v>
      </c>
      <c r="B1486" s="1">
        <v>45748</v>
      </c>
      <c r="C1486" t="s">
        <v>36</v>
      </c>
      <c r="D1486" t="s">
        <v>25</v>
      </c>
      <c r="E1486" t="s">
        <v>27</v>
      </c>
      <c r="F1486" t="s">
        <v>87</v>
      </c>
      <c r="G1486">
        <v>2</v>
      </c>
      <c r="H1486">
        <v>4189.1000000000004</v>
      </c>
      <c r="I1486">
        <v>0.23</v>
      </c>
      <c r="J1486">
        <v>6451.21</v>
      </c>
      <c r="K1486">
        <f t="shared" si="69"/>
        <v>8378.2000000000007</v>
      </c>
      <c r="L1486">
        <f t="shared" si="70"/>
        <v>1926.9900000000007</v>
      </c>
      <c r="M1486">
        <f t="shared" si="71"/>
        <v>6451.21</v>
      </c>
      <c r="N1486" t="s">
        <v>58</v>
      </c>
      <c r="O1486" t="s">
        <v>29</v>
      </c>
      <c r="P1486" t="s">
        <v>30</v>
      </c>
      <c r="Q1486" t="s">
        <v>22</v>
      </c>
    </row>
    <row r="1487" spans="1:17" x14ac:dyDescent="0.3">
      <c r="A1487" t="s">
        <v>1548</v>
      </c>
      <c r="B1487" s="1">
        <v>45767</v>
      </c>
      <c r="C1487" t="s">
        <v>24</v>
      </c>
      <c r="D1487" t="s">
        <v>39</v>
      </c>
      <c r="E1487" t="s">
        <v>99</v>
      </c>
      <c r="F1487" t="s">
        <v>100</v>
      </c>
      <c r="G1487">
        <v>2</v>
      </c>
      <c r="H1487">
        <v>118.24</v>
      </c>
      <c r="I1487">
        <v>0.09</v>
      </c>
      <c r="J1487">
        <v>215.2</v>
      </c>
      <c r="K1487">
        <f t="shared" si="69"/>
        <v>236.48</v>
      </c>
      <c r="L1487">
        <f t="shared" si="70"/>
        <v>21.28</v>
      </c>
      <c r="M1487">
        <f t="shared" si="71"/>
        <v>215.2</v>
      </c>
      <c r="N1487" t="s">
        <v>58</v>
      </c>
      <c r="O1487" t="s">
        <v>34</v>
      </c>
      <c r="P1487" t="s">
        <v>21</v>
      </c>
      <c r="Q1487" t="s">
        <v>22</v>
      </c>
    </row>
    <row r="1488" spans="1:17" x14ac:dyDescent="0.3">
      <c r="A1488" t="s">
        <v>1549</v>
      </c>
      <c r="B1488" s="1">
        <v>45688</v>
      </c>
      <c r="C1488" t="s">
        <v>15</v>
      </c>
      <c r="D1488" t="s">
        <v>16</v>
      </c>
      <c r="E1488" t="s">
        <v>49</v>
      </c>
      <c r="F1488" t="s">
        <v>56</v>
      </c>
      <c r="G1488">
        <v>2</v>
      </c>
      <c r="H1488">
        <v>4230.8100000000004</v>
      </c>
      <c r="I1488">
        <v>0.15</v>
      </c>
      <c r="J1488">
        <v>7192.38</v>
      </c>
      <c r="K1488">
        <f t="shared" si="69"/>
        <v>8461.6200000000008</v>
      </c>
      <c r="L1488">
        <f t="shared" si="70"/>
        <v>1269.2400000000007</v>
      </c>
      <c r="M1488">
        <f t="shared" si="71"/>
        <v>7192.38</v>
      </c>
      <c r="N1488" t="s">
        <v>41</v>
      </c>
      <c r="O1488" t="s">
        <v>20</v>
      </c>
      <c r="P1488" t="s">
        <v>21</v>
      </c>
      <c r="Q1488" t="s">
        <v>22</v>
      </c>
    </row>
    <row r="1489" spans="1:17" x14ac:dyDescent="0.3">
      <c r="A1489" t="s">
        <v>1550</v>
      </c>
      <c r="B1489" s="1">
        <v>45734</v>
      </c>
      <c r="C1489" t="s">
        <v>36</v>
      </c>
      <c r="D1489" t="s">
        <v>39</v>
      </c>
      <c r="E1489" t="s">
        <v>49</v>
      </c>
      <c r="F1489" t="s">
        <v>50</v>
      </c>
      <c r="G1489">
        <v>3</v>
      </c>
      <c r="H1489">
        <v>686.79</v>
      </c>
      <c r="I1489">
        <v>0.2</v>
      </c>
      <c r="J1489">
        <v>1648.3</v>
      </c>
      <c r="K1489">
        <f t="shared" si="69"/>
        <v>2060.37</v>
      </c>
      <c r="L1489">
        <f t="shared" si="70"/>
        <v>412.06999999999994</v>
      </c>
      <c r="M1489">
        <f t="shared" si="71"/>
        <v>1648.3</v>
      </c>
      <c r="N1489" t="s">
        <v>33</v>
      </c>
      <c r="O1489" t="s">
        <v>29</v>
      </c>
      <c r="P1489" t="s">
        <v>21</v>
      </c>
      <c r="Q1489" t="s">
        <v>22</v>
      </c>
    </row>
    <row r="1490" spans="1:17" x14ac:dyDescent="0.3">
      <c r="A1490" t="s">
        <v>1551</v>
      </c>
      <c r="B1490" s="1">
        <v>45697</v>
      </c>
      <c r="C1490" t="s">
        <v>15</v>
      </c>
      <c r="D1490" t="s">
        <v>39</v>
      </c>
      <c r="E1490" t="s">
        <v>27</v>
      </c>
      <c r="F1490" t="s">
        <v>87</v>
      </c>
      <c r="G1490">
        <v>1</v>
      </c>
      <c r="H1490">
        <v>4701.34</v>
      </c>
      <c r="I1490">
        <v>0.17</v>
      </c>
      <c r="J1490">
        <v>3902.11</v>
      </c>
      <c r="K1490">
        <f t="shared" si="69"/>
        <v>4701.34</v>
      </c>
      <c r="L1490">
        <f t="shared" si="70"/>
        <v>799.23</v>
      </c>
      <c r="M1490">
        <f t="shared" si="71"/>
        <v>3902.11</v>
      </c>
      <c r="N1490" t="s">
        <v>58</v>
      </c>
      <c r="O1490" t="s">
        <v>20</v>
      </c>
      <c r="P1490" t="s">
        <v>54</v>
      </c>
      <c r="Q1490" t="s">
        <v>88</v>
      </c>
    </row>
    <row r="1491" spans="1:17" x14ac:dyDescent="0.3">
      <c r="A1491" t="s">
        <v>1552</v>
      </c>
      <c r="B1491" s="1">
        <v>45839</v>
      </c>
      <c r="C1491" t="s">
        <v>15</v>
      </c>
      <c r="D1491" t="s">
        <v>39</v>
      </c>
      <c r="E1491" t="s">
        <v>61</v>
      </c>
      <c r="F1491" t="s">
        <v>66</v>
      </c>
      <c r="G1491">
        <v>5</v>
      </c>
      <c r="H1491">
        <v>1882.55</v>
      </c>
      <c r="I1491">
        <v>0.12</v>
      </c>
      <c r="J1491">
        <v>8283.2199999999993</v>
      </c>
      <c r="K1491">
        <f t="shared" si="69"/>
        <v>9412.75</v>
      </c>
      <c r="L1491">
        <f t="shared" si="70"/>
        <v>1129.5300000000007</v>
      </c>
      <c r="M1491">
        <f t="shared" si="71"/>
        <v>8283.2199999999993</v>
      </c>
      <c r="N1491" t="s">
        <v>41</v>
      </c>
      <c r="O1491" t="s">
        <v>20</v>
      </c>
      <c r="P1491" t="s">
        <v>21</v>
      </c>
      <c r="Q1491" t="s">
        <v>22</v>
      </c>
    </row>
    <row r="1492" spans="1:17" x14ac:dyDescent="0.3">
      <c r="A1492" t="s">
        <v>1553</v>
      </c>
      <c r="B1492" s="1">
        <v>45776</v>
      </c>
      <c r="C1492" t="s">
        <v>15</v>
      </c>
      <c r="D1492" t="s">
        <v>16</v>
      </c>
      <c r="E1492" t="s">
        <v>17</v>
      </c>
      <c r="F1492" t="s">
        <v>32</v>
      </c>
      <c r="G1492">
        <v>1</v>
      </c>
      <c r="H1492">
        <v>4360.57</v>
      </c>
      <c r="I1492">
        <v>0.23</v>
      </c>
      <c r="J1492">
        <v>3357.64</v>
      </c>
      <c r="K1492">
        <f t="shared" si="69"/>
        <v>4360.57</v>
      </c>
      <c r="L1492">
        <f t="shared" si="70"/>
        <v>1002.9299999999998</v>
      </c>
      <c r="M1492">
        <f t="shared" si="71"/>
        <v>3357.64</v>
      </c>
      <c r="N1492" t="s">
        <v>19</v>
      </c>
      <c r="O1492" t="s">
        <v>29</v>
      </c>
      <c r="P1492" t="s">
        <v>21</v>
      </c>
      <c r="Q1492" t="s">
        <v>22</v>
      </c>
    </row>
    <row r="1493" spans="1:17" x14ac:dyDescent="0.3">
      <c r="A1493" t="s">
        <v>1554</v>
      </c>
      <c r="B1493" s="1">
        <v>45758</v>
      </c>
      <c r="C1493" t="s">
        <v>15</v>
      </c>
      <c r="D1493" t="s">
        <v>43</v>
      </c>
      <c r="E1493" t="s">
        <v>17</v>
      </c>
      <c r="F1493" t="s">
        <v>32</v>
      </c>
      <c r="G1493">
        <v>2</v>
      </c>
      <c r="H1493">
        <v>2924.42</v>
      </c>
      <c r="I1493">
        <v>0.15</v>
      </c>
      <c r="J1493">
        <v>4971.51</v>
      </c>
      <c r="K1493">
        <f t="shared" si="69"/>
        <v>5848.84</v>
      </c>
      <c r="L1493">
        <f t="shared" si="70"/>
        <v>877.32999999999993</v>
      </c>
      <c r="M1493">
        <f t="shared" si="71"/>
        <v>4971.51</v>
      </c>
      <c r="N1493" t="s">
        <v>46</v>
      </c>
      <c r="O1493" t="s">
        <v>20</v>
      </c>
      <c r="P1493" t="s">
        <v>54</v>
      </c>
      <c r="Q1493" t="s">
        <v>22</v>
      </c>
    </row>
    <row r="1494" spans="1:17" x14ac:dyDescent="0.3">
      <c r="A1494" t="s">
        <v>1555</v>
      </c>
      <c r="B1494" s="1">
        <v>45804</v>
      </c>
      <c r="C1494" t="s">
        <v>36</v>
      </c>
      <c r="D1494" t="s">
        <v>16</v>
      </c>
      <c r="E1494" t="s">
        <v>99</v>
      </c>
      <c r="F1494" t="s">
        <v>120</v>
      </c>
      <c r="G1494">
        <v>5</v>
      </c>
      <c r="H1494">
        <v>1556.31</v>
      </c>
      <c r="I1494">
        <v>0.14000000000000001</v>
      </c>
      <c r="J1494">
        <v>6692.13</v>
      </c>
      <c r="K1494">
        <f t="shared" si="69"/>
        <v>7781.5499999999993</v>
      </c>
      <c r="L1494">
        <f t="shared" si="70"/>
        <v>1089.4199999999992</v>
      </c>
      <c r="M1494">
        <f t="shared" si="71"/>
        <v>6692.13</v>
      </c>
      <c r="N1494" t="s">
        <v>33</v>
      </c>
      <c r="O1494" t="s">
        <v>29</v>
      </c>
      <c r="P1494" t="s">
        <v>30</v>
      </c>
      <c r="Q1494" t="s">
        <v>37</v>
      </c>
    </row>
    <row r="1495" spans="1:17" x14ac:dyDescent="0.3">
      <c r="A1495" t="s">
        <v>1556</v>
      </c>
      <c r="B1495" s="1">
        <v>45830</v>
      </c>
      <c r="C1495" t="s">
        <v>48</v>
      </c>
      <c r="D1495" t="s">
        <v>16</v>
      </c>
      <c r="E1495" t="s">
        <v>17</v>
      </c>
      <c r="F1495" t="s">
        <v>32</v>
      </c>
      <c r="G1495">
        <v>3</v>
      </c>
      <c r="H1495">
        <v>1418.34</v>
      </c>
      <c r="I1495">
        <v>0.01</v>
      </c>
      <c r="J1495">
        <v>4212.47</v>
      </c>
      <c r="K1495">
        <f t="shared" si="69"/>
        <v>4255.0199999999995</v>
      </c>
      <c r="L1495">
        <f t="shared" si="70"/>
        <v>42.549999999999272</v>
      </c>
      <c r="M1495">
        <f t="shared" si="71"/>
        <v>4212.47</v>
      </c>
      <c r="N1495" t="s">
        <v>58</v>
      </c>
      <c r="O1495" t="s">
        <v>29</v>
      </c>
      <c r="P1495" t="s">
        <v>54</v>
      </c>
      <c r="Q1495" t="s">
        <v>37</v>
      </c>
    </row>
    <row r="1496" spans="1:17" x14ac:dyDescent="0.3">
      <c r="A1496" t="s">
        <v>1557</v>
      </c>
      <c r="B1496" s="1">
        <v>45686</v>
      </c>
      <c r="C1496" t="s">
        <v>24</v>
      </c>
      <c r="D1496" t="s">
        <v>39</v>
      </c>
      <c r="E1496" t="s">
        <v>27</v>
      </c>
      <c r="F1496" t="s">
        <v>79</v>
      </c>
      <c r="G1496">
        <v>4</v>
      </c>
      <c r="H1496">
        <v>4066.55</v>
      </c>
      <c r="I1496">
        <v>0.1</v>
      </c>
      <c r="J1496">
        <v>14639.58</v>
      </c>
      <c r="K1496">
        <f t="shared" si="69"/>
        <v>16266.2</v>
      </c>
      <c r="L1496">
        <f t="shared" si="70"/>
        <v>1626.6200000000008</v>
      </c>
      <c r="M1496">
        <f t="shared" si="71"/>
        <v>14639.58</v>
      </c>
      <c r="N1496" t="s">
        <v>41</v>
      </c>
      <c r="O1496" t="s">
        <v>20</v>
      </c>
      <c r="P1496" t="s">
        <v>54</v>
      </c>
      <c r="Q1496" t="s">
        <v>22</v>
      </c>
    </row>
    <row r="1497" spans="1:17" x14ac:dyDescent="0.3">
      <c r="A1497" t="s">
        <v>1558</v>
      </c>
      <c r="B1497" s="1">
        <v>45827</v>
      </c>
      <c r="C1497" t="s">
        <v>24</v>
      </c>
      <c r="D1497" t="s">
        <v>16</v>
      </c>
      <c r="E1497" t="s">
        <v>27</v>
      </c>
      <c r="F1497" t="s">
        <v>68</v>
      </c>
      <c r="G1497">
        <v>2</v>
      </c>
      <c r="H1497">
        <v>3277.58</v>
      </c>
      <c r="I1497">
        <v>0.14000000000000001</v>
      </c>
      <c r="J1497">
        <v>5637.44</v>
      </c>
      <c r="K1497">
        <f t="shared" si="69"/>
        <v>6555.16</v>
      </c>
      <c r="L1497">
        <f t="shared" si="70"/>
        <v>917.72000000000025</v>
      </c>
      <c r="M1497">
        <f t="shared" si="71"/>
        <v>5637.44</v>
      </c>
      <c r="N1497" t="s">
        <v>46</v>
      </c>
      <c r="O1497" t="s">
        <v>20</v>
      </c>
      <c r="P1497" t="s">
        <v>54</v>
      </c>
      <c r="Q1497" t="s">
        <v>22</v>
      </c>
    </row>
    <row r="1498" spans="1:17" x14ac:dyDescent="0.3">
      <c r="A1498" t="s">
        <v>1559</v>
      </c>
      <c r="B1498" s="1">
        <v>45673</v>
      </c>
      <c r="C1498" t="s">
        <v>36</v>
      </c>
      <c r="D1498" t="s">
        <v>43</v>
      </c>
      <c r="E1498" t="s">
        <v>61</v>
      </c>
      <c r="F1498" t="s">
        <v>75</v>
      </c>
      <c r="G1498">
        <v>1</v>
      </c>
      <c r="H1498">
        <v>3438.91</v>
      </c>
      <c r="I1498">
        <v>0.22</v>
      </c>
      <c r="J1498">
        <v>2682.35</v>
      </c>
      <c r="K1498">
        <f t="shared" si="69"/>
        <v>3438.91</v>
      </c>
      <c r="L1498">
        <f t="shared" si="70"/>
        <v>756.56</v>
      </c>
      <c r="M1498">
        <f t="shared" si="71"/>
        <v>2682.35</v>
      </c>
      <c r="N1498" t="s">
        <v>19</v>
      </c>
      <c r="O1498" t="s">
        <v>34</v>
      </c>
      <c r="P1498" t="s">
        <v>21</v>
      </c>
      <c r="Q1498" t="s">
        <v>22</v>
      </c>
    </row>
    <row r="1499" spans="1:17" x14ac:dyDescent="0.3">
      <c r="A1499" t="s">
        <v>1560</v>
      </c>
      <c r="B1499" s="1">
        <v>45713</v>
      </c>
      <c r="C1499" t="s">
        <v>48</v>
      </c>
      <c r="D1499" t="s">
        <v>43</v>
      </c>
      <c r="E1499" t="s">
        <v>61</v>
      </c>
      <c r="F1499" t="s">
        <v>62</v>
      </c>
      <c r="G1499">
        <v>4</v>
      </c>
      <c r="H1499">
        <v>1043.1099999999999</v>
      </c>
      <c r="I1499">
        <v>0.13</v>
      </c>
      <c r="J1499">
        <v>3630.02</v>
      </c>
      <c r="K1499">
        <f t="shared" si="69"/>
        <v>4172.4399999999996</v>
      </c>
      <c r="L1499">
        <f t="shared" si="70"/>
        <v>542.41999999999962</v>
      </c>
      <c r="M1499">
        <f t="shared" si="71"/>
        <v>3630.02</v>
      </c>
      <c r="N1499" t="s">
        <v>19</v>
      </c>
      <c r="O1499" t="s">
        <v>29</v>
      </c>
      <c r="P1499" t="s">
        <v>30</v>
      </c>
      <c r="Q1499" t="s">
        <v>22</v>
      </c>
    </row>
    <row r="1500" spans="1:17" x14ac:dyDescent="0.3">
      <c r="A1500" t="s">
        <v>1561</v>
      </c>
      <c r="B1500" s="1">
        <v>45810</v>
      </c>
      <c r="C1500" t="s">
        <v>36</v>
      </c>
      <c r="D1500" t="s">
        <v>25</v>
      </c>
      <c r="E1500" t="s">
        <v>27</v>
      </c>
      <c r="F1500" t="s">
        <v>87</v>
      </c>
      <c r="G1500">
        <v>2</v>
      </c>
      <c r="H1500">
        <v>3120.29</v>
      </c>
      <c r="I1500">
        <v>0.22</v>
      </c>
      <c r="J1500">
        <v>4867.6499999999996</v>
      </c>
      <c r="K1500">
        <f t="shared" si="69"/>
        <v>6240.58</v>
      </c>
      <c r="L1500">
        <f t="shared" si="70"/>
        <v>1372.9300000000003</v>
      </c>
      <c r="M1500">
        <f t="shared" si="71"/>
        <v>4867.6499999999996</v>
      </c>
      <c r="N1500" t="s">
        <v>46</v>
      </c>
      <c r="O1500" t="s">
        <v>34</v>
      </c>
      <c r="P1500" t="s">
        <v>21</v>
      </c>
      <c r="Q1500" t="s">
        <v>22</v>
      </c>
    </row>
    <row r="1501" spans="1:17" x14ac:dyDescent="0.3">
      <c r="A1501" t="s">
        <v>1562</v>
      </c>
      <c r="B1501" s="1">
        <v>45813</v>
      </c>
      <c r="C1501" t="s">
        <v>24</v>
      </c>
      <c r="D1501" t="s">
        <v>43</v>
      </c>
      <c r="E1501" t="s">
        <v>27</v>
      </c>
      <c r="F1501" t="s">
        <v>87</v>
      </c>
      <c r="G1501">
        <v>5</v>
      </c>
      <c r="H1501">
        <v>1036.71</v>
      </c>
      <c r="I1501">
        <v>0.06</v>
      </c>
      <c r="J1501">
        <v>4872.54</v>
      </c>
      <c r="K1501">
        <f t="shared" si="69"/>
        <v>5183.55</v>
      </c>
      <c r="L1501">
        <f t="shared" si="70"/>
        <v>311.01000000000022</v>
      </c>
      <c r="M1501">
        <f t="shared" si="71"/>
        <v>4872.54</v>
      </c>
      <c r="N1501" t="s">
        <v>58</v>
      </c>
      <c r="O1501" t="s">
        <v>34</v>
      </c>
      <c r="P1501" t="s">
        <v>54</v>
      </c>
      <c r="Q1501"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Q1</vt:lpstr>
      <vt:lpstr>Q2</vt:lpstr>
      <vt:lpstr>Q3</vt:lpstr>
      <vt:lpstr>Q4</vt:lpstr>
      <vt:lpstr>Q5</vt:lpstr>
      <vt:lpstr>Q6</vt:lpstr>
      <vt:lpstr>Q7</vt:lpstr>
      <vt:lpstr>Q8</vt:lpstr>
      <vt:lpstr>Q9</vt:lpstr>
      <vt:lpstr>Q10</vt:lpstr>
      <vt:lpstr>Q11</vt:lpstr>
      <vt:lpstr>Q12</vt:lpstr>
      <vt:lpstr>Q13</vt:lpstr>
      <vt:lpstr>Q14</vt:lpstr>
      <vt:lpstr>Sheet1</vt:lpstr>
      <vt:lpstr>E-Commerce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dc:creator>
  <cp:lastModifiedBy>MUKESH KUMAR BEHERA</cp:lastModifiedBy>
  <dcterms:created xsi:type="dcterms:W3CDTF">2025-07-18T10:47:01Z</dcterms:created>
  <dcterms:modified xsi:type="dcterms:W3CDTF">2026-01-27T15:49:05Z</dcterms:modified>
</cp:coreProperties>
</file>