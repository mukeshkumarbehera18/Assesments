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Statistics\Assessment\"/>
    </mc:Choice>
  </mc:AlternateContent>
  <xr:revisionPtr revIDLastSave="0" documentId="8_{008C8ADF-1218-4109-A02C-E9DD2E8C24E8}" xr6:coauthVersionLast="47" xr6:coauthVersionMax="47" xr10:uidLastSave="{00000000-0000-0000-0000-000000000000}"/>
  <bookViews>
    <workbookView xWindow="-108" yWindow="-108" windowWidth="23256" windowHeight="12456" activeTab="2" xr2:uid="{B09A3801-5493-4DBE-B7E3-785D09D8EE9B}"/>
  </bookViews>
  <sheets>
    <sheet name="Question 2" sheetId="2" r:id="rId1"/>
    <sheet name="Question 3" sheetId="3" r:id="rId2"/>
    <sheet name="Question 4" sheetId="4" r:id="rId3"/>
    <sheet name="Question 1 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4" l="1"/>
  <c r="J25" i="4"/>
  <c r="I26" i="4"/>
  <c r="J26" i="4"/>
  <c r="J27" i="4" s="1"/>
  <c r="H26" i="4"/>
  <c r="K26" i="4" s="1"/>
  <c r="H25" i="4"/>
  <c r="I27" i="4"/>
  <c r="C25" i="4"/>
  <c r="C27" i="4" s="1"/>
  <c r="D25" i="4"/>
  <c r="D27" i="4" s="1"/>
  <c r="C26" i="4"/>
  <c r="D26" i="4"/>
  <c r="B26" i="4"/>
  <c r="B25" i="4"/>
  <c r="E26" i="4"/>
  <c r="H19" i="4"/>
  <c r="I19" i="4"/>
  <c r="J19" i="4"/>
  <c r="I18" i="4"/>
  <c r="J18" i="4"/>
  <c r="H18" i="4"/>
  <c r="I20" i="4"/>
  <c r="J20" i="4"/>
  <c r="K19" i="4"/>
  <c r="E20" i="4"/>
  <c r="C20" i="4"/>
  <c r="D20" i="4"/>
  <c r="B20" i="4"/>
  <c r="E19" i="4"/>
  <c r="E18" i="4"/>
  <c r="H27" i="4" l="1"/>
  <c r="K25" i="4"/>
  <c r="K27" i="4" s="1"/>
  <c r="E25" i="4"/>
  <c r="E27" i="4"/>
  <c r="B27" i="4"/>
  <c r="K18" i="4"/>
  <c r="K20" i="4" s="1"/>
  <c r="H20" i="4"/>
  <c r="D15" i="2" l="1"/>
  <c r="D10" i="2"/>
</calcChain>
</file>

<file path=xl/sharedStrings.xml><?xml version="1.0" encoding="utf-8"?>
<sst xmlns="http://schemas.openxmlformats.org/spreadsheetml/2006/main" count="153" uniqueCount="105">
  <si>
    <t xml:space="preserve">1. Define: o Correlation vs. Covariance </t>
  </si>
  <si>
    <t xml:space="preserve">o Null and Alternative Hypothesis </t>
  </si>
  <si>
    <t>o p-value and significance level</t>
  </si>
  <si>
    <t>Ans</t>
  </si>
  <si>
    <t>(i)</t>
  </si>
  <si>
    <t>It tells whether two variables move together or not.</t>
  </si>
  <si>
    <t>If zero =  no relationship</t>
  </si>
  <si>
    <t>Correlation</t>
  </si>
  <si>
    <t>Covariance</t>
  </si>
  <si>
    <t>It measures measures how strongly and in what direction two variables are related (standardized between −1 and +1).</t>
  </si>
  <si>
    <t>If positive = both move in same direction</t>
  </si>
  <si>
    <t>If negative = move in opposite direction</t>
  </si>
  <si>
    <t>(ii)</t>
  </si>
  <si>
    <t>Null Hypothesis</t>
  </si>
  <si>
    <r>
      <t>Null Hypothesis (H₀):</t>
    </r>
    <r>
      <rPr>
        <sz val="11"/>
        <color theme="1"/>
        <rFont val="Calibri"/>
        <family val="2"/>
        <scheme val="minor"/>
      </rPr>
      <t xml:space="preserve"> Assumes there is </t>
    </r>
    <r>
      <rPr>
        <i/>
        <sz val="11"/>
        <color theme="1"/>
        <rFont val="Calibri"/>
        <family val="2"/>
        <scheme val="minor"/>
      </rPr>
      <t>no effect, no difference, or no relationship</t>
    </r>
    <r>
      <rPr>
        <sz val="11"/>
        <color theme="1"/>
        <rFont val="Calibri"/>
        <family val="2"/>
        <scheme val="minor"/>
      </rPr>
      <t>.</t>
    </r>
  </si>
  <si>
    <t>Alternative Hypothesis</t>
  </si>
  <si>
    <t>(iii)</t>
  </si>
  <si>
    <t>p-value</t>
  </si>
  <si>
    <t>The probability of getting the observed result (or more extreme) if the null hypothesis is true.</t>
  </si>
  <si>
    <t>Signifant Level</t>
  </si>
  <si>
    <t>The threshold (like 0.05) used to decide whether to reject the null hypothesis.</t>
  </si>
  <si>
    <r>
      <t xml:space="preserve"> If </t>
    </r>
    <r>
      <rPr>
        <b/>
        <sz val="11"/>
        <color theme="1"/>
        <rFont val="Calibri"/>
        <family val="2"/>
        <scheme val="minor"/>
      </rPr>
      <t>p-value &lt; α</t>
    </r>
    <r>
      <rPr>
        <sz val="11"/>
        <color theme="1"/>
        <rFont val="Calibri"/>
        <family val="2"/>
        <scheme val="minor"/>
      </rPr>
      <t>, reject H₀.</t>
    </r>
  </si>
  <si>
    <t>`</t>
  </si>
  <si>
    <t>2. The stock prices of Company A and B over 20 days are:</t>
  </si>
  <si>
    <t>• Company A: 45, 47, 48, 50, 52, 53, 55, 56, 58, 60, 62, 64, 65, 67, 69, 70, 72, 74, 76, 77</t>
  </si>
  <si>
    <t>• Company B: 52, 54, 55, 57, 59, 60, 61, 62, 64, 66, 67, 69, 71, 73, 74, 76, 78, 80, 82, 83</t>
  </si>
  <si>
    <t>Tasks:</t>
  </si>
  <si>
    <t>• Calculate Covariance and Pearson Correlation between A and B</t>
  </si>
  <si>
    <t>• Interpret the nature of their relationship.</t>
  </si>
  <si>
    <t xml:space="preserve"> Company A</t>
  </si>
  <si>
    <t xml:space="preserve"> Company B</t>
  </si>
  <si>
    <t>Covariance between Company A and Company B</t>
  </si>
  <si>
    <t>Correlation between Company A and Company B</t>
  </si>
  <si>
    <t>As the correlation came as 0.998 which is nearly 1, we can say that it is a positive Correlation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</si>
  <si>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</si>
  <si>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</si>
  <si>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</si>
  <si>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</si>
  <si>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</si>
  <si>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</si>
  <si>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</si>
  <si>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</si>
  <si>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</si>
  <si>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</si>
  <si>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</si>
  <si>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</si>
  <si>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</si>
  <si>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3. A two-sample z-test is conducted to compare exam scores:</t>
  </si>
  <si>
    <t>• Group 1: [85, 88, 92, 87, 90]</t>
  </si>
  <si>
    <t>• Group 2: [78, 80, 75, 82, 76]</t>
  </si>
  <si>
    <t>o Test at 5% significance level</t>
  </si>
  <si>
    <t>o Assume population std. dev = 5 for both groups.</t>
  </si>
  <si>
    <t>o Perform the test and state your conclusion</t>
  </si>
  <si>
    <t>Group 1</t>
  </si>
  <si>
    <t>Group 2</t>
  </si>
  <si>
    <t>Significance Level Alpha = 0.05</t>
  </si>
  <si>
    <t>S.D = 5</t>
  </si>
  <si>
    <t>Variance = 25</t>
  </si>
  <si>
    <t>As here the variance is know to us, hence we will use the Z test</t>
  </si>
  <si>
    <r>
      <t>Alternative Hypothesis (H₁):</t>
    </r>
    <r>
      <rPr>
        <sz val="11"/>
        <color theme="1"/>
        <rFont val="Calibri"/>
        <family val="2"/>
        <scheme val="minor"/>
      </rPr>
      <t xml:space="preserve"> Assumes there </t>
    </r>
    <r>
      <rPr>
        <i/>
        <sz val="11"/>
        <color theme="1"/>
        <rFont val="Calibri"/>
        <family val="2"/>
        <scheme val="minor"/>
      </rPr>
      <t>is an effect, difference, or relationship</t>
    </r>
    <r>
      <rPr>
        <sz val="11"/>
        <color theme="1"/>
        <rFont val="Calibri"/>
        <family val="2"/>
        <scheme val="minor"/>
      </rPr>
      <t>.</t>
    </r>
  </si>
  <si>
    <t>H₀: (Mu1 = Mu2)</t>
  </si>
  <si>
    <t>H₁ : (Mu1 != Mu2)</t>
  </si>
  <si>
    <t>There is no signifincat different between the population mean of the two groups.</t>
  </si>
  <si>
    <t>There is a signifincat different between the population mean of the two groups.</t>
  </si>
  <si>
    <t>z-Test: Two Sample for Means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</si>
  <si>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</si>
  <si>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</si>
  <si>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</si>
  <si>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</si>
  <si>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</si>
  <si>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</si>
  <si>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</si>
  <si>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</si>
  <si>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Z crtic</t>
  </si>
  <si>
    <t>Z stat</t>
  </si>
  <si>
    <t>&lt;</t>
  </si>
  <si>
    <t>p value</t>
  </si>
  <si>
    <t>alpha</t>
  </si>
  <si>
    <r>
      <rPr>
        <b/>
        <sz val="11"/>
        <color theme="1"/>
        <rFont val="Calibri"/>
        <family val="2"/>
        <scheme val="minor"/>
      </rPr>
      <t xml:space="preserve">Hence </t>
    </r>
    <r>
      <rPr>
        <sz val="11"/>
        <color theme="1"/>
        <rFont val="Calibri"/>
        <family val="2"/>
        <scheme val="minor"/>
      </rPr>
      <t xml:space="preserve">we conclude that there is a </t>
    </r>
    <r>
      <rPr>
        <b/>
        <sz val="11"/>
        <color theme="1"/>
        <rFont val="Calibri"/>
        <family val="2"/>
        <scheme val="minor"/>
      </rPr>
      <t>signifincant difference</t>
    </r>
    <r>
      <rPr>
        <sz val="11"/>
        <color theme="1"/>
        <rFont val="Calibri"/>
        <family val="2"/>
        <scheme val="minor"/>
      </rPr>
      <t xml:space="preserve"> between the populatiobn mean of the two groups</t>
    </r>
  </si>
  <si>
    <r>
      <rPr>
        <b/>
        <sz val="11"/>
        <color theme="1"/>
        <rFont val="Calibri"/>
        <family val="2"/>
        <scheme val="minor"/>
      </rPr>
      <t xml:space="preserve">As </t>
    </r>
    <r>
      <rPr>
        <sz val="11"/>
        <color theme="1"/>
        <rFont val="Calibri"/>
        <family val="2"/>
        <scheme val="minor"/>
      </rPr>
      <t xml:space="preserve">p value (0.001) is less than the alpha value (0.05), so we </t>
    </r>
    <r>
      <rPr>
        <b/>
        <sz val="11"/>
        <color theme="1"/>
        <rFont val="Calibri"/>
        <family val="2"/>
        <scheme val="minor"/>
      </rPr>
      <t>reject</t>
    </r>
    <r>
      <rPr>
        <sz val="11"/>
        <color theme="1"/>
        <rFont val="Calibri"/>
        <family val="2"/>
        <scheme val="minor"/>
      </rPr>
      <t xml:space="preserve"> the </t>
    </r>
    <r>
      <rPr>
        <b/>
        <sz val="11"/>
        <color theme="1"/>
        <rFont val="Calibri"/>
        <family val="2"/>
        <scheme val="minor"/>
      </rPr>
      <t xml:space="preserve">Null Hypothesis. </t>
    </r>
  </si>
  <si>
    <t>4. A survey was conducted to check ice cream preference by gender:</t>
  </si>
  <si>
    <t>Chocolate</t>
  </si>
  <si>
    <t xml:space="preserve">Vanilla </t>
  </si>
  <si>
    <t>Strawberry</t>
  </si>
  <si>
    <t>Male</t>
  </si>
  <si>
    <t>Female</t>
  </si>
  <si>
    <t>• Perform a Chi-Square Test for Independence.</t>
  </si>
  <si>
    <t>• State H₀ and H₁. Interpret your result.</t>
  </si>
  <si>
    <t xml:space="preserve">H₀: </t>
  </si>
  <si>
    <t>H₁:</t>
  </si>
  <si>
    <t xml:space="preserve">Performing chi - square test </t>
  </si>
  <si>
    <t>Oi</t>
  </si>
  <si>
    <t>Total</t>
  </si>
  <si>
    <t>Ei</t>
  </si>
  <si>
    <t>(Oi-Ei)^2</t>
  </si>
  <si>
    <t>(Oi-Ei)^2/ Ei</t>
  </si>
  <si>
    <t>Here df = 2</t>
  </si>
  <si>
    <r>
      <t xml:space="preserve">For df = 2 and significant 0.05, the critical value from the table is </t>
    </r>
    <r>
      <rPr>
        <b/>
        <sz val="11"/>
        <color theme="1"/>
        <rFont val="Calibri"/>
        <family val="2"/>
        <scheme val="minor"/>
      </rPr>
      <t>5.991</t>
    </r>
  </si>
  <si>
    <t>As,</t>
  </si>
  <si>
    <t>F critic</t>
  </si>
  <si>
    <t>F stat</t>
  </si>
  <si>
    <t>&gt;</t>
  </si>
  <si>
    <t>Here F critic is greater than the F stat so we failed to reject the Null Hypothesis and conclude that the there is no significant difference in ice cream preference by gender</t>
  </si>
  <si>
    <t>There is significant difference in ice cream preferance by gender</t>
  </si>
  <si>
    <t>There is no significant difference in ice cream preferance by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</si>
</sst>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 applyAlignment="1">
      <alignment horizontal="left" vertical="center" indent="1"/>
    </xf>
    <xf numFmtId="0" fontId="0" fillId="3" borderId="0" xfId="0" applyFill="1"/>
    <xf numFmtId="0" fontId="0" fillId="4" borderId="0" xfId="0" applyFill="1"/>
    <xf numFmtId="0" fontId="1" fillId="0" borderId="0" xfId="0" applyFont="1"/>
    <xf numFmtId="0" fontId="1" fillId="3" borderId="0" xfId="0" applyFont="1" applyFill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0" fillId="5" borderId="0" xfId="0" applyFill="1"/>
    <xf numFmtId="0" fontId="0" fillId="0" borderId="3" xfId="0" applyBorder="1"/>
    <xf numFmtId="0" fontId="0" fillId="5" borderId="3" xfId="0" applyFill="1" applyBorder="1"/>
    <xf numFmtId="0" fontId="1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B8CF-2CC7-4E02-8271-B8FF4AA827F4}">
  <dimension ref="A1:G32"/>
  <sheetViews>
    <sheetView zoomScale="130" zoomScaleNormal="130" workbookViewId="0">
      <selection activeCell="D10" sqref="D10"/>
    </sheetView>
  </sheetViews>
  <sheetFormatPr defaultRowHeight="14.4" x14ac:dyDescent="0.3"/>
  <cols>
    <col min="4" max="4" width="17.109375" customWidth="1"/>
    <col min="5" max="5" width="13.6640625" customWidth="1"/>
  </cols>
  <sheetData>
    <row r="1" spans="1:4" x14ac:dyDescent="0.3">
      <c r="A1" t="s">
        <v>23</v>
      </c>
    </row>
    <row r="2" spans="1:4" x14ac:dyDescent="0.3">
      <c r="B2" t="s">
        <v>24</v>
      </c>
    </row>
    <row r="3" spans="1:4" x14ac:dyDescent="0.3">
      <c r="B3" t="s">
        <v>25</v>
      </c>
    </row>
    <row r="4" spans="1:4" x14ac:dyDescent="0.3">
      <c r="A4" t="s">
        <v>26</v>
      </c>
    </row>
    <row r="5" spans="1:4" x14ac:dyDescent="0.3">
      <c r="B5" t="s">
        <v>27</v>
      </c>
    </row>
    <row r="6" spans="1:4" x14ac:dyDescent="0.3">
      <c r="B6" t="s">
        <v>28</v>
      </c>
    </row>
    <row r="8" spans="1:4" x14ac:dyDescent="0.3">
      <c r="A8" t="s">
        <v>29</v>
      </c>
      <c r="B8" t="s">
        <v>30</v>
      </c>
    </row>
    <row r="9" spans="1:4" x14ac:dyDescent="0.3">
      <c r="A9">
        <v>45</v>
      </c>
      <c r="B9">
        <v>52</v>
      </c>
      <c r="D9" s="5" t="s">
        <v>31</v>
      </c>
    </row>
    <row r="10" spans="1:4" x14ac:dyDescent="0.3">
      <c r="A10">
        <v>47</v>
      </c>
      <c r="B10">
        <v>54</v>
      </c>
      <c r="D10">
        <f>_xlfn.COVARIANCE.S(A9:A28,B9:B28)</f>
        <v>97.526315789473685</v>
      </c>
    </row>
    <row r="11" spans="1:4" x14ac:dyDescent="0.3">
      <c r="A11">
        <v>48</v>
      </c>
      <c r="B11">
        <v>55</v>
      </c>
    </row>
    <row r="12" spans="1:4" x14ac:dyDescent="0.3">
      <c r="A12">
        <v>50</v>
      </c>
      <c r="B12">
        <v>57</v>
      </c>
    </row>
    <row r="13" spans="1:4" x14ac:dyDescent="0.3">
      <c r="A13">
        <v>52</v>
      </c>
      <c r="B13">
        <v>59</v>
      </c>
    </row>
    <row r="14" spans="1:4" x14ac:dyDescent="0.3">
      <c r="A14">
        <v>53</v>
      </c>
      <c r="B14">
        <v>60</v>
      </c>
      <c r="D14" s="5" t="s">
        <v>32</v>
      </c>
    </row>
    <row r="15" spans="1:4" x14ac:dyDescent="0.3">
      <c r="A15">
        <v>55</v>
      </c>
      <c r="B15">
        <v>61</v>
      </c>
      <c r="D15">
        <f>CORREL(A9:A28,B9:B28)</f>
        <v>0.99859572699637911</v>
      </c>
    </row>
    <row r="16" spans="1:4" x14ac:dyDescent="0.3">
      <c r="A16">
        <v>56</v>
      </c>
      <c r="B16">
        <v>62</v>
      </c>
      <c r="D16" t="s">
        <v>33</v>
      </c>
    </row>
    <row r="17" spans="1:7" ht="15" thickBot="1" x14ac:dyDescent="0.35">
      <c r="A17">
        <v>58</v>
      </c>
      <c r="B17">
        <v>64</v>
      </c>
    </row>
    <row r="18" spans="1:7" x14ac:dyDescent="0.3">
      <c r="A18">
        <v>60</v>
      </c>
      <c r="B18">
        <v>66</v>
      </c>
      <c r="D18" s="9" t="s">
        <v>29</v>
      </c>
      <c r="E18" s="9"/>
      <c r="F18" s="9" t="s">
        <v>30</v>
      </c>
      <c r="G18" s="9"/>
    </row>
    <row r="19" spans="1:7" x14ac:dyDescent="0.3">
      <c r="A19">
        <v>62</v>
      </c>
      <c r="B19">
        <v>67</v>
      </c>
      <c r="D19" s="7"/>
      <c r="E19" s="7"/>
      <c r="F19" s="7"/>
      <c r="G19" s="7"/>
    </row>
    <row r="20" spans="1:7" x14ac:dyDescent="0.3">
      <c r="A20">
        <v>64</v>
      </c>
      <c r="B20">
        <v>69</v>
      </c>
      <c r="D20" s="7" t="s">
        <v>34</v>
      </c>
      <c r="E20" s="7">
        <v>61</v>
      </c>
      <c r="F20" s="7" t="s">
        <v>34</v>
      </c>
      <c r="G20" s="7">
        <v>67.150000000000006</v>
      </c>
    </row>
    <row r="21" spans="1:7" x14ac:dyDescent="0.3">
      <c r="A21">
        <v>65</v>
      </c>
      <c r="B21">
        <v>71</v>
      </c>
      <c r="D21" s="7" t="s">
        <v>35</v>
      </c>
      <c r="E21" s="7">
        <v>2.257152374587339</v>
      </c>
      <c r="F21" s="7" t="s">
        <v>35</v>
      </c>
      <c r="G21" s="7">
        <v>2.1634219969395967</v>
      </c>
    </row>
    <row r="22" spans="1:7" x14ac:dyDescent="0.3">
      <c r="A22">
        <v>67</v>
      </c>
      <c r="B22">
        <v>73</v>
      </c>
      <c r="D22" s="7" t="s">
        <v>36</v>
      </c>
      <c r="E22" s="7">
        <v>61</v>
      </c>
      <c r="F22" s="7" t="s">
        <v>36</v>
      </c>
      <c r="G22" s="7">
        <v>66.5</v>
      </c>
    </row>
    <row r="23" spans="1:7" x14ac:dyDescent="0.3">
      <c r="A23">
        <v>69</v>
      </c>
      <c r="B23">
        <v>74</v>
      </c>
      <c r="D23" s="7" t="s">
        <v>37</v>
      </c>
      <c r="E23" s="7" t="e">
        <v>#N/A</v>
      </c>
      <c r="F23" s="7" t="s">
        <v>37</v>
      </c>
      <c r="G23" s="7" t="e">
        <v>#N/A</v>
      </c>
    </row>
    <row r="24" spans="1:7" x14ac:dyDescent="0.3">
      <c r="A24">
        <v>70</v>
      </c>
      <c r="B24">
        <v>76</v>
      </c>
      <c r="D24" s="7" t="s">
        <v>38</v>
      </c>
      <c r="E24" s="7">
        <v>10.094292290304718</v>
      </c>
      <c r="F24" s="7" t="s">
        <v>38</v>
      </c>
      <c r="G24" s="7">
        <v>9.6751172983505604</v>
      </c>
    </row>
    <row r="25" spans="1:7" x14ac:dyDescent="0.3">
      <c r="A25">
        <v>72</v>
      </c>
      <c r="B25">
        <v>78</v>
      </c>
      <c r="D25" s="7" t="s">
        <v>39</v>
      </c>
      <c r="E25" s="7">
        <v>101.89473684210526</v>
      </c>
      <c r="F25" s="7" t="s">
        <v>39</v>
      </c>
      <c r="G25" s="7">
        <v>93.607894736842255</v>
      </c>
    </row>
    <row r="26" spans="1:7" x14ac:dyDescent="0.3">
      <c r="A26">
        <v>74</v>
      </c>
      <c r="B26">
        <v>80</v>
      </c>
      <c r="D26" s="7" t="s">
        <v>40</v>
      </c>
      <c r="E26" s="7">
        <v>-1.232933912756415</v>
      </c>
      <c r="F26" s="7" t="s">
        <v>40</v>
      </c>
      <c r="G26" s="7">
        <v>-1.1743285384927842</v>
      </c>
    </row>
    <row r="27" spans="1:7" x14ac:dyDescent="0.3">
      <c r="A27">
        <v>76</v>
      </c>
      <c r="B27">
        <v>82</v>
      </c>
      <c r="D27" s="7" t="s">
        <v>41</v>
      </c>
      <c r="E27" s="7">
        <v>3.2407916951255694E-2</v>
      </c>
      <c r="F27" s="7" t="s">
        <v>41</v>
      </c>
      <c r="G27" s="7">
        <v>0.13137448028727389</v>
      </c>
    </row>
    <row r="28" spans="1:7" x14ac:dyDescent="0.3">
      <c r="A28">
        <v>77</v>
      </c>
      <c r="B28">
        <v>83</v>
      </c>
      <c r="D28" s="7" t="s">
        <v>42</v>
      </c>
      <c r="E28" s="7">
        <v>32</v>
      </c>
      <c r="F28" s="7" t="s">
        <v>42</v>
      </c>
      <c r="G28" s="7">
        <v>31</v>
      </c>
    </row>
    <row r="29" spans="1:7" x14ac:dyDescent="0.3">
      <c r="D29" s="7" t="s">
        <v>43</v>
      </c>
      <c r="E29" s="7">
        <v>45</v>
      </c>
      <c r="F29" s="7" t="s">
        <v>43</v>
      </c>
      <c r="G29" s="7">
        <v>52</v>
      </c>
    </row>
    <row r="30" spans="1:7" x14ac:dyDescent="0.3">
      <c r="D30" s="7" t="s">
        <v>44</v>
      </c>
      <c r="E30" s="7">
        <v>77</v>
      </c>
      <c r="F30" s="7" t="s">
        <v>44</v>
      </c>
      <c r="G30" s="7">
        <v>83</v>
      </c>
    </row>
    <row r="31" spans="1:7" x14ac:dyDescent="0.3">
      <c r="D31" s="7" t="s">
        <v>45</v>
      </c>
      <c r="E31" s="7">
        <v>1220</v>
      </c>
      <c r="F31" s="7" t="s">
        <v>45</v>
      </c>
      <c r="G31" s="7">
        <v>1343</v>
      </c>
    </row>
    <row r="32" spans="1:7" ht="15" thickBot="1" x14ac:dyDescent="0.35">
      <c r="D32" s="8" t="s">
        <v>46</v>
      </c>
      <c r="E32" s="8">
        <v>20</v>
      </c>
      <c r="F32" s="8" t="s">
        <v>46</v>
      </c>
      <c r="G32" s="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F1CC9-DAF2-49E9-9864-8A9C6A1C640A}">
  <dimension ref="A1:N34"/>
  <sheetViews>
    <sheetView topLeftCell="A21" zoomScale="115" zoomScaleNormal="115" workbookViewId="0">
      <selection activeCell="G36" sqref="G36"/>
    </sheetView>
  </sheetViews>
  <sheetFormatPr defaultRowHeight="14.4" x14ac:dyDescent="0.3"/>
  <cols>
    <col min="2" max="2" width="17.5546875" customWidth="1"/>
  </cols>
  <sheetData>
    <row r="1" spans="1:5" x14ac:dyDescent="0.3">
      <c r="A1" t="s">
        <v>47</v>
      </c>
    </row>
    <row r="2" spans="1:5" x14ac:dyDescent="0.3">
      <c r="B2" t="s">
        <v>48</v>
      </c>
    </row>
    <row r="3" spans="1:5" x14ac:dyDescent="0.3">
      <c r="B3" t="s">
        <v>49</v>
      </c>
    </row>
    <row r="4" spans="1:5" x14ac:dyDescent="0.3">
      <c r="C4" t="s">
        <v>50</v>
      </c>
    </row>
    <row r="5" spans="1:5" x14ac:dyDescent="0.3">
      <c r="C5" t="s">
        <v>51</v>
      </c>
    </row>
    <row r="6" spans="1:5" x14ac:dyDescent="0.3">
      <c r="C6" t="s">
        <v>52</v>
      </c>
    </row>
    <row r="9" spans="1:5" x14ac:dyDescent="0.3">
      <c r="A9" s="10" t="s">
        <v>3</v>
      </c>
      <c r="B9" t="s">
        <v>53</v>
      </c>
      <c r="C9" t="s">
        <v>54</v>
      </c>
    </row>
    <row r="10" spans="1:5" x14ac:dyDescent="0.3">
      <c r="B10">
        <v>85</v>
      </c>
      <c r="C10">
        <v>78</v>
      </c>
      <c r="E10" t="s">
        <v>55</v>
      </c>
    </row>
    <row r="11" spans="1:5" x14ac:dyDescent="0.3">
      <c r="B11">
        <v>88</v>
      </c>
      <c r="C11">
        <v>80</v>
      </c>
      <c r="E11" t="s">
        <v>56</v>
      </c>
    </row>
    <row r="12" spans="1:5" x14ac:dyDescent="0.3">
      <c r="B12">
        <v>92</v>
      </c>
      <c r="C12">
        <v>75</v>
      </c>
      <c r="E12" t="s">
        <v>57</v>
      </c>
    </row>
    <row r="13" spans="1:5" x14ac:dyDescent="0.3">
      <c r="B13">
        <v>87</v>
      </c>
      <c r="C13">
        <v>82</v>
      </c>
    </row>
    <row r="14" spans="1:5" x14ac:dyDescent="0.3">
      <c r="B14">
        <v>90</v>
      </c>
      <c r="C14">
        <v>76</v>
      </c>
    </row>
    <row r="16" spans="1:5" x14ac:dyDescent="0.3">
      <c r="B16" t="s">
        <v>58</v>
      </c>
    </row>
    <row r="17" spans="2:8" x14ac:dyDescent="0.3">
      <c r="B17" s="5" t="s">
        <v>60</v>
      </c>
      <c r="C17" t="s">
        <v>62</v>
      </c>
    </row>
    <row r="18" spans="2:8" x14ac:dyDescent="0.3">
      <c r="B18" s="5" t="s">
        <v>61</v>
      </c>
      <c r="C18" t="s">
        <v>63</v>
      </c>
    </row>
    <row r="20" spans="2:8" x14ac:dyDescent="0.3">
      <c r="B20" t="s">
        <v>64</v>
      </c>
    </row>
    <row r="21" spans="2:8" ht="15" thickBot="1" x14ac:dyDescent="0.35"/>
    <row r="22" spans="2:8" x14ac:dyDescent="0.3">
      <c r="B22" s="9"/>
      <c r="C22" s="9" t="s">
        <v>53</v>
      </c>
      <c r="D22" s="9" t="s">
        <v>54</v>
      </c>
    </row>
    <row r="23" spans="2:8" x14ac:dyDescent="0.3">
      <c r="B23" s="7" t="s">
        <v>34</v>
      </c>
      <c r="C23" s="7">
        <v>88.4</v>
      </c>
      <c r="D23" s="7">
        <v>78.2</v>
      </c>
    </row>
    <row r="24" spans="2:8" x14ac:dyDescent="0.3">
      <c r="B24" s="7" t="s">
        <v>65</v>
      </c>
      <c r="C24" s="7">
        <v>25</v>
      </c>
      <c r="D24" s="7">
        <v>25</v>
      </c>
    </row>
    <row r="25" spans="2:8" x14ac:dyDescent="0.3">
      <c r="B25" s="7" t="s">
        <v>66</v>
      </c>
      <c r="C25" s="7">
        <v>5</v>
      </c>
      <c r="D25" s="7">
        <v>5</v>
      </c>
    </row>
    <row r="26" spans="2:8" x14ac:dyDescent="0.3">
      <c r="B26" s="7" t="s">
        <v>67</v>
      </c>
      <c r="C26" s="7">
        <v>0</v>
      </c>
      <c r="D26" s="7"/>
    </row>
    <row r="27" spans="2:8" x14ac:dyDescent="0.3">
      <c r="B27" s="7" t="s">
        <v>68</v>
      </c>
      <c r="C27" s="7">
        <v>3.2255232133717477</v>
      </c>
      <c r="D27" s="7"/>
      <c r="F27" s="12" t="s">
        <v>73</v>
      </c>
      <c r="G27" s="12"/>
      <c r="H27" s="12" t="s">
        <v>74</v>
      </c>
    </row>
    <row r="28" spans="2:8" x14ac:dyDescent="0.3">
      <c r="B28" s="7" t="s">
        <v>69</v>
      </c>
      <c r="C28" s="7">
        <v>6.2871319129831349E-4</v>
      </c>
      <c r="D28" s="7"/>
      <c r="F28" s="12">
        <v>1.95</v>
      </c>
      <c r="G28" s="12" t="s">
        <v>75</v>
      </c>
      <c r="H28" s="12">
        <v>3.22</v>
      </c>
    </row>
    <row r="29" spans="2:8" x14ac:dyDescent="0.3">
      <c r="B29" s="7" t="s">
        <v>70</v>
      </c>
      <c r="C29" s="7">
        <v>1.6448536269514715</v>
      </c>
      <c r="D29" s="7"/>
    </row>
    <row r="30" spans="2:8" x14ac:dyDescent="0.3">
      <c r="B30" s="7" t="s">
        <v>71</v>
      </c>
      <c r="C30" s="7">
        <v>1.257426382596627E-3</v>
      </c>
      <c r="D30" s="7"/>
      <c r="F30" s="12" t="s">
        <v>76</v>
      </c>
      <c r="G30" s="12"/>
      <c r="H30" s="12" t="s">
        <v>77</v>
      </c>
    </row>
    <row r="31" spans="2:8" ht="15" thickBot="1" x14ac:dyDescent="0.35">
      <c r="B31" s="8" t="s">
        <v>72</v>
      </c>
      <c r="C31" s="8">
        <v>1.9599639845400536</v>
      </c>
      <c r="D31" s="8"/>
      <c r="F31" s="12">
        <v>1E-3</v>
      </c>
      <c r="G31" s="12" t="s">
        <v>75</v>
      </c>
      <c r="H31" s="12">
        <v>0.05</v>
      </c>
    </row>
    <row r="33" spans="5:14" x14ac:dyDescent="0.3">
      <c r="E33" s="3" t="s">
        <v>79</v>
      </c>
      <c r="F33" s="3"/>
      <c r="G33" s="3"/>
      <c r="H33" s="3"/>
      <c r="I33" s="3"/>
      <c r="J33" s="3"/>
      <c r="K33" s="3"/>
      <c r="L33" s="3"/>
      <c r="M33" s="3"/>
      <c r="N33" s="3"/>
    </row>
    <row r="34" spans="5:14" x14ac:dyDescent="0.3">
      <c r="E34" s="3" t="s">
        <v>78</v>
      </c>
      <c r="F34" s="3"/>
      <c r="G34" s="3"/>
      <c r="H34" s="3"/>
      <c r="I34" s="3"/>
      <c r="J34" s="3"/>
      <c r="K34" s="3"/>
      <c r="L34" s="3"/>
      <c r="M34" s="3"/>
      <c r="N3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B194-8053-455E-8BFE-E3EDC9CAF01D}">
  <dimension ref="A1:K37"/>
  <sheetViews>
    <sheetView tabSelected="1" topLeftCell="A11" workbookViewId="0">
      <selection activeCell="C14" sqref="C14"/>
    </sheetView>
  </sheetViews>
  <sheetFormatPr defaultRowHeight="14.4" x14ac:dyDescent="0.3"/>
  <sheetData>
    <row r="1" spans="1:7" x14ac:dyDescent="0.3">
      <c r="A1" t="s">
        <v>80</v>
      </c>
    </row>
    <row r="3" spans="1:7" x14ac:dyDescent="0.3">
      <c r="B3" s="13" t="s">
        <v>81</v>
      </c>
      <c r="C3" s="13" t="s">
        <v>82</v>
      </c>
      <c r="D3" s="13" t="s">
        <v>83</v>
      </c>
    </row>
    <row r="4" spans="1:7" x14ac:dyDescent="0.3">
      <c r="A4" s="13" t="s">
        <v>84</v>
      </c>
      <c r="B4">
        <v>20</v>
      </c>
      <c r="C4">
        <v>15</v>
      </c>
      <c r="D4">
        <v>10</v>
      </c>
    </row>
    <row r="5" spans="1:7" x14ac:dyDescent="0.3">
      <c r="A5" s="13" t="s">
        <v>85</v>
      </c>
      <c r="B5">
        <v>25</v>
      </c>
      <c r="C5">
        <v>20</v>
      </c>
      <c r="D5">
        <v>30</v>
      </c>
    </row>
    <row r="7" spans="1:7" x14ac:dyDescent="0.3">
      <c r="B7" t="s">
        <v>86</v>
      </c>
    </row>
    <row r="8" spans="1:7" x14ac:dyDescent="0.3">
      <c r="B8" t="s">
        <v>87</v>
      </c>
    </row>
    <row r="10" spans="1:7" x14ac:dyDescent="0.3">
      <c r="A10" s="14" t="s">
        <v>3</v>
      </c>
    </row>
    <row r="11" spans="1:7" x14ac:dyDescent="0.3">
      <c r="B11" t="s">
        <v>88</v>
      </c>
      <c r="C11" t="s">
        <v>104</v>
      </c>
    </row>
    <row r="12" spans="1:7" x14ac:dyDescent="0.3">
      <c r="B12" t="s">
        <v>89</v>
      </c>
      <c r="C12" t="s">
        <v>103</v>
      </c>
    </row>
    <row r="14" spans="1:7" x14ac:dyDescent="0.3">
      <c r="A14" t="s">
        <v>90</v>
      </c>
    </row>
    <row r="16" spans="1:7" x14ac:dyDescent="0.3">
      <c r="A16" s="5" t="s">
        <v>91</v>
      </c>
      <c r="G16" s="5" t="s">
        <v>93</v>
      </c>
    </row>
    <row r="17" spans="1:11" x14ac:dyDescent="0.3">
      <c r="A17" s="11"/>
      <c r="B17" s="15" t="s">
        <v>81</v>
      </c>
      <c r="C17" s="15" t="s">
        <v>82</v>
      </c>
      <c r="D17" s="15" t="s">
        <v>83</v>
      </c>
      <c r="E17" s="15" t="s">
        <v>92</v>
      </c>
      <c r="G17" s="11"/>
      <c r="H17" s="15" t="s">
        <v>81</v>
      </c>
      <c r="I17" s="15" t="s">
        <v>82</v>
      </c>
      <c r="J17" s="15" t="s">
        <v>83</v>
      </c>
      <c r="K17" s="15" t="s">
        <v>92</v>
      </c>
    </row>
    <row r="18" spans="1:11" x14ac:dyDescent="0.3">
      <c r="A18" s="15" t="s">
        <v>84</v>
      </c>
      <c r="B18" s="11">
        <v>20</v>
      </c>
      <c r="C18" s="11">
        <v>15</v>
      </c>
      <c r="D18" s="11">
        <v>10</v>
      </c>
      <c r="E18" s="11">
        <f>SUM(B18:D18)</f>
        <v>45</v>
      </c>
      <c r="G18" s="15" t="s">
        <v>84</v>
      </c>
      <c r="H18" s="11">
        <f>($E18*B$20)/$E$20</f>
        <v>16.875</v>
      </c>
      <c r="I18" s="11">
        <f t="shared" ref="I18:J18" si="0">($E18*C$20)/$E$20</f>
        <v>13.125</v>
      </c>
      <c r="J18" s="11">
        <f t="shared" si="0"/>
        <v>15</v>
      </c>
      <c r="K18" s="11">
        <f>SUM(H18:J18)</f>
        <v>45</v>
      </c>
    </row>
    <row r="19" spans="1:11" x14ac:dyDescent="0.3">
      <c r="A19" s="15" t="s">
        <v>85</v>
      </c>
      <c r="B19" s="11">
        <v>25</v>
      </c>
      <c r="C19" s="11">
        <v>20</v>
      </c>
      <c r="D19" s="11">
        <v>30</v>
      </c>
      <c r="E19" s="11">
        <f>SUM(B19:D19)</f>
        <v>75</v>
      </c>
      <c r="G19" s="15" t="s">
        <v>85</v>
      </c>
      <c r="H19" s="11">
        <f>($E19*B$20)/$E$20</f>
        <v>28.125</v>
      </c>
      <c r="I19" s="11">
        <f t="shared" ref="I19" si="1">($E19*C$20)/$E$20</f>
        <v>21.875</v>
      </c>
      <c r="J19" s="11">
        <f t="shared" ref="J19" si="2">($E19*D$20)/$E$20</f>
        <v>25</v>
      </c>
      <c r="K19" s="11">
        <f>SUM(H19:J19)</f>
        <v>75</v>
      </c>
    </row>
    <row r="20" spans="1:11" x14ac:dyDescent="0.3">
      <c r="A20" s="16" t="s">
        <v>92</v>
      </c>
      <c r="B20" s="11">
        <f>SUM(B18:B19)</f>
        <v>45</v>
      </c>
      <c r="C20" s="11">
        <f t="shared" ref="C20:E20" si="3">SUM(C18:C19)</f>
        <v>35</v>
      </c>
      <c r="D20" s="11">
        <f t="shared" si="3"/>
        <v>40</v>
      </c>
      <c r="E20" s="11">
        <f t="shared" si="3"/>
        <v>120</v>
      </c>
      <c r="G20" s="16" t="s">
        <v>92</v>
      </c>
      <c r="H20" s="11">
        <f>SUM(H18:H19)</f>
        <v>45</v>
      </c>
      <c r="I20" s="11">
        <f t="shared" ref="I20" si="4">SUM(I18:I19)</f>
        <v>35</v>
      </c>
      <c r="J20" s="11">
        <f t="shared" ref="J20" si="5">SUM(J18:J19)</f>
        <v>40</v>
      </c>
      <c r="K20" s="11">
        <f t="shared" ref="K20" si="6">SUM(K18:K19)</f>
        <v>120</v>
      </c>
    </row>
    <row r="23" spans="1:11" x14ac:dyDescent="0.3">
      <c r="A23" s="5" t="s">
        <v>94</v>
      </c>
      <c r="G23" s="5" t="s">
        <v>95</v>
      </c>
    </row>
    <row r="24" spans="1:11" x14ac:dyDescent="0.3">
      <c r="A24" s="11"/>
      <c r="B24" s="15" t="s">
        <v>81</v>
      </c>
      <c r="C24" s="15" t="s">
        <v>82</v>
      </c>
      <c r="D24" s="15" t="s">
        <v>83</v>
      </c>
      <c r="E24" s="15" t="s">
        <v>92</v>
      </c>
      <c r="G24" s="11"/>
      <c r="H24" s="15" t="s">
        <v>81</v>
      </c>
      <c r="I24" s="15" t="s">
        <v>82</v>
      </c>
      <c r="J24" s="15" t="s">
        <v>83</v>
      </c>
      <c r="K24" s="15" t="s">
        <v>92</v>
      </c>
    </row>
    <row r="25" spans="1:11" x14ac:dyDescent="0.3">
      <c r="A25" s="15" t="s">
        <v>84</v>
      </c>
      <c r="B25" s="11">
        <f>(B18-H18)^2</f>
        <v>9.765625</v>
      </c>
      <c r="C25" s="11">
        <f t="shared" ref="C25:D25" si="7">(C18-I18)^2</f>
        <v>3.515625</v>
      </c>
      <c r="D25" s="11">
        <f t="shared" si="7"/>
        <v>25</v>
      </c>
      <c r="E25" s="11">
        <f>SUM(B25:D25)</f>
        <v>38.28125</v>
      </c>
      <c r="G25" s="15" t="s">
        <v>84</v>
      </c>
      <c r="H25" s="11">
        <f>B25/H18</f>
        <v>0.57870370370370372</v>
      </c>
      <c r="I25" s="11">
        <f t="shared" ref="I25:J25" si="8">C25/I18</f>
        <v>0.26785714285714285</v>
      </c>
      <c r="J25" s="11">
        <f t="shared" si="8"/>
        <v>1.6666666666666667</v>
      </c>
      <c r="K25" s="11">
        <f>SUM(H25:J25)</f>
        <v>2.5132275132275135</v>
      </c>
    </row>
    <row r="26" spans="1:11" x14ac:dyDescent="0.3">
      <c r="A26" s="15" t="s">
        <v>85</v>
      </c>
      <c r="B26" s="11">
        <f>(B19-H19)^2</f>
        <v>9.765625</v>
      </c>
      <c r="C26" s="11">
        <f t="shared" ref="C26:D26" si="9">(C19-I19)^2</f>
        <v>3.515625</v>
      </c>
      <c r="D26" s="11">
        <f t="shared" si="9"/>
        <v>25</v>
      </c>
      <c r="E26" s="11">
        <f>SUM(B26:D26)</f>
        <v>38.28125</v>
      </c>
      <c r="G26" s="15" t="s">
        <v>85</v>
      </c>
      <c r="H26" s="11">
        <f>B26/H19</f>
        <v>0.34722222222222221</v>
      </c>
      <c r="I26" s="11">
        <f t="shared" ref="I26:J26" si="10">C26/I19</f>
        <v>0.16071428571428573</v>
      </c>
      <c r="J26" s="11">
        <f t="shared" si="10"/>
        <v>1</v>
      </c>
      <c r="K26" s="11">
        <f>SUM(H26:J26)</f>
        <v>1.5079365079365079</v>
      </c>
    </row>
    <row r="27" spans="1:11" x14ac:dyDescent="0.3">
      <c r="A27" s="16" t="s">
        <v>92</v>
      </c>
      <c r="B27" s="11">
        <f>SUM(B25:B26)</f>
        <v>19.53125</v>
      </c>
      <c r="C27" s="11">
        <f t="shared" ref="C27" si="11">SUM(C25:C26)</f>
        <v>7.03125</v>
      </c>
      <c r="D27" s="11">
        <f t="shared" ref="D27" si="12">SUM(D25:D26)</f>
        <v>50</v>
      </c>
      <c r="E27" s="11">
        <f t="shared" ref="E27" si="13">SUM(E25:E26)</f>
        <v>76.5625</v>
      </c>
      <c r="G27" s="16" t="s">
        <v>92</v>
      </c>
      <c r="H27" s="11">
        <f>SUM(H25:H26)</f>
        <v>0.92592592592592593</v>
      </c>
      <c r="I27" s="11">
        <f t="shared" ref="I27" si="14">SUM(I25:I26)</f>
        <v>0.4285714285714286</v>
      </c>
      <c r="J27" s="11">
        <f t="shared" ref="J27" si="15">SUM(J25:J26)</f>
        <v>2.666666666666667</v>
      </c>
      <c r="K27" s="17">
        <f t="shared" ref="K27" si="16">SUM(K25:K26)</f>
        <v>4.0211640211640214</v>
      </c>
    </row>
    <row r="31" spans="1:11" x14ac:dyDescent="0.3">
      <c r="C31" t="s">
        <v>96</v>
      </c>
    </row>
    <row r="32" spans="1:11" x14ac:dyDescent="0.3">
      <c r="C32" t="s">
        <v>97</v>
      </c>
    </row>
    <row r="34" spans="3:6" x14ac:dyDescent="0.3">
      <c r="C34" s="5" t="s">
        <v>98</v>
      </c>
      <c r="D34" t="s">
        <v>99</v>
      </c>
      <c r="F34" t="s">
        <v>100</v>
      </c>
    </row>
    <row r="35" spans="3:6" x14ac:dyDescent="0.3">
      <c r="D35">
        <v>5.9909999999999997</v>
      </c>
      <c r="E35" t="s">
        <v>101</v>
      </c>
      <c r="F35">
        <v>4.0209999999999999</v>
      </c>
    </row>
    <row r="37" spans="3:6" x14ac:dyDescent="0.3">
      <c r="C37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5E388-866F-4ABA-9C2A-975051CF30C3}">
  <dimension ref="A1:L29"/>
  <sheetViews>
    <sheetView workbookViewId="0">
      <selection activeCell="B23" sqref="B23"/>
    </sheetView>
  </sheetViews>
  <sheetFormatPr defaultRowHeight="14.4" x14ac:dyDescent="0.3"/>
  <sheetData>
    <row r="1" spans="1:12" x14ac:dyDescent="0.3">
      <c r="A1" t="s">
        <v>0</v>
      </c>
      <c r="B1" t="s">
        <v>22</v>
      </c>
    </row>
    <row r="2" spans="1:12" x14ac:dyDescent="0.3">
      <c r="B2" t="s">
        <v>1</v>
      </c>
    </row>
    <row r="3" spans="1:12" x14ac:dyDescent="0.3">
      <c r="B3" t="s">
        <v>2</v>
      </c>
    </row>
    <row r="7" spans="1:12" x14ac:dyDescent="0.3">
      <c r="A7" s="1" t="s">
        <v>3</v>
      </c>
    </row>
    <row r="9" spans="1:12" x14ac:dyDescent="0.3">
      <c r="A9" t="s">
        <v>4</v>
      </c>
      <c r="B9" s="5" t="s">
        <v>8</v>
      </c>
      <c r="C9" s="4"/>
      <c r="D9" s="4"/>
      <c r="E9" s="4"/>
      <c r="F9" s="4"/>
    </row>
    <row r="10" spans="1:12" x14ac:dyDescent="0.3">
      <c r="B10" s="3" t="s">
        <v>5</v>
      </c>
      <c r="C10" s="3"/>
      <c r="D10" s="3"/>
      <c r="E10" s="3"/>
      <c r="F10" s="3"/>
    </row>
    <row r="11" spans="1:12" x14ac:dyDescent="0.3">
      <c r="C11" s="2" t="s">
        <v>10</v>
      </c>
      <c r="D11" s="3"/>
      <c r="E11" s="3"/>
      <c r="F11" s="3"/>
    </row>
    <row r="12" spans="1:12" x14ac:dyDescent="0.3">
      <c r="C12" s="2" t="s">
        <v>11</v>
      </c>
      <c r="D12" s="3"/>
      <c r="E12" s="3"/>
      <c r="F12" s="3"/>
    </row>
    <row r="13" spans="1:12" x14ac:dyDescent="0.3">
      <c r="C13" s="2" t="s">
        <v>6</v>
      </c>
      <c r="D13" s="3"/>
      <c r="E13" s="3"/>
      <c r="F13" s="3"/>
    </row>
    <row r="15" spans="1:12" x14ac:dyDescent="0.3">
      <c r="B15" s="5" t="s">
        <v>7</v>
      </c>
    </row>
    <row r="16" spans="1:12" x14ac:dyDescent="0.3">
      <c r="B16" s="3" t="s">
        <v>9</v>
      </c>
      <c r="C16" s="3"/>
      <c r="D16" s="3"/>
      <c r="E16" s="3"/>
      <c r="F16" s="3"/>
      <c r="G16" s="3"/>
      <c r="H16" s="3"/>
      <c r="I16" s="3"/>
      <c r="J16" s="3"/>
      <c r="K16" s="3"/>
      <c r="L16" s="3"/>
    </row>
    <row r="18" spans="1:10" x14ac:dyDescent="0.3">
      <c r="A18" t="s">
        <v>12</v>
      </c>
      <c r="B18" s="5" t="s">
        <v>13</v>
      </c>
    </row>
    <row r="19" spans="1:10" x14ac:dyDescent="0.3">
      <c r="B19" s="6" t="s">
        <v>14</v>
      </c>
      <c r="C19" s="3"/>
      <c r="D19" s="3"/>
      <c r="E19" s="3"/>
      <c r="F19" s="3"/>
      <c r="G19" s="3"/>
      <c r="H19" s="3"/>
      <c r="I19" s="3"/>
    </row>
    <row r="21" spans="1:10" x14ac:dyDescent="0.3">
      <c r="B21" s="5" t="s">
        <v>15</v>
      </c>
    </row>
    <row r="22" spans="1:10" x14ac:dyDescent="0.3">
      <c r="B22" s="6" t="s">
        <v>59</v>
      </c>
      <c r="C22" s="3"/>
      <c r="D22" s="3"/>
      <c r="E22" s="3"/>
      <c r="F22" s="3"/>
      <c r="G22" s="3"/>
      <c r="H22" s="3"/>
      <c r="I22" s="3"/>
      <c r="J22" s="3"/>
    </row>
    <row r="24" spans="1:10" x14ac:dyDescent="0.3">
      <c r="A24" t="s">
        <v>16</v>
      </c>
      <c r="B24" s="5" t="s">
        <v>17</v>
      </c>
    </row>
    <row r="25" spans="1:10" x14ac:dyDescent="0.3">
      <c r="B25" s="6" t="s">
        <v>18</v>
      </c>
      <c r="C25" s="3"/>
      <c r="D25" s="3"/>
      <c r="E25" s="3"/>
      <c r="F25" s="3"/>
      <c r="G25" s="3"/>
      <c r="H25" s="3"/>
      <c r="I25" s="3"/>
      <c r="J25" s="3"/>
    </row>
    <row r="27" spans="1:10" x14ac:dyDescent="0.3">
      <c r="B27" s="5" t="s">
        <v>19</v>
      </c>
    </row>
    <row r="28" spans="1:10" x14ac:dyDescent="0.3">
      <c r="B28" s="3" t="s">
        <v>20</v>
      </c>
      <c r="C28" s="3"/>
      <c r="D28" s="3"/>
      <c r="E28" s="3"/>
      <c r="F28" s="3"/>
      <c r="G28" s="3"/>
      <c r="H28" s="3"/>
    </row>
    <row r="29" spans="1:10" x14ac:dyDescent="0.3">
      <c r="B29" s="3" t="s">
        <v>21</v>
      </c>
      <c r="C29" s="3"/>
      <c r="D29" s="3"/>
      <c r="E29" s="3"/>
      <c r="F29" s="3"/>
      <c r="G29" s="3"/>
      <c r="H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2</vt:lpstr>
      <vt:lpstr>Question 3</vt:lpstr>
      <vt:lpstr>Question 4</vt:lpstr>
      <vt:lpstr>Question 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 BEHERA</dc:creator>
  <cp:lastModifiedBy>MUKESH KUMAR BEHERA</cp:lastModifiedBy>
  <dcterms:created xsi:type="dcterms:W3CDTF">2026-02-19T13:44:05Z</dcterms:created>
  <dcterms:modified xsi:type="dcterms:W3CDTF">2026-02-19T15:31:02Z</dcterms:modified>
</cp:coreProperties>
</file>